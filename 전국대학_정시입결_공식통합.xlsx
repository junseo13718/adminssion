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aec7c37d2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9b9e5a9b6c4f38"/>
    <x:sheet xmlns:r="http://schemas.openxmlformats.org/officeDocument/2006/relationships" name="추천_테스트" sheetId="2" r:id="Re8504f32d8904c78"/>
    <x:sheet xmlns:r="http://schemas.openxmlformats.org/officeDocument/2006/relationships" name="정시입결_2025" sheetId="3" r:id="R6074045b678b4908"/>
    <x:sheet xmlns:r="http://schemas.openxmlformats.org/officeDocument/2006/relationships" name="대학별_요약" sheetId="4" r:id="Rf77f5b3e60524a9d"/>
    <x:sheet xmlns:r="http://schemas.openxmlformats.org/officeDocument/2006/relationships" name="출처_수록현황" sheetId="5" r:id="Rd186a62898654407"/>
    <x:sheet xmlns:r="http://schemas.openxmlformats.org/officeDocument/2006/relationships" name="데이터사전" sheetId="6" r:id="Rcb5e79e709774407"/>
    <x:sheet xmlns:r="http://schemas.openxmlformats.org/officeDocument/2006/relationships" name="지방사립대_요약" sheetId="7" r:id="R1d0f8ffd4347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23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1"/>
      <x:color rgb="FF7F6000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b/>
      <x:sz val="10"/>
      <x:color rgb="FF1F2937"/>
      <x:name val="Carlito"/>
    </x:font>
    <x:font>
      <x:b/>
      <x:sz val="12"/>
      <x:color rgb="FFB45309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sz val="9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0"/>
      <x:color rgb="FF1F1F1F"/>
      <x:name val="Carlito"/>
    </x:font>
    <x:font>
      <x:b/>
      <x:sz val="12"/>
      <x:color rgb="FF1F1F1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  <x:font>
      <x:b/>
      <x:sz val="11"/>
      <x:name val="Carlito"/>
    </x:font>
    <x:font>
      <x:sz val="8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DF2"/>
      </x:patternFill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8E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4">
    <x:border/>
    <x:border/>
    <x:border/>
    <x:border>
      <x:bottom style="thin">
        <x:color rgb="FF9EADBA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1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6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0"/>
    </x:xf>
    <x:xf numFmtId="201" fontId="13" fillId="0" borderId="0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0" xfId="0" applyNumberFormat="1" applyFont="1" applyFill="1" applyBorder="0" applyAlignment="1">
      <x:alignment vertical="center"/>
    </x:xf>
    <x:xf numFmtId="0" fontId="14" fillId="0" borderId="2" xfId="0" applyNumberFormat="1" applyFont="1" applyFill="1" applyBorder="1" applyAlignment="1">
      <x:alignment vertical="center"/>
    </x:xf>
    <x:xf numFmtId="201" fontId="14" fillId="0" xfId="0" applyNumberFormat="1" applyFont="1" applyFill="1" applyBorder="0" applyAlignment="1">
      <x:alignment vertical="center"/>
    </x:xf>
    <x:xf numFmtId="201" fontId="14" fillId="0" borderId="2" xfId="0" applyNumberFormat="1" applyFont="1" applyFill="1" applyBorder="1" applyAlignment="1">
      <x:alignment vertical="center"/>
    </x:xf>
    <x:xf numFmtId="202" fontId="14" fillId="0" xfId="0" applyNumberFormat="1" applyFont="1" applyFill="1" applyBorder="0" applyAlignment="1">
      <x:alignment vertical="center"/>
    </x:xf>
    <x:xf numFmtId="202" fontId="14" fillId="0" borderId="2" xfId="0" applyNumberFormat="1" applyFont="1" applyFill="1" applyBorder="1" applyAlignment="1">
      <x:alignment vertical="center"/>
    </x:xf>
    <x:xf numFmtId="0" fontId="14" fillId="0" xfId="0" applyNumberFormat="1" applyFont="1" applyFill="1" applyBorder="0" applyAlignment="1">
      <x:alignment vertical="center" wrapText="0"/>
    </x:xf>
    <x:xf numFmtId="0" fontId="14" fillId="0" borderId="2" xfId="0" applyNumberFormat="1" applyFont="1" applyFill="1" applyBorder="1" applyAlignment="1">
      <x:alignment vertical="center" wrapText="0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horizontal="left"/>
    </x:xf>
    <x:xf numFmtId="0" fontId="15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202" fontId="13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vertical="center" wrapText="1"/>
    </x:xf>
    <x:xf numFmtId="0" fontId="6" fillId="12" borderId="0" xfId="0" applyNumberFormat="1" applyFont="1" applyFill="1" applyBorder="1" applyAlignment="1">
      <x:alignment horizontal="left" vertical="center" wrapText="1"/>
    </x:xf>
    <x:xf numFmtId="0" fontId="8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18" fillId="13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left"/>
    </x:xf>
    <x:xf numFmtId="0" fontId="15" fillId="10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/>
    <x:xf numFmtId="0" fontId="16" fillId="3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horizont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 wrapText="1"/>
    </x:xf>
    <x:xf numFmtId="0" fontId="17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8" fillId="3" borderId="0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 applyAlignment="1">
      <x:alignment vertical="center" wrapText="1"/>
    </x:xf>
    <x:xf numFmtId="0" fontId="14" fillId="0" xfId="0" applyNumberFormat="1" applyFont="1" applyFill="1" applyBorder="0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horizontal="center"/>
    </x:xf>
    <x:xf numFmtId="0" fontId="7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8" fillId="17" borderId="0" xfId="0" applyNumberFormat="1" applyFont="1" applyFill="1" applyBorder="1"/>
    <x:xf numFmtId="0" fontId="18" fillId="17" borderId="3" xfId="0" applyNumberFormat="1" applyFont="1" applyFill="1" applyBorder="1"/>
    <x:xf numFmtId="0" fontId="18" fillId="17" borderId="3" xfId="0" applyNumberFormat="1" applyFont="1" applyFill="1" applyBorder="1" applyAlignment="1">
      <x:alignment wrapText="1"/>
    </x:xf>
    <x:xf numFmtId="0" fontId="18" fillId="17" borderId="3" xfId="0" applyNumberFormat="1" applyFont="1" applyFill="1" applyBorder="1" applyAlignment="1">
      <x:alignment horizontal="center" wrapText="1"/>
    </x:xf>
    <x:xf numFmtId="0" fontId="18" fillId="17" borderId="3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vertical="center"/>
    </x:xf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73763"/>
      </x:font>
      <x:fill>
        <x:patternFill>
          <x:bgColor rgb="FFCFE2F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1565C0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1565C0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B3261E"/>
      </x:font>
      <x:fill>
        <x:patternFill patternType="solid">
          <x:bgColor rgb="FFFCE8E6"/>
        </x:patternFill>
      </x:fill>
    </x:dxf>
    <x:dxf>
      <x:font>
        <x:color rgb="FF7A5901"/>
      </x:font>
      <x:fill>
        <x:patternFill patternType="solid">
          <x:bgColor rgb="FFFEF7E0"/>
        </x:patternFill>
      </x:fill>
    </x:dxf>
    <x:dxf>
      <x:font>
        <x:color rgb="FF174EA6"/>
      </x:font>
      <x:fill>
        <x:patternFill patternType="solid">
          <x:bgColor rgb="FFE8F0FE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a0d0b12d842d4" /><Relationship Type="http://schemas.openxmlformats.org/officeDocument/2006/relationships/theme" Target="/xl/theme/theme1.xml" Id="Rfbcddf3f01ba48d6" /><Relationship Type="http://schemas.openxmlformats.org/officeDocument/2006/relationships/sharedStrings" Target="/xl/sharedStrings.xml" Id="R5ee4793f7c444e02" /><Relationship Type="http://schemas.openxmlformats.org/officeDocument/2006/relationships/worksheet" Target="/xl/worksheets/sheet1.xml" Id="Rd09b9e5a9b6c4f38" /><Relationship Type="http://schemas.openxmlformats.org/officeDocument/2006/relationships/worksheet" Target="/xl/worksheets/sheet2.xml" Id="Re8504f32d8904c78" /><Relationship Type="http://schemas.openxmlformats.org/officeDocument/2006/relationships/worksheet" Target="/xl/worksheets/sheet3.xml" Id="R6074045b678b4908" /><Relationship Type="http://schemas.openxmlformats.org/officeDocument/2006/relationships/worksheet" Target="/xl/worksheets/sheet4.xml" Id="Rf77f5b3e60524a9d" /><Relationship Type="http://schemas.openxmlformats.org/officeDocument/2006/relationships/worksheet" Target="/xl/worksheets/sheet5.xml" Id="Rd186a62898654407" /><Relationship Type="http://schemas.openxmlformats.org/officeDocument/2006/relationships/worksheet" Target="/xl/worksheets/sheet6.xml" Id="Rcb5e79e709774407" /><Relationship Type="http://schemas.openxmlformats.org/officeDocument/2006/relationships/worksheet" Target="/xl/worksheets/sheet7.xml" Id="R1d0f8ffd434747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916545a33b4c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대학별 추천기준 평균(참고)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지역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설립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수록 모집단위 수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'대학별_요약'!$D$4:$D$13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추천기준 평균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'대학별_요약'!$E$4:$E$13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16545a33b4c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ssions2025Table" displayName="Admissions2025Table" ref="A1:AG122" headerRowCount="1" totalsRowCount="0" totalsRowShown="0">
  <x:tableColumns count="33">
    <x:tableColumn id="1" name="학년도"/>
    <x:tableColumn id="2" name="지역"/>
    <x:tableColumn id="3" name="설립"/>
    <x:tableColumn id="4" name="대학명"/>
    <x:tableColumn id="5" name="모집군"/>
    <x:tableColumn id="6" name="전형명"/>
    <x:tableColumn id="7" name="모집단위"/>
    <x:tableColumn id="8" name="최초모집"/>
    <x:tableColumn id="9" name="이월"/>
    <x:tableColumn id="10" name="최종모집"/>
    <x:tableColumn id="11" name="경쟁률"/>
    <x:tableColumn id="12" name="충원합격순위"/>
    <x:tableColumn id="13" name="환산50"/>
    <x:tableColumn id="14" name="환산70"/>
    <x:tableColumn id="15" name="수능총점"/>
    <x:tableColumn id="16" name="국어70"/>
    <x:tableColumn id="17" name="수학70"/>
    <x:tableColumn id="18" name="탐구1_70"/>
    <x:tableColumn id="19" name="탐구2_70"/>
    <x:tableColumn id="20" name="영어70_등급"/>
    <x:tableColumn id="21" name="한국사70_등급"/>
    <x:tableColumn id="22" name="공식70평균백분위"/>
    <x:tableColumn id="23" name="파생_국수탐70단순평균"/>
    <x:tableColumn id="24" name="추천기준_백분위"/>
    <x:tableColumn id="25" name="추천지표유형"/>
    <x:tableColumn id="26" name="학생평균백분위"/>
    <x:tableColumn id="27" name="점수차"/>
    <x:tableColumn id="28" name="추천구간"/>
    <x:tableColumn id="29" name="확통비율"/>
    <x:tableColumn id="30" name="미적분비율"/>
    <x:tableColumn id="31" name="기하비율"/>
    <x:tableColumn id="32" name="비고"/>
    <x:tableColumn id="33" name="출처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SummaryTable" displayName="UniversitySummaryTable" ref="A3:H13" headerRowCount="1" totalsRowCount="0" totalsRowShown="0">
  <x:tableColumns count="8">
    <x:tableColumn id="1" name="대학명"/>
    <x:tableColumn id="2" name="지역"/>
    <x:tableColumn id="3" name="설립"/>
    <x:tableColumn id="4" name="수록 모집단위 수"/>
    <x:tableColumn id="5" name="추천기준 평균"/>
    <x:tableColumn id="6" name="공식 평균백분위 행 수"/>
    <x:tableColumn id="7" name="파생 평균 행 수"/>
    <x:tableColumn id="8" name="대표 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3:D36" headerRowCount="1" totalsRowCount="0" totalsRowShown="0">
  <x:tableColumns count="4">
    <x:tableColumn id="1" name="컬럼명"/>
    <x:tableColumn id="2" name="구분"/>
    <x:tableColumn id="3" name="설명"/>
    <x:tableColumn id="4" name="추천 프로젝트 사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1b8ca12264c49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9b1e83aa53a4703" /><Relationship Type="http://schemas.openxmlformats.org/officeDocument/2006/relationships/table" Target="/xl/tables/table2.xml" Id="Rd5892124e25d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2350d81fbbd444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 ht="28" customHeight="1">
      <x:c r="A1" s="141" t="str">
        <x:v>전국대학 정시 입결 공식 통합 데이터 v5 — 인서울·수도권 + 지방 국립대 + 지방 사립대 확장</x:v>
      </x:c>
      <x:c r="B1" s="141"/>
      <x:c r="C1" s="5"/>
      <x:c r="D1" s="5"/>
      <x:c r="E1" s="5"/>
      <x:c r="F1" s="5"/>
      <x:c r="G1" s="5"/>
    </x:row>
    <x:row r="2">
      <x:c r="A2" s="41"/>
      <x:c r="B2" s="41"/>
      <x:c r="C2" s="40"/>
      <x:c r="D2" s="40"/>
      <x:c r="E2" s="40"/>
      <x:c r="F2" s="40"/>
      <x:c r="G2" s="40"/>
    </x:row>
    <x:row r="3">
      <x:c r="A3" s="143" t="str">
        <x:v>파일 목적</x:v>
      </x:c>
      <x:c r="B3" s="143"/>
      <x:c r="C3" s="13"/>
      <x:c r="D3" s="13"/>
      <x:c r="E3" s="13"/>
      <x:c r="F3" s="13"/>
      <x:c r="G3" s="13"/>
    </x:row>
    <x:row r="4">
      <x:c r="A4" s="106" t="str">
        <x:v>항목</x:v>
      </x:c>
      <x:c r="B4" s="106" t="str">
        <x:v>내용</x:v>
      </x:c>
      <x:c r="C4" s="40"/>
      <x:c r="D4" s="40"/>
      <x:c r="E4" s="40"/>
      <x:c r="F4" s="40"/>
      <x:c r="G4" s="40"/>
    </x:row>
    <x:row r="5">
      <x:c r="A5" s="41" t="str">
        <x:v>메인 데이터</x:v>
      </x:c>
      <x:c r="B5" s="41" t="str">
        <x:v>2025학년도 정시 공식 전형결과를 기존 추천 프로젝트용 공통 컬럼으로 정규화</x:v>
      </x:c>
      <x:c r="C5" s="40"/>
      <x:c r="D5" s="40"/>
      <x:c r="E5" s="40"/>
      <x:c r="F5" s="40"/>
      <x:c r="G5" s="40"/>
    </x:row>
    <x:row r="6">
      <x:c r="A6" s="41" t="str">
        <x:v>현재 수록 범위</x:v>
      </x:c>
      <x:c r="B6" s="41" t="str">
        <x:v>45개 대학 / 757개 모집단위 / 15개 시·도</x:v>
      </x:c>
      <x:c r="C6" s="40"/>
      <x:c r="D6" s="40"/>
      <x:c r="E6" s="40"/>
      <x:c r="F6" s="40"/>
      <x:c r="G6" s="40"/>
    </x:row>
    <x:row r="7">
      <x:c r="A7" s="41" t="str">
        <x:v>인서울·수도권 비중</x:v>
      </x:c>
      <x:c r="B7" s="41" t="str">
        <x:v>서울 14개 대학·373개 모집단위 / 서울·경기·인천 합계 17개 대학·405개 모집단위 / 지방 국립대(교대 포함) 17개 대학·210개 모집단위 / v5 신규 지방 사립대 11개 대학·142개 모집단위</x:v>
      </x:c>
      <x:c r="C7" s="40"/>
      <x:c r="D7" s="40"/>
      <x:c r="E7" s="40"/>
      <x:c r="F7" s="40"/>
      <x:c r="G7" s="40"/>
    </x:row>
    <x:row r="8">
      <x:c r="A8" s="41" t="str">
        <x:v>추천 프로젝트용 기준</x:v>
      </x:c>
      <x:c r="B8" s="41" t="str">
        <x:v>국어70·수학70·탐구1_70·탐구2_70이 모두 공개된 행은 동일 형식으로 가중평균 추천기에 바로 사용 가능</x:v>
      </x:c>
      <x:c r="C8" s="40"/>
      <x:c r="D8" s="40"/>
      <x:c r="E8" s="40"/>
      <x:c r="F8" s="40"/>
      <x:c r="G8" s="40"/>
    </x:row>
    <x:row r="9">
      <x:c r="A9" s="41" t="str">
        <x:v>2026학년도 최신 자료</x:v>
      </x:c>
      <x:c r="B9" s="41" t="str">
        <x:v>메인 데이터는 비교 일관성을 위해 2025학년도만 유지. 2026학년도 원본은 '출처_수록현황'에 참고용으로 분리.</x:v>
      </x:c>
      <x:c r="C9" s="40"/>
      <x:c r="D9" s="40"/>
      <x:c r="E9" s="40"/>
      <x:c r="F9" s="40"/>
      <x:c r="G9" s="40"/>
    </x:row>
    <x:row r="10">
      <x:c r="A10" s="91"/>
      <x:c r="B10" s="91"/>
      <x:c r="C10" s="13"/>
      <x:c r="D10" s="13"/>
      <x:c r="E10" s="13"/>
      <x:c r="F10" s="13"/>
      <x:c r="G10" s="13"/>
    </x:row>
    <x:row r="11" ht="22" customHeight="1">
      <x:c r="A11" s="145" t="str">
        <x:v>중요한 해석 주의사항</x:v>
      </x:c>
      <x:c r="B11" s="145"/>
      <x:c r="C11" s="42"/>
      <x:c r="D11" s="42"/>
      <x:c r="E11" s="42"/>
      <x:c r="F11" s="42"/>
      <x:c r="G11" s="42"/>
    </x:row>
    <x:row r="12" ht="52" customHeight="1">
      <x:c r="A12" s="42" t="str">
        <x:v>① 대학별 환산점수는 반영영역·가중치·가산점·만점이 서로 달라 대학 간 직접 비교용으로 사용하면 안 됩니다.
② '추천기준_백분위'는 프로젝트 실습용 공통 지표입니다. 공식 평균백분위가 없는 행은 과목별 70% 백분위를 단순평균한 파생값입니다.
③ 영어 등급, 탐구 변환점수, 선택과목 가산점, 필수 응시영역, 실기/면접, 모집인원 변화를 현재 추천식이 모두 반영하지 않습니다.
④ Python 추천 프로그램에서는 모집단위 계열별 가중치와 완화된 상향/적정/하향 기준을 별도로 적용하세요.
⑤ 실제 지원 판단에는 해당 학년도 모집요강과 대학별 성적산출기를 반드시 함께 확인해야 합니다.</x:v>
      </x:c>
      <x:c r="B12" s="42"/>
      <x:c r="C12" s="42"/>
      <x:c r="D12" s="42"/>
      <x:c r="E12" s="42"/>
      <x:c r="F12" s="42"/>
      <x:c r="G12" s="42"/>
    </x:row>
    <x:row r="13" ht="48" customHeight="1">
      <x:c r="A13" s="148" t="str">
        <x:v>v4 확장</x:v>
      </x:c>
      <x:c r="B13" s="151" t="str">
        <x:v>경북대·전남대·강원대·경상국립대·국립부경대·국립창원대·국립목포대·충북대·국립군산대에 더해 국립한국교통대·국립공주대까지 공식 2025학년도 정시 결과를 표준화하여 총 162개 모집단위를 추가. 기존 부산대·충남대·전북대·제주대와 합쳐 지방 국립대 데이터를 17개 대학·210개 모집단위로 확대.</x:v>
      </x:c>
      <x:c r="C13" s="42"/>
      <x:c r="D13" s="42"/>
      <x:c r="E13" s="42"/>
      <x:c r="F13" s="42"/>
      <x:c r="G13" s="42"/>
    </x:row>
    <x:row r="14" ht="48" customHeight="1">
      <x:c r="A14" s="148" t="str">
        <x:v>호환성 원칙</x:v>
      </x:c>
      <x:c r="B14" s="151" t="str">
        <x:v>과목별 70% 백분위를 최우선으로 보존합니다. 대학이 탐구 1과목만 공개하거나 공식 환산식으로 상위 3영역 평균을 산출하는 경우에는 공식 산식에서 역산 가능한 비교값만 추천기준_백분위에 저장하고, 비고/추천지표유형에 산출근거를 명시합니다. 확인되지 않는 값은 공란 유지.</x:v>
      </x:c>
      <x:c r="C14" s="42"/>
      <x:c r="D14" s="42"/>
      <x:c r="E14" s="42"/>
      <x:c r="F14" s="42"/>
      <x:c r="G14" s="42"/>
    </x:row>
    <x:row r="15" ht="22" customHeight="1">
      <x:c r="A15" s="167" t="str">
        <x:v>v5 확장</x:v>
      </x:c>
      <x:c r="B15" s="42" t="str">
        <x:v>영남대·계명대·동아대·인제대·호서대·원광대·순천향대·조선대·경성대·동의대·한남대의 공식 2025학년도 정시 결과 142개 모집단위를 추가. 공식 70% 평균백분위가 있으면 그대로 사용하고, 과목별 70% 백분위만 있는 경우 기존 추천기 호환 방식으로 파생 평균을 계산.</x:v>
      </x:c>
      <x:c r="C15" s="42"/>
      <x:c r="D15" s="42"/>
      <x:c r="E15" s="42"/>
      <x:c r="F15" s="42"/>
      <x:c r="G15" s="42"/>
    </x:row>
    <x:row r="16" ht="22" customHeight="1">
      <x:c r="A16" s="42"/>
      <x:c r="B16" s="42"/>
      <x:c r="C16" s="42"/>
      <x:c r="D16" s="42"/>
      <x:c r="E16" s="42"/>
      <x:c r="F16" s="42"/>
      <x:c r="G16" s="42"/>
    </x:row>
    <x:row r="17">
      <x:c r="A17" s="40"/>
      <x:c r="B17" s="40"/>
      <x:c r="C17" s="40"/>
      <x:c r="D17" s="40"/>
      <x:c r="E17" s="40"/>
      <x:c r="F17" s="40"/>
      <x:c r="G17" s="40"/>
    </x:row>
    <x:row r="18">
      <x:c r="A18" s="13" t="str">
        <x:v>추천 프로젝트에서의 사용 흐름</x:v>
      </x:c>
      <x:c r="B18" s="13"/>
      <x:c r="C18" s="13"/>
      <x:c r="D18" s="13"/>
      <x:c r="E18" s="13"/>
      <x:c r="F18" s="13"/>
      <x:c r="G18" s="13"/>
    </x:row>
    <x:row r="19">
      <x:c r="A19" s="23" t="str">
        <x:v>단계</x:v>
      </x:c>
      <x:c r="B19" s="23" t="str">
        <x:v>권장 처리</x:v>
      </x:c>
      <x:c r="C19" s="40"/>
      <x:c r="D19" s="40"/>
      <x:c r="E19" s="40"/>
      <x:c r="F19" s="40"/>
      <x:c r="G19" s="40"/>
    </x:row>
    <x:row r="20">
      <x:c r="A20" s="41" t="str">
        <x:v>1</x:v>
      </x:c>
      <x:c r="B20" s="41" t="str">
        <x:v>학생의 국어·수학·탐구 백분위를 입력</x:v>
      </x:c>
      <x:c r="C20" s="40"/>
      <x:c r="D20" s="40"/>
      <x:c r="E20" s="40"/>
      <x:c r="F20" s="40"/>
      <x:c r="G20" s="40"/>
    </x:row>
    <x:row r="21">
      <x:c r="A21" s="41" t="str">
        <x:v>2</x:v>
      </x:c>
      <x:c r="B21" s="41" t="str">
        <x:v>대학/학과별 모집군·지역·계열 등의 필터 적용</x:v>
      </x:c>
      <x:c r="C21" s="40"/>
      <x:c r="D21" s="40"/>
      <x:c r="E21" s="40"/>
      <x:c r="F21" s="40"/>
      <x:c r="G21" s="40"/>
    </x:row>
    <x:row r="22">
      <x:c r="A22" s="41" t="str">
        <x:v>3</x:v>
      </x:c>
      <x:c r="B22" s="41" t="str">
        <x:v>추천기준_백분위와 학생평균의 차이를 1차 비교</x:v>
      </x:c>
      <x:c r="C22" s="40"/>
      <x:c r="D22" s="40"/>
      <x:c r="E22" s="40"/>
      <x:c r="F22" s="40"/>
      <x:c r="G22" s="40"/>
    </x:row>
    <x:row r="23">
      <x:c r="A23" s="41" t="str">
        <x:v>4</x:v>
      </x:c>
      <x:c r="B23" s="41" t="str">
        <x:v>영어등급, 수학/탐구 선택과목, 대학별 반영비율·가산점을 별도 모델로 보정</x:v>
      </x:c>
      <x:c r="C23" s="40"/>
      <x:c r="D23" s="40"/>
      <x:c r="E23" s="40"/>
      <x:c r="F23" s="40"/>
      <x:c r="G23" s="40"/>
    </x:row>
    <x:row r="24">
      <x:c r="A24" s="41" t="str">
        <x:v>5</x:v>
      </x:c>
      <x:c r="B24" s="41" t="str">
        <x:v>최종적으로 대학 공식 성적산출기 또는 모집요강으로 재검증</x:v>
      </x:c>
      <x:c r="C24" s="40"/>
      <x:c r="D24" s="40"/>
      <x:c r="E24" s="40"/>
      <x:c r="F24" s="40"/>
      <x:c r="G24" s="40"/>
    </x:row>
    <x:row r="25">
      <x:c r="A25" s="40"/>
      <x:c r="B25" s="40"/>
      <x:c r="C25" s="40"/>
      <x:c r="D25" s="40"/>
      <x:c r="E25" s="40"/>
      <x:c r="F25" s="40"/>
      <x:c r="G25" s="40"/>
    </x:row>
    <x:row r="26">
      <x:c r="A26" s="13" t="str">
        <x:v>대표 공식 출처</x:v>
      </x:c>
      <x:c r="B26" s="13"/>
      <x:c r="C26" s="13"/>
      <x:c r="D26" s="13"/>
      <x:c r="E26" s="13"/>
      <x:c r="F26" s="13"/>
      <x:c r="G26" s="13"/>
    </x:row>
    <x:row r="27">
      <x:c r="A27" s="23" t="str">
        <x:v>출처</x:v>
      </x:c>
      <x:c r="B27" s="23" t="str">
        <x:v>URL</x:v>
      </x:c>
      <x:c r="C27" s="40"/>
      <x:c r="D27" s="40"/>
      <x:c r="E27" s="40"/>
      <x:c r="F27" s="40"/>
      <x:c r="G27" s="40"/>
    </x:row>
    <x:row r="28">
      <x:c r="A28" s="41" t="str">
        <x:v>대입정보포털 어디가</x:v>
      </x:c>
      <x:c r="B28" s="41" t="str">
        <x:v>https://www.adiga.kr/</x:v>
      </x:c>
      <x:c r="C28" s="40"/>
      <x:c r="D28" s="40"/>
      <x:c r="E28" s="40"/>
      <x:c r="F28" s="40"/>
      <x:c r="G28" s="40"/>
    </x:row>
    <x:row r="29">
      <x:c r="A29" s="41" t="str">
        <x:v>전국대학및전문대학정보 표준데이터</x:v>
      </x:c>
      <x:c r="B29" s="41" t="str">
        <x:v>https://www.data.go.kr/data/15107736/standard.do</x:v>
      </x:c>
      <x:c r="C29" s="40"/>
      <x:c r="D29" s="40"/>
      <x:c r="E29" s="40"/>
      <x:c r="F29" s="40"/>
      <x:c r="G29" s="40"/>
    </x:row>
    <x:row r="30">
      <x:c r="A30" s="41" t="str">
        <x:v>전국대학별학과정보 표준데이터</x:v>
      </x:c>
      <x:c r="B30" s="41" t="str">
        <x:v>https://www.data.go.kr/data/15107737/standard.do</x:v>
      </x:c>
      <x:c r="C30" s="40"/>
      <x:c r="D30" s="40"/>
      <x:c r="E30" s="40"/>
      <x:c r="F30" s="40"/>
      <x:c r="G30" s="40"/>
    </x:row>
  </x:sheetData>
  <x:mergeCells>
    <x:mergeCell ref="A1:G1"/>
    <x:mergeCell ref="A3:G3"/>
    <x:mergeCell ref="A10:G10"/>
    <x:mergeCell ref="A11:G16"/>
    <x:mergeCell ref="A18:G18"/>
    <x:mergeCell ref="A26:G26"/>
    <x:mergeCell ref="A12:B1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4" hidden="0" customWidth="1"/>
    <x:col min="4" max="4" width="18" hidden="0" customWidth="1"/>
    <x:col min="5" max="5" width="15" hidden="0" customWidth="1"/>
    <x:col min="6" max="6" width="18" hidden="0" customWidth="1"/>
  </x:cols>
  <x:sheetData>
    <x:row r="1" ht="30" customHeight="1">
      <x:c r="A1" s="5" t="str">
        <x:v>점수 입력 → 추천구간 테스트 (v5 지방 사립대 확장)</x:v>
      </x:c>
      <x:c r="B1" s="5"/>
      <x:c r="C1" s="5"/>
      <x:c r="D1" s="5"/>
      <x:c r="E1" s="5"/>
      <x:c r="F1" s="5"/>
    </x:row>
    <x:row r="3">
      <x:c r="A3" s="23" t="str">
        <x:v>입력항목</x:v>
      </x:c>
      <x:c r="B3" s="23" t="str">
        <x:v>값</x:v>
      </x:c>
      <x:c r="D3" s="23" t="str">
        <x:v>현재 분류</x:v>
      </x:c>
      <x:c r="E3" s="23" t="str">
        <x:v>모집단위 수</x:v>
      </x:c>
    </x:row>
    <x:row r="4">
      <x:c r="A4" s="52" t="str">
        <x:v>국어 백분위</x:v>
      </x:c>
      <x:c r="B4" s="56" t="n">
        <x:v>80</x:v>
      </x:c>
      <x:c r="D4" s="52" t="str">
        <x:v>안정</x:v>
      </x:c>
      <x:c r="E4" s="64" t="n">
        <x:f>COUNTIF('정시입결_2025'!$AB$2:$AB$758,D4)</x:f>
        <x:v>252</x:v>
      </x:c>
    </x:row>
    <x:row r="5">
      <x:c r="A5" s="52" t="str">
        <x:v>수학 백분위</x:v>
      </x:c>
      <x:c r="B5" s="56" t="n">
        <x:v>80</x:v>
      </x:c>
      <x:c r="D5" s="52" t="str">
        <x:v>적정</x:v>
      </x:c>
      <x:c r="E5" s="64" t="n">
        <x:f>COUNTIF('정시입결_2025'!$AB$2:$AB$758,D5)</x:f>
        <x:v>55</x:v>
      </x:c>
    </x:row>
    <x:row r="6">
      <x:c r="A6" s="52" t="str">
        <x:v>탐구1 백분위</x:v>
      </x:c>
      <x:c r="B6" s="56" t="n">
        <x:v>80</x:v>
      </x:c>
      <x:c r="D6" s="52" t="str">
        <x:v>소신</x:v>
      </x:c>
      <x:c r="E6" s="64" t="n">
        <x:f>COUNTIF('정시입결_2025'!$AB$2:$AB$758,D6)</x:f>
        <x:v>55</x:v>
      </x:c>
    </x:row>
    <x:row r="7">
      <x:c r="A7" s="52" t="str">
        <x:v>탐구2 백분위</x:v>
      </x:c>
      <x:c r="B7" s="56" t="n">
        <x:v>80</x:v>
      </x:c>
      <x:c r="D7" s="52" t="str">
        <x:v>상향</x:v>
      </x:c>
      <x:c r="E7" s="64" t="n">
        <x:f>COUNTIF('정시입결_2025'!$AB$2:$AB$758,D7)</x:f>
        <x:v>392</x:v>
      </x:c>
    </x:row>
    <x:row r="8">
      <x:c r="A8" s="52" t="str">
        <x:v>국수탐 단순평균</x:v>
      </x:c>
      <x:c r="B8" s="57" t="n">
        <x:f>AVERAGE(B4:B7)</x:f>
        <x:v>80</x:v>
      </x:c>
    </x:row>
    <x:row r="9">
      <x:c r="A9" s="52" t="str">
        <x:v>영어 등급(참고)</x:v>
      </x:c>
      <x:c r="B9" s="56" t="n">
        <x:v>3</x:v>
      </x:c>
    </x:row>
    <x:row r="10">
      <x:c r="A10" s="52" t="str">
        <x:v>안정 기준 차이</x:v>
      </x:c>
      <x:c r="B10" s="56" t="n">
        <x:v>5</x:v>
      </x:c>
    </x:row>
    <x:row r="11">
      <x:c r="A11" s="52" t="str">
        <x:v>적정 기준 차이</x:v>
      </x:c>
      <x:c r="B11" s="56" t="n">
        <x:v>1</x:v>
      </x:c>
    </x:row>
    <x:row r="12">
      <x:c r="A12" s="52" t="str">
        <x:v>소신 기준 하한</x:v>
      </x:c>
      <x:c r="B12" s="56" t="n">
        <x:v>-2</x:v>
      </x:c>
    </x:row>
    <x:row r="14">
      <x:c r="A14" s="31" t="str">
        <x:v>분류 방식(초기 프로토타입): 학생 국수탐 단순평균 - 추천기준_백분위의 차이를 계산합니다.
차이 ≥ 안정 기준 → 안정 / 차이 ≥ 적정 기준 → 적정 / 차이 ≥ 소신 하한 → 소신 / 그 미만 → 상향.
추천기준은 공식 70% 평균백분위를 우선하며, 없을 경우 과목별 70% 백분위의 단순평균을 사용합니다.
실제 서비스에서는 대학별 반영비율·영어·가산점·필수영역을 추가해 보정하세요.</x:v>
      </x:c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</x:sheetData>
  <x:mergeCells>
    <x:mergeCell ref="A1:F1"/>
    <x:mergeCell ref="A14:F17"/>
  </x:mergeCells>
  <x:dataValidations count="2">
    <x:dataValidation operator="between" sqref="B4:B7">
      <x:formula1>0</x:formula1>
      <x:formula2>100</x:formula2>
    </x:dataValidation>
    <x:dataValidation operator="between" sqref="B9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8" hidden="0" customWidth="1"/>
    <x:col min="4" max="4" width="20" hidden="0" customWidth="1"/>
    <x:col min="5" max="5" width="8" hidden="0" customWidth="1"/>
    <x:col min="6" max="6" width="18" hidden="0" customWidth="1"/>
    <x:col min="7" max="7" width="28" hidden="0" customWidth="1"/>
    <x:col min="8" max="8" width="10" hidden="0" customWidth="1"/>
    <x:col min="9" max="9" width="8" hidden="0" customWidth="1"/>
    <x:col min="10" max="10" width="10" hidden="0" customWidth="1"/>
    <x:col min="11" max="11" width="9" hidden="0" customWidth="1"/>
    <x:col min="12" max="12" width="11" hidden="0" customWidth="1"/>
    <x:col min="13" max="13" width="11" hidden="0" customWidth="1"/>
    <x:col min="14" max="14" width="11" hidden="0" customWidth="1"/>
    <x:col min="15" max="15" width="10" hidden="0" customWidth="1"/>
    <x:col min="16" max="16" width="9" hidden="0" customWidth="1"/>
    <x:col min="17" max="17" width="9" hidden="0" customWidth="1"/>
    <x:col min="18" max="18" width="10" hidden="0" customWidth="1"/>
    <x:col min="19" max="19" width="10" hidden="0" customWidth="1"/>
    <x:col min="20" max="20" width="11" hidden="0" customWidth="1"/>
    <x:col min="21" max="21" width="12" hidden="0" customWidth="1"/>
    <x:col min="22" max="22" width="15" hidden="0" customWidth="1"/>
    <x:col min="23" max="23" width="18" hidden="0" customWidth="1"/>
    <x:col min="24" max="24" width="15" hidden="0" customWidth="1"/>
    <x:col min="25" max="25" width="22" hidden="0" customWidth="1"/>
    <x:col min="26" max="26" width="14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9" hidden="0" customWidth="1"/>
    <x:col min="32" max="32" width="34" hidden="0" customWidth="1"/>
    <x:col min="33" max="33" width="42" hidden="0" customWidth="1"/>
  </x:cols>
  <x:sheetData>
    <x:row r="1" ht="38" customHeight="1">
      <x:c r="A1" s="23" t="str">
        <x:v>학년도</x:v>
      </x:c>
      <x:c r="B1" s="23" t="str">
        <x:v>지역</x:v>
      </x:c>
      <x:c r="C1" s="23" t="str">
        <x:v>설립</x:v>
      </x:c>
      <x:c r="D1" s="23" t="str">
        <x:v>대학명</x:v>
      </x:c>
      <x:c r="E1" s="23" t="str">
        <x:v>모집군</x:v>
      </x:c>
      <x:c r="F1" s="23" t="str">
        <x:v>전형명</x:v>
      </x:c>
      <x:c r="G1" s="23" t="str">
        <x:v>모집단위</x:v>
      </x:c>
      <x:c r="H1" s="23" t="str">
        <x:v>최초모집</x:v>
      </x:c>
      <x:c r="I1" s="23" t="str">
        <x:v>이월</x:v>
      </x:c>
      <x:c r="J1" s="23" t="str">
        <x:v>최종모집</x:v>
      </x:c>
      <x:c r="K1" s="23" t="str">
        <x:v>경쟁률</x:v>
      </x:c>
      <x:c r="L1" s="23" t="str">
        <x:v>충원합격순위</x:v>
      </x:c>
      <x:c r="M1" s="23" t="str">
        <x:v>환산50</x:v>
      </x:c>
      <x:c r="N1" s="23" t="str">
        <x:v>환산70</x:v>
      </x:c>
      <x:c r="O1" s="23" t="str">
        <x:v>수능총점</x:v>
      </x:c>
      <x:c r="P1" s="23" t="str">
        <x:v>국어70</x:v>
      </x:c>
      <x:c r="Q1" s="23" t="str">
        <x:v>수학70</x:v>
      </x:c>
      <x:c r="R1" s="23" t="str">
        <x:v>탐구1_70</x:v>
      </x:c>
      <x:c r="S1" s="23" t="str">
        <x:v>탐구2_70</x:v>
      </x:c>
      <x:c r="T1" s="23" t="str">
        <x:v>영어70_등급</x:v>
      </x:c>
      <x:c r="U1" s="23" t="str">
        <x:v>한국사70_등급</x:v>
      </x:c>
      <x:c r="V1" s="23" t="str">
        <x:v>공식70평균백분위</x:v>
      </x:c>
      <x:c r="W1" s="23" t="str">
        <x:v>파생_국수탐70단순평균</x:v>
      </x:c>
      <x:c r="X1" s="23" t="str">
        <x:v>추천기준_백분위</x:v>
      </x:c>
      <x:c r="Y1" s="23" t="str">
        <x:v>추천지표유형</x:v>
      </x:c>
      <x:c r="Z1" s="23" t="str">
        <x:v>학생평균백분위</x:v>
      </x:c>
      <x:c r="AA1" s="23" t="str">
        <x:v>점수차</x:v>
      </x:c>
      <x:c r="AB1" s="23" t="str">
        <x:v>추천구간</x:v>
      </x:c>
      <x:c r="AC1" s="23" t="str">
        <x:v>확통비율</x:v>
      </x:c>
      <x:c r="AD1" s="23" t="str">
        <x:v>미적분비율</x:v>
      </x:c>
      <x:c r="AE1" s="23" t="str">
        <x:v>기하비율</x:v>
      </x:c>
      <x:c r="AF1" s="23" t="str">
        <x:v>비고</x:v>
      </x:c>
      <x:c r="AG1" s="23" t="str">
        <x:v>출처URL</x:v>
      </x:c>
    </x:row>
    <x:row r="2">
      <x:c r="A2" s="40" t="n">
        <x:v>2025</x:v>
      </x:c>
      <x:c r="B2" s="40" t="str">
        <x:v>서울특별시</x:v>
      </x:c>
      <x:c r="C2" s="40" t="str">
        <x:v>국립</x:v>
      </x:c>
      <x:c r="D2" s="40" t="str">
        <x:v>서울과학기술대학교</x:v>
      </x:c>
      <x:c r="E2" s="40" t="str">
        <x:v>가</x:v>
      </x:c>
      <x:c r="F2" s="40" t="str">
        <x:v>수능위주(일반전형)</x:v>
      </x:c>
      <x:c r="G2" s="41" t="str">
        <x:v>기계시스템디자인공학과</x:v>
      </x:c>
      <x:c r="H2" s="40"/>
      <x:c r="I2" s="40"/>
      <x:c r="J2" s="40" t="n">
        <x:v>47</x:v>
      </x:c>
      <x:c r="K2" s="60" t="n">
        <x:v>5.64</x:v>
      </x:c>
      <x:c r="L2" s="40" t="n">
        <x:v>27</x:v>
      </x:c>
      <x:c r="M2" s="60"/>
      <x:c r="N2" s="60" t="n">
        <x:v>911.11</x:v>
      </x:c>
      <x:c r="O2" s="60" t="n">
        <x:v>1000</x:v>
      </x:c>
      <x:c r="P2" s="62"/>
      <x:c r="Q2" s="62"/>
      <x:c r="R2" s="62"/>
      <x:c r="S2" s="62"/>
      <x:c r="T2" s="62"/>
      <x:c r="U2" s="62"/>
      <x:c r="V2" s="60" t="n">
        <x:v>83.33</x:v>
      </x:c>
      <x:c r="W2" s="60" t="str">
        <x:f>IF(COUNT(P2:S2)&gt;=3,AVERAGE(P2:S2),"")</x:f>
      </x:c>
      <x:c r="X2" s="60" t="n">
        <x:f>IF(V2&lt;&gt;"",V2,W2)</x:f>
        <x:v>83.33</x:v>
      </x:c>
      <x:c r="Y2" s="40" t="str">
        <x:f>IF(V2&lt;&gt;"","공식 70% 평균백분위",IF(W2&lt;&gt;"","파생 단순평균(참고)","비교불가"))</x:f>
        <x:v>공식 70% 평균백분위</x:v>
      </x:c>
      <x:c r="Z2" s="60" t="n">
        <x:f>'추천_테스트'!$B$8</x:f>
        <x:v>80</x:v>
      </x:c>
      <x:c r="AA2" s="60" t="n">
        <x:f>IF(X2="","",Z2-X2)</x:f>
        <x:v>-3.3299999999999983</x:v>
      </x:c>
      <x:c r="AB2" s="40" t="str">
        <x:f>IF(X2="","",IF(AA2&gt;='추천_테스트'!$B$10,"안정",IF(AA2&gt;='추천_테스트'!$B$11,"적정",IF(AA2&gt;='추천_테스트'!$B$12,"소신","상향"))))</x:f>
        <x:v>상향</x:v>
      </x:c>
      <x:c r="AC2" s="62" t="n">
        <x:v>2</x:v>
      </x:c>
      <x:c r="AD2" s="62" t="n">
        <x:v>93</x:v>
      </x:c>
      <x:c r="AE2" s="62" t="n">
        <x:v>4</x:v>
      </x:c>
      <x:c r="AF2" s="41" t="str">
        <x:v>A: 공식 70% 평균백분위 제공</x:v>
      </x:c>
      <x:c r="AG2" s="41" t="str">
        <x:v>https://www.adiga.kr/ucp/uvt/uni/univDetailSelection.do?menuId=PCUVTINF2000&amp;searchSyr=2026&amp;unvCd=0000036</x:v>
      </x:c>
    </x:row>
    <x:row r="3">
      <x:c r="A3" s="40" t="n">
        <x:v>2025</x:v>
      </x:c>
      <x:c r="B3" s="40" t="str">
        <x:v>서울특별시</x:v>
      </x:c>
      <x:c r="C3" s="40" t="str">
        <x:v>국립</x:v>
      </x:c>
      <x:c r="D3" s="40" t="str">
        <x:v>서울과학기술대학교</x:v>
      </x:c>
      <x:c r="E3" s="40" t="str">
        <x:v>가</x:v>
      </x:c>
      <x:c r="F3" s="40" t="str">
        <x:v>수능위주(일반전형)</x:v>
      </x:c>
      <x:c r="G3" s="41" t="str">
        <x:v>안전공학과</x:v>
      </x:c>
      <x:c r="H3" s="40"/>
      <x:c r="I3" s="40"/>
      <x:c r="J3" s="40" t="n">
        <x:v>17</x:v>
      </x:c>
      <x:c r="K3" s="60" t="n">
        <x:v>5.53</x:v>
      </x:c>
      <x:c r="L3" s="40" t="n">
        <x:v>8</x:v>
      </x:c>
      <x:c r="M3" s="60"/>
      <x:c r="N3" s="60" t="n">
        <x:v>905.97</x:v>
      </x:c>
      <x:c r="O3" s="60" t="n">
        <x:v>1000</x:v>
      </x:c>
      <x:c r="P3" s="62"/>
      <x:c r="Q3" s="62"/>
      <x:c r="R3" s="62"/>
      <x:c r="S3" s="62"/>
      <x:c r="T3" s="62"/>
      <x:c r="U3" s="62"/>
      <x:c r="V3" s="60" t="n">
        <x:v>82.17</x:v>
      </x:c>
      <x:c r="W3" s="60" t="str">
        <x:f>IF(COUNT(P3:S3)&gt;=3,AVERAGE(P3:S3),"")</x:f>
      </x:c>
      <x:c r="X3" s="60" t="n">
        <x:f>IF(V3&lt;&gt;"",V3,W3)</x:f>
        <x:v>82.17</x:v>
      </x:c>
      <x:c r="Y3" s="40" t="str">
        <x:f>IF(V3&lt;&gt;"","공식 70% 평균백분위",IF(W3&lt;&gt;"","파생 단순평균(참고)","비교불가"))</x:f>
        <x:v>공식 70% 평균백분위</x:v>
      </x:c>
      <x:c r="Z3" s="60" t="n">
        <x:f>'추천_테스트'!$B$8</x:f>
        <x:v>80</x:v>
      </x:c>
      <x:c r="AA3" s="60" t="n">
        <x:f>IF(X3="","",Z3-X3)</x:f>
        <x:v>-2.1700000000000017</x:v>
      </x:c>
      <x:c r="AB3" s="40" t="str">
        <x:f>IF(X3="","",IF(AA3&gt;='추천_테스트'!$B$10,"안정",IF(AA3&gt;='추천_테스트'!$B$11,"적정",IF(AA3&gt;='추천_테스트'!$B$12,"소신","상향"))))</x:f>
        <x:v>상향</x:v>
      </x:c>
      <x:c r="AC3" s="62" t="n">
        <x:v>0</x:v>
      </x:c>
      <x:c r="AD3" s="62" t="n">
        <x:v>100</x:v>
      </x:c>
      <x:c r="AE3" s="62" t="n">
        <x:v>0</x:v>
      </x:c>
      <x:c r="AF3" s="41" t="str">
        <x:v>A: 공식 70% 평균백분위 제공</x:v>
      </x:c>
      <x:c r="AG3" s="41" t="str">
        <x:v>https://www.adiga.kr/ucp/uvt/uni/univDetailSelection.do?menuId=PCUVTINF2000&amp;searchSyr=2026&amp;unvCd=0000036</x:v>
      </x:c>
    </x:row>
    <x:row r="4">
      <x:c r="A4" s="40" t="n">
        <x:v>2025</x:v>
      </x:c>
      <x:c r="B4" s="40" t="str">
        <x:v>서울특별시</x:v>
      </x:c>
      <x:c r="C4" s="40" t="str">
        <x:v>국립</x:v>
      </x:c>
      <x:c r="D4" s="40" t="str">
        <x:v>서울과학기술대학교</x:v>
      </x:c>
      <x:c r="E4" s="40" t="str">
        <x:v>가</x:v>
      </x:c>
      <x:c r="F4" s="40" t="str">
        <x:v>수능위주(일반전형)</x:v>
      </x:c>
      <x:c r="G4" s="41" t="str">
        <x:v>신소재공학과</x:v>
      </x:c>
      <x:c r="H4" s="40"/>
      <x:c r="I4" s="40"/>
      <x:c r="J4" s="40" t="n">
        <x:v>24</x:v>
      </x:c>
      <x:c r="K4" s="60" t="n">
        <x:v>5.17</x:v>
      </x:c>
      <x:c r="L4" s="40" t="n">
        <x:v>35</x:v>
      </x:c>
      <x:c r="M4" s="60"/>
      <x:c r="N4" s="60" t="n">
        <x:v>913.87</x:v>
      </x:c>
      <x:c r="O4" s="60" t="n">
        <x:v>1000</x:v>
      </x:c>
      <x:c r="P4" s="62"/>
      <x:c r="Q4" s="62"/>
      <x:c r="R4" s="62"/>
      <x:c r="S4" s="62"/>
      <x:c r="T4" s="62"/>
      <x:c r="U4" s="62"/>
      <x:c r="V4" s="60" t="n">
        <x:v>83.83</x:v>
      </x:c>
      <x:c r="W4" s="60" t="str">
        <x:f>IF(COUNT(P4:S4)&gt;=3,AVERAGE(P4:S4),"")</x:f>
      </x:c>
      <x:c r="X4" s="60" t="n">
        <x:f>IF(V4&lt;&gt;"",V4,W4)</x:f>
        <x:v>83.83</x:v>
      </x:c>
      <x:c r="Y4" s="40" t="str">
        <x:f>IF(V4&lt;&gt;"","공식 70% 평균백분위",IF(W4&lt;&gt;"","파생 단순평균(참고)","비교불가"))</x:f>
        <x:v>공식 70% 평균백분위</x:v>
      </x:c>
      <x:c r="Z4" s="60" t="n">
        <x:f>'추천_테스트'!$B$8</x:f>
        <x:v>80</x:v>
      </x:c>
      <x:c r="AA4" s="60" t="n">
        <x:f>IF(X4="","",Z4-X4)</x:f>
        <x:v>-3.8299999999999983</x:v>
      </x:c>
      <x:c r="AB4" s="40" t="str">
        <x:f>IF(X4="","",IF(AA4&gt;='추천_테스트'!$B$10,"안정",IF(AA4&gt;='추천_테스트'!$B$11,"적정",IF(AA4&gt;='추천_테스트'!$B$12,"소신","상향"))))</x:f>
        <x:v>상향</x:v>
      </x:c>
      <x:c r="AC4" s="62" t="n">
        <x:v>0</x:v>
      </x:c>
      <x:c r="AD4" s="62" t="n">
        <x:v>96</x:v>
      </x:c>
      <x:c r="AE4" s="62" t="n">
        <x:v>4</x:v>
      </x:c>
      <x:c r="AF4" s="41" t="str">
        <x:v>A: 공식 70% 평균백분위 제공</x:v>
      </x:c>
      <x:c r="AG4" s="41" t="str">
        <x:v>https://www.adiga.kr/ucp/uvt/uni/univDetailSelection.do?menuId=PCUVTINF2000&amp;searchSyr=2026&amp;unvCd=0000036</x:v>
      </x:c>
    </x:row>
    <x:row r="5">
      <x:c r="A5" s="40" t="n">
        <x:v>2025</x:v>
      </x:c>
      <x:c r="B5" s="40" t="str">
        <x:v>서울특별시</x:v>
      </x:c>
      <x:c r="C5" s="40" t="str">
        <x:v>국립</x:v>
      </x:c>
      <x:c r="D5" s="40" t="str">
        <x:v>서울과학기술대학교</x:v>
      </x:c>
      <x:c r="E5" s="40" t="str">
        <x:v>가</x:v>
      </x:c>
      <x:c r="F5" s="40" t="str">
        <x:v>수능위주(일반전형)</x:v>
      </x:c>
      <x:c r="G5" s="41" t="str">
        <x:v>건설시스템공학과</x:v>
      </x:c>
      <x:c r="H5" s="40"/>
      <x:c r="I5" s="40"/>
      <x:c r="J5" s="40" t="n">
        <x:v>29</x:v>
      </x:c>
      <x:c r="K5" s="60" t="n">
        <x:v>4.72</x:v>
      </x:c>
      <x:c r="L5" s="40" t="n">
        <x:v>18</x:v>
      </x:c>
      <x:c r="M5" s="60"/>
      <x:c r="N5" s="60" t="n">
        <x:v>906.01</x:v>
      </x:c>
      <x:c r="O5" s="60" t="n">
        <x:v>1000</x:v>
      </x:c>
      <x:c r="P5" s="62"/>
      <x:c r="Q5" s="62"/>
      <x:c r="R5" s="62"/>
      <x:c r="S5" s="62"/>
      <x:c r="T5" s="62"/>
      <x:c r="U5" s="62"/>
      <x:c r="V5" s="60" t="n">
        <x:v>82.17</x:v>
      </x:c>
      <x:c r="W5" s="60" t="str">
        <x:f>IF(COUNT(P5:S5)&gt;=3,AVERAGE(P5:S5),"")</x:f>
      </x:c>
      <x:c r="X5" s="60" t="n">
        <x:f>IF(V5&lt;&gt;"",V5,W5)</x:f>
        <x:v>82.17</x:v>
      </x:c>
      <x:c r="Y5" s="40" t="str">
        <x:f>IF(V5&lt;&gt;"","공식 70% 평균백분위",IF(W5&lt;&gt;"","파생 단순평균(참고)","비교불가"))</x:f>
        <x:v>공식 70% 평균백분위</x:v>
      </x:c>
      <x:c r="Z5" s="60" t="n">
        <x:f>'추천_테스트'!$B$8</x:f>
        <x:v>80</x:v>
      </x:c>
      <x:c r="AA5" s="60" t="n">
        <x:f>IF(X5="","",Z5-X5)</x:f>
        <x:v>-2.1700000000000017</x:v>
      </x:c>
      <x:c r="AB5" s="40" t="str">
        <x:f>IF(X5="","",IF(AA5&gt;='추천_테스트'!$B$10,"안정",IF(AA5&gt;='추천_테스트'!$B$11,"적정",IF(AA5&gt;='추천_테스트'!$B$12,"소신","상향"))))</x:f>
        <x:v>상향</x:v>
      </x:c>
      <x:c r="AC5" s="62" t="n">
        <x:v>0</x:v>
      </x:c>
      <x:c r="AD5" s="62" t="n">
        <x:v>100</x:v>
      </x:c>
      <x:c r="AE5" s="62" t="n">
        <x:v>0</x:v>
      </x:c>
      <x:c r="AF5" s="41" t="str">
        <x:v>A: 공식 70% 평균백분위 제공</x:v>
      </x:c>
      <x:c r="AG5" s="41" t="str">
        <x:v>https://www.adiga.kr/ucp/uvt/uni/univDetailSelection.do?menuId=PCUVTINF2000&amp;searchSyr=2026&amp;unvCd=0000036</x:v>
      </x:c>
    </x:row>
    <x:row r="6">
      <x:c r="A6" s="40" t="n">
        <x:v>2025</x:v>
      </x:c>
      <x:c r="B6" s="40" t="str">
        <x:v>서울특별시</x:v>
      </x:c>
      <x:c r="C6" s="40" t="str">
        <x:v>국립</x:v>
      </x:c>
      <x:c r="D6" s="40" t="str">
        <x:v>서울과학기술대학교</x:v>
      </x:c>
      <x:c r="E6" s="40" t="str">
        <x:v>가</x:v>
      </x:c>
      <x:c r="F6" s="40" t="str">
        <x:v>수능위주(일반전형)</x:v>
      </x:c>
      <x:c r="G6" s="41" t="str">
        <x:v>전기정보공학과</x:v>
      </x:c>
      <x:c r="H6" s="40"/>
      <x:c r="I6" s="40"/>
      <x:c r="J6" s="40" t="n">
        <x:v>34</x:v>
      </x:c>
      <x:c r="K6" s="60" t="n">
        <x:v>4.38</x:v>
      </x:c>
      <x:c r="L6" s="40" t="n">
        <x:v>32</x:v>
      </x:c>
      <x:c r="M6" s="60"/>
      <x:c r="N6" s="60" t="n">
        <x:v>917.31</x:v>
      </x:c>
      <x:c r="O6" s="60" t="n">
        <x:v>1000</x:v>
      </x:c>
      <x:c r="P6" s="62"/>
      <x:c r="Q6" s="62"/>
      <x:c r="R6" s="62"/>
      <x:c r="S6" s="62"/>
      <x:c r="T6" s="62"/>
      <x:c r="U6" s="62"/>
      <x:c r="V6" s="60" t="n">
        <x:v>85</x:v>
      </x:c>
      <x:c r="W6" s="60" t="str">
        <x:f>IF(COUNT(P6:S6)&gt;=3,AVERAGE(P6:S6),"")</x:f>
      </x:c>
      <x:c r="X6" s="60" t="n">
        <x:f>IF(V6&lt;&gt;"",V6,W6)</x:f>
        <x:v>85</x:v>
      </x:c>
      <x:c r="Y6" s="40" t="str">
        <x:f>IF(V6&lt;&gt;"","공식 70% 평균백분위",IF(W6&lt;&gt;"","파생 단순평균(참고)","비교불가"))</x:f>
        <x:v>공식 70% 평균백분위</x:v>
      </x:c>
      <x:c r="Z6" s="60" t="n">
        <x:f>'추천_테스트'!$B$8</x:f>
        <x:v>80</x:v>
      </x:c>
      <x:c r="AA6" s="60" t="n">
        <x:f>IF(X6="","",Z6-X6)</x:f>
        <x:v>-5</x:v>
      </x:c>
      <x:c r="AB6" s="40" t="str">
        <x:f>IF(X6="","",IF(AA6&gt;='추천_테스트'!$B$10,"안정",IF(AA6&gt;='추천_테스트'!$B$11,"적정",IF(AA6&gt;='추천_테스트'!$B$12,"소신","상향"))))</x:f>
        <x:v>상향</x:v>
      </x:c>
      <x:c r="AC6" s="62" t="n">
        <x:v>0</x:v>
      </x:c>
      <x:c r="AD6" s="62" t="n">
        <x:v>94</x:v>
      </x:c>
      <x:c r="AE6" s="62" t="n">
        <x:v>6</x:v>
      </x:c>
      <x:c r="AF6" s="41" t="str">
        <x:v>A: 공식 70% 평균백분위 제공</x:v>
      </x:c>
      <x:c r="AG6" s="41" t="str">
        <x:v>https://www.adiga.kr/ucp/uvt/uni/univDetailSelection.do?menuId=PCUVTINF2000&amp;searchSyr=2026&amp;unvCd=0000036</x:v>
      </x:c>
    </x:row>
    <x:row r="7">
      <x:c r="A7" s="40" t="n">
        <x:v>2025</x:v>
      </x:c>
      <x:c r="B7" s="40" t="str">
        <x:v>서울특별시</x:v>
      </x:c>
      <x:c r="C7" s="40" t="str">
        <x:v>국립</x:v>
      </x:c>
      <x:c r="D7" s="40" t="str">
        <x:v>서울과학기술대학교</x:v>
      </x:c>
      <x:c r="E7" s="40" t="str">
        <x:v>가</x:v>
      </x:c>
      <x:c r="F7" s="40" t="str">
        <x:v>수능위주(일반전형)</x:v>
      </x:c>
      <x:c r="G7" s="41" t="str">
        <x:v>컴퓨터공학과</x:v>
      </x:c>
      <x:c r="H7" s="40"/>
      <x:c r="I7" s="40"/>
      <x:c r="J7" s="40" t="n">
        <x:v>20</x:v>
      </x:c>
      <x:c r="K7" s="60" t="n">
        <x:v>5.05</x:v>
      </x:c>
      <x:c r="L7" s="40" t="n">
        <x:v>13</x:v>
      </x:c>
      <x:c r="M7" s="60"/>
      <x:c r="N7" s="60" t="n">
        <x:v>921.29</x:v>
      </x:c>
      <x:c r="O7" s="60" t="n">
        <x:v>1000</x:v>
      </x:c>
      <x:c r="P7" s="62"/>
      <x:c r="Q7" s="62"/>
      <x:c r="R7" s="62"/>
      <x:c r="S7" s="62"/>
      <x:c r="T7" s="62"/>
      <x:c r="U7" s="62"/>
      <x:c r="V7" s="60" t="n">
        <x:v>83.83</x:v>
      </x:c>
      <x:c r="W7" s="60" t="str">
        <x:f>IF(COUNT(P7:S7)&gt;=3,AVERAGE(P7:S7),"")</x:f>
      </x:c>
      <x:c r="X7" s="60" t="n">
        <x:f>IF(V7&lt;&gt;"",V7,W7)</x:f>
        <x:v>83.83</x:v>
      </x:c>
      <x:c r="Y7" s="40" t="str">
        <x:f>IF(V7&lt;&gt;"","공식 70% 평균백분위",IF(W7&lt;&gt;"","파생 단순평균(참고)","비교불가"))</x:f>
        <x:v>공식 70% 평균백분위</x:v>
      </x:c>
      <x:c r="Z7" s="60" t="n">
        <x:f>'추천_테스트'!$B$8</x:f>
        <x:v>80</x:v>
      </x:c>
      <x:c r="AA7" s="60" t="n">
        <x:f>IF(X7="","",Z7-X7)</x:f>
        <x:v>-3.8299999999999983</x:v>
      </x:c>
      <x:c r="AB7" s="40" t="str">
        <x:f>IF(X7="","",IF(AA7&gt;='추천_테스트'!$B$10,"안정",IF(AA7&gt;='추천_테스트'!$B$11,"적정",IF(AA7&gt;='추천_테스트'!$B$12,"소신","상향"))))</x:f>
        <x:v>상향</x:v>
      </x:c>
      <x:c r="AC7" s="62" t="n">
        <x:v>0</x:v>
      </x:c>
      <x:c r="AD7" s="62" t="n">
        <x:v>100</x:v>
      </x:c>
      <x:c r="AE7" s="62" t="n">
        <x:v>0</x:v>
      </x:c>
      <x:c r="AF7" s="41" t="str">
        <x:v>A: 공식 70% 평균백분위 제공</x:v>
      </x:c>
      <x:c r="AG7" s="41" t="str">
        <x:v>https://www.adiga.kr/ucp/uvt/uni/univDetailSelection.do?menuId=PCUVTINF2000&amp;searchSyr=2026&amp;unvCd=0000036</x:v>
      </x:c>
    </x:row>
    <x:row r="8">
      <x:c r="A8" s="40" t="n">
        <x:v>2025</x:v>
      </x:c>
      <x:c r="B8" s="40" t="str">
        <x:v>서울특별시</x:v>
      </x:c>
      <x:c r="C8" s="40" t="str">
        <x:v>국립</x:v>
      </x:c>
      <x:c r="D8" s="40" t="str">
        <x:v>서울과학기술대학교</x:v>
      </x:c>
      <x:c r="E8" s="40" t="str">
        <x:v>가</x:v>
      </x:c>
      <x:c r="F8" s="40" t="str">
        <x:v>수능위주(일반전형)</x:v>
      </x:c>
      <x:c r="G8" s="41" t="str">
        <x:v>환경공학과</x:v>
      </x:c>
      <x:c r="H8" s="40"/>
      <x:c r="I8" s="40"/>
      <x:c r="J8" s="40" t="n">
        <x:v>16</x:v>
      </x:c>
      <x:c r="K8" s="60" t="n">
        <x:v>5</x:v>
      </x:c>
      <x:c r="L8" s="40" t="n">
        <x:v>7</x:v>
      </x:c>
      <x:c r="M8" s="60"/>
      <x:c r="N8" s="60" t="n">
        <x:v>907.69</x:v>
      </x:c>
      <x:c r="O8" s="60" t="n">
        <x:v>1000</x:v>
      </x:c>
      <x:c r="P8" s="62"/>
      <x:c r="Q8" s="62"/>
      <x:c r="R8" s="62"/>
      <x:c r="S8" s="62"/>
      <x:c r="T8" s="62"/>
      <x:c r="U8" s="62"/>
      <x:c r="V8" s="60" t="n">
        <x:v>82.83</x:v>
      </x:c>
      <x:c r="W8" s="60" t="str">
        <x:f>IF(COUNT(P8:S8)&gt;=3,AVERAGE(P8:S8),"")</x:f>
      </x:c>
      <x:c r="X8" s="60" t="n">
        <x:f>IF(V8&lt;&gt;"",V8,W8)</x:f>
        <x:v>82.83</x:v>
      </x:c>
      <x:c r="Y8" s="40" t="str">
        <x:f>IF(V8&lt;&gt;"","공식 70% 평균백분위",IF(W8&lt;&gt;"","파생 단순평균(참고)","비교불가"))</x:f>
        <x:v>공식 70% 평균백분위</x:v>
      </x:c>
      <x:c r="Z8" s="60" t="n">
        <x:f>'추천_테스트'!$B$8</x:f>
        <x:v>80</x:v>
      </x:c>
      <x:c r="AA8" s="60" t="n">
        <x:f>IF(X8="","",Z8-X8)</x:f>
        <x:v>-2.8299999999999983</x:v>
      </x:c>
      <x:c r="AB8" s="40" t="str">
        <x:f>IF(X8="","",IF(AA8&gt;='추천_테스트'!$B$10,"안정",IF(AA8&gt;='추천_테스트'!$B$11,"적정",IF(AA8&gt;='추천_테스트'!$B$12,"소신","상향"))))</x:f>
        <x:v>상향</x:v>
      </x:c>
      <x:c r="AC8" s="62" t="n">
        <x:v>6</x:v>
      </x:c>
      <x:c r="AD8" s="62" t="n">
        <x:v>81</x:v>
      </x:c>
      <x:c r="AE8" s="62" t="n">
        <x:v>13</x:v>
      </x:c>
      <x:c r="AF8" s="41" t="str">
        <x:v>A: 공식 70% 평균백분위 제공</x:v>
      </x:c>
      <x:c r="AG8" s="41" t="str">
        <x:v>https://www.adiga.kr/ucp/uvt/uni/univDetailSelection.do?menuId=PCUVTINF2000&amp;searchSyr=2026&amp;unvCd=0000036</x:v>
      </x:c>
    </x:row>
    <x:row r="9">
      <x:c r="A9" s="40" t="n">
        <x:v>2025</x:v>
      </x:c>
      <x:c r="B9" s="40" t="str">
        <x:v>서울특별시</x:v>
      </x:c>
      <x:c r="C9" s="40" t="str">
        <x:v>국립</x:v>
      </x:c>
      <x:c r="D9" s="40" t="str">
        <x:v>서울과학기술대학교</x:v>
      </x:c>
      <x:c r="E9" s="40" t="str">
        <x:v>가</x:v>
      </x:c>
      <x:c r="F9" s="40" t="str">
        <x:v>수능위주(일반전형)</x:v>
      </x:c>
      <x:c r="G9" s="41" t="str">
        <x:v>정밀화학과</x:v>
      </x:c>
      <x:c r="H9" s="40"/>
      <x:c r="I9" s="40"/>
      <x:c r="J9" s="40" t="n">
        <x:v>14</x:v>
      </x:c>
      <x:c r="K9" s="60" t="n">
        <x:v>4.14</x:v>
      </x:c>
      <x:c r="L9" s="40" t="n">
        <x:v>6</x:v>
      </x:c>
      <x:c r="M9" s="60"/>
      <x:c r="N9" s="60" t="n">
        <x:v>912.29</x:v>
      </x:c>
      <x:c r="O9" s="60" t="n">
        <x:v>1000</x:v>
      </x:c>
      <x:c r="P9" s="62"/>
      <x:c r="Q9" s="62"/>
      <x:c r="R9" s="62"/>
      <x:c r="S9" s="62"/>
      <x:c r="T9" s="62"/>
      <x:c r="U9" s="62"/>
      <x:c r="V9" s="60" t="n">
        <x:v>84.17</x:v>
      </x:c>
      <x:c r="W9" s="60" t="str">
        <x:f>IF(COUNT(P9:S9)&gt;=3,AVERAGE(P9:S9),"")</x:f>
      </x:c>
      <x:c r="X9" s="60" t="n">
        <x:f>IF(V9&lt;&gt;"",V9,W9)</x:f>
        <x:v>84.17</x:v>
      </x:c>
      <x:c r="Y9" s="40" t="str">
        <x:f>IF(V9&lt;&gt;"","공식 70% 평균백분위",IF(W9&lt;&gt;"","파생 단순평균(참고)","비교불가"))</x:f>
        <x:v>공식 70% 평균백분위</x:v>
      </x:c>
      <x:c r="Z9" s="60" t="n">
        <x:f>'추천_테스트'!$B$8</x:f>
        <x:v>80</x:v>
      </x:c>
      <x:c r="AA9" s="60" t="n">
        <x:f>IF(X9="","",Z9-X9)</x:f>
        <x:v>-4.170000000000002</x:v>
      </x:c>
      <x:c r="AB9" s="40" t="str">
        <x:f>IF(X9="","",IF(AA9&gt;='추천_테스트'!$B$10,"안정",IF(AA9&gt;='추천_테스트'!$B$11,"적정",IF(AA9&gt;='추천_테스트'!$B$12,"소신","상향"))))</x:f>
        <x:v>상향</x:v>
      </x:c>
      <x:c r="AC9" s="62" t="n">
        <x:v>0</x:v>
      </x:c>
      <x:c r="AD9" s="62" t="n">
        <x:v>93</x:v>
      </x:c>
      <x:c r="AE9" s="62" t="n">
        <x:v>7</x:v>
      </x:c>
      <x:c r="AF9" s="41" t="str">
        <x:v>A: 공식 70% 평균백분위 제공</x:v>
      </x:c>
      <x:c r="AG9" s="41" t="str">
        <x:v>https://www.adiga.kr/ucp/uvt/uni/univDetailSelection.do?menuId=PCUVTINF2000&amp;searchSyr=2026&amp;unvCd=0000036</x:v>
      </x:c>
    </x:row>
    <x:row r="10">
      <x:c r="A10" s="40" t="n">
        <x:v>2025</x:v>
      </x:c>
      <x:c r="B10" s="40" t="str">
        <x:v>서울특별시</x:v>
      </x:c>
      <x:c r="C10" s="40" t="str">
        <x:v>국립</x:v>
      </x:c>
      <x:c r="D10" s="40" t="str">
        <x:v>서울과학기술대학교</x:v>
      </x:c>
      <x:c r="E10" s="40" t="str">
        <x:v>가</x:v>
      </x:c>
      <x:c r="F10" s="40" t="str">
        <x:v>수능위주(일반전형)</x:v>
      </x:c>
      <x:c r="G10" s="41" t="str">
        <x:v>안경광학과</x:v>
      </x:c>
      <x:c r="H10" s="40"/>
      <x:c r="I10" s="40"/>
      <x:c r="J10" s="40" t="n">
        <x:v>14</x:v>
      </x:c>
      <x:c r="K10" s="60" t="n">
        <x:v>4.43</x:v>
      </x:c>
      <x:c r="L10" s="40" t="n">
        <x:v>5</x:v>
      </x:c>
      <x:c r="M10" s="60"/>
      <x:c r="N10" s="60" t="n">
        <x:v>903.29</x:v>
      </x:c>
      <x:c r="O10" s="60" t="n">
        <x:v>1000</x:v>
      </x:c>
      <x:c r="P10" s="62"/>
      <x:c r="Q10" s="62"/>
      <x:c r="R10" s="62"/>
      <x:c r="S10" s="62"/>
      <x:c r="T10" s="62"/>
      <x:c r="U10" s="62"/>
      <x:c r="V10" s="60" t="n">
        <x:v>80.67</x:v>
      </x:c>
      <x:c r="W10" s="60" t="str">
        <x:f>IF(COUNT(P10:S10)&gt;=3,AVERAGE(P10:S10),"")</x:f>
      </x:c>
      <x:c r="X10" s="60" t="n">
        <x:f>IF(V10&lt;&gt;"",V10,W10)</x:f>
        <x:v>80.67</x:v>
      </x:c>
      <x:c r="Y10" s="40" t="str">
        <x:f>IF(V10&lt;&gt;"","공식 70% 평균백분위",IF(W10&lt;&gt;"","파생 단순평균(참고)","비교불가"))</x:f>
        <x:v>공식 70% 평균백분위</x:v>
      </x:c>
      <x:c r="Z10" s="60" t="n">
        <x:f>'추천_테스트'!$B$8</x:f>
        <x:v>80</x:v>
      </x:c>
      <x:c r="AA10" s="60" t="n">
        <x:f>IF(X10="","",Z10-X10)</x:f>
        <x:v>-0.6700000000000017</x:v>
      </x:c>
      <x:c r="AB10" s="40" t="str">
        <x:f>IF(X10="","",IF(AA10&gt;='추천_테스트'!$B$10,"안정",IF(AA10&gt;='추천_테스트'!$B$11,"적정",IF(AA10&gt;='추천_테스트'!$B$12,"소신","상향"))))</x:f>
        <x:v>소신</x:v>
      </x:c>
      <x:c r="AC10" s="62" t="n">
        <x:v>0</x:v>
      </x:c>
      <x:c r="AD10" s="62" t="n">
        <x:v>100</x:v>
      </x:c>
      <x:c r="AE10" s="62" t="n">
        <x:v>0</x:v>
      </x:c>
      <x:c r="AF10" s="41" t="str">
        <x:v>A: 공식 70% 평균백분위 제공</x:v>
      </x:c>
      <x:c r="AG10" s="41" t="str">
        <x:v>https://www.adiga.kr/ucp/uvt/uni/univDetailSelection.do?menuId=PCUVTINF2000&amp;searchSyr=2026&amp;unvCd=0000036</x:v>
      </x:c>
    </x:row>
    <x:row r="11">
      <x:c r="A11" s="40" t="n">
        <x:v>2025</x:v>
      </x:c>
      <x:c r="B11" s="40" t="str">
        <x:v>서울특별시</x:v>
      </x:c>
      <x:c r="C11" s="40" t="str">
        <x:v>국립</x:v>
      </x:c>
      <x:c r="D11" s="40" t="str">
        <x:v>서울과학기술대학교</x:v>
      </x:c>
      <x:c r="E11" s="40" t="str">
        <x:v>가</x:v>
      </x:c>
      <x:c r="F11" s="40" t="str">
        <x:v>수능위주(일반전형)</x:v>
      </x:c>
      <x:c r="G11" s="41" t="str">
        <x:v>MSDE학과</x:v>
      </x:c>
      <x:c r="H11" s="40"/>
      <x:c r="I11" s="40"/>
      <x:c r="J11" s="40" t="n">
        <x:v>19</x:v>
      </x:c>
      <x:c r="K11" s="60" t="n">
        <x:v>4.16</x:v>
      </x:c>
      <x:c r="L11" s="40" t="n">
        <x:v>7</x:v>
      </x:c>
      <x:c r="M11" s="60"/>
      <x:c r="N11" s="60" t="n">
        <x:v>930.64</x:v>
      </x:c>
      <x:c r="O11" s="60" t="n">
        <x:v>1000</x:v>
      </x:c>
      <x:c r="P11" s="62"/>
      <x:c r="Q11" s="62"/>
      <x:c r="R11" s="62"/>
      <x:c r="S11" s="62"/>
      <x:c r="T11" s="62"/>
      <x:c r="U11" s="62"/>
      <x:c r="V11" s="60" t="n">
        <x:v>86.33</x:v>
      </x:c>
      <x:c r="W11" s="60" t="str">
        <x:f>IF(COUNT(P11:S11)&gt;=3,AVERAGE(P11:S11),"")</x:f>
      </x:c>
      <x:c r="X11" s="60" t="n">
        <x:f>IF(V11&lt;&gt;"",V11,W11)</x:f>
        <x:v>86.33</x:v>
      </x:c>
      <x:c r="Y11" s="40" t="str">
        <x:f>IF(V11&lt;&gt;"","공식 70% 평균백분위",IF(W11&lt;&gt;"","파생 단순평균(참고)","비교불가"))</x:f>
        <x:v>공식 70% 평균백분위</x:v>
      </x:c>
      <x:c r="Z11" s="60" t="n">
        <x:f>'추천_테스트'!$B$8</x:f>
        <x:v>80</x:v>
      </x:c>
      <x:c r="AA11" s="60" t="n">
        <x:f>IF(X11="","",Z11-X11)</x:f>
        <x:v>-6.329999999999998</x:v>
      </x:c>
      <x:c r="AB11" s="40" t="str">
        <x:f>IF(X11="","",IF(AA11&gt;='추천_테스트'!$B$10,"안정",IF(AA11&gt;='추천_테스트'!$B$11,"적정",IF(AA11&gt;='추천_테스트'!$B$12,"소신","상향"))))</x:f>
        <x:v>상향</x:v>
      </x:c>
      <x:c r="AC11" s="62" t="n">
        <x:v>0</x:v>
      </x:c>
      <x:c r="AD11" s="62" t="n">
        <x:v>95</x:v>
      </x:c>
      <x:c r="AE11" s="62" t="n">
        <x:v>5</x:v>
      </x:c>
      <x:c r="AF11" s="41" t="str">
        <x:v>A: 공식 70% 평균백분위 제공</x:v>
      </x:c>
      <x:c r="AG11" s="41" t="str">
        <x:v>https://www.adiga.kr/ucp/uvt/uni/univDetailSelection.do?menuId=PCUVTINF2000&amp;searchSyr=2026&amp;unvCd=0000036</x:v>
      </x:c>
    </x:row>
    <x:row r="12">
      <x:c r="A12" s="40" t="n">
        <x:v>2025</x:v>
      </x:c>
      <x:c r="B12" s="40" t="str">
        <x:v>서울특별시</x:v>
      </x:c>
      <x:c r="C12" s="40" t="str">
        <x:v>국립</x:v>
      </x:c>
      <x:c r="D12" s="40" t="str">
        <x:v>서울과학기술대학교</x:v>
      </x:c>
      <x:c r="E12" s="40" t="str">
        <x:v>가</x:v>
      </x:c>
      <x:c r="F12" s="40" t="str">
        <x:v>수능위주(일반전형)</x:v>
      </x:c>
      <x:c r="G12" s="41" t="str">
        <x:v>산업공학과 ITM전공(자연)</x:v>
      </x:c>
      <x:c r="H12" s="40"/>
      <x:c r="I12" s="40"/>
      <x:c r="J12" s="40" t="n">
        <x:v>6</x:v>
      </x:c>
      <x:c r="K12" s="60" t="n">
        <x:v>5.67</x:v>
      </x:c>
      <x:c r="L12" s="40" t="n">
        <x:v>2</x:v>
      </x:c>
      <x:c r="M12" s="60"/>
      <x:c r="N12" s="60" t="n">
        <x:v>927.94</x:v>
      </x:c>
      <x:c r="O12" s="60" t="n">
        <x:v>1000</x:v>
      </x:c>
      <x:c r="P12" s="62"/>
      <x:c r="Q12" s="62"/>
      <x:c r="R12" s="62"/>
      <x:c r="S12" s="62"/>
      <x:c r="T12" s="62"/>
      <x:c r="U12" s="62"/>
      <x:c r="V12" s="60" t="n">
        <x:v>85.83</x:v>
      </x:c>
      <x:c r="W12" s="60" t="str">
        <x:f>IF(COUNT(P12:S12)&gt;=3,AVERAGE(P12:S12),"")</x:f>
      </x:c>
      <x:c r="X12" s="60" t="n">
        <x:f>IF(V12&lt;&gt;"",V12,W12)</x:f>
        <x:v>85.83</x:v>
      </x:c>
      <x:c r="Y12" s="40" t="str">
        <x:f>IF(V12&lt;&gt;"","공식 70% 평균백분위",IF(W12&lt;&gt;"","파생 단순평균(참고)","비교불가"))</x:f>
        <x:v>공식 70% 평균백분위</x:v>
      </x:c>
      <x:c r="Z12" s="60" t="n">
        <x:f>'추천_테스트'!$B$8</x:f>
        <x:v>80</x:v>
      </x:c>
      <x:c r="AA12" s="60" t="n">
        <x:f>IF(X12="","",Z12-X12)</x:f>
        <x:v>-5.829999999999998</x:v>
      </x:c>
      <x:c r="AB12" s="40" t="str">
        <x:f>IF(X12="","",IF(AA12&gt;='추천_테스트'!$B$10,"안정",IF(AA12&gt;='추천_테스트'!$B$11,"적정",IF(AA12&gt;='추천_테스트'!$B$12,"소신","상향"))))</x:f>
        <x:v>상향</x:v>
      </x:c>
      <x:c r="AC12" s="62" t="n">
        <x:v>0</x:v>
      </x:c>
      <x:c r="AD12" s="62" t="n">
        <x:v>100</x:v>
      </x:c>
      <x:c r="AE12" s="62" t="n">
        <x:v>0</x:v>
      </x:c>
      <x:c r="AF12" s="41" t="str">
        <x:v>A: 공식 70% 평균백분위 제공</x:v>
      </x:c>
      <x:c r="AG12" s="41" t="str">
        <x:v>https://www.adiga.kr/ucp/uvt/uni/univDetailSelection.do?menuId=PCUVTINF2000&amp;searchSyr=2026&amp;unvCd=0000036</x:v>
      </x:c>
    </x:row>
    <x:row r="13">
      <x:c r="A13" s="40" t="n">
        <x:v>2025</x:v>
      </x:c>
      <x:c r="B13" s="40" t="str">
        <x:v>서울특별시</x:v>
      </x:c>
      <x:c r="C13" s="40" t="str">
        <x:v>국립</x:v>
      </x:c>
      <x:c r="D13" s="40" t="str">
        <x:v>서울과학기술대학교</x:v>
      </x:c>
      <x:c r="E13" s="40" t="str">
        <x:v>가</x:v>
      </x:c>
      <x:c r="F13" s="40" t="str">
        <x:v>수능위주(일반전형)</x:v>
      </x:c>
      <x:c r="G13" s="41" t="str">
        <x:v>경영학과(글로벌테크노경영전공)_자연</x:v>
      </x:c>
      <x:c r="H13" s="40"/>
      <x:c r="I13" s="40"/>
      <x:c r="J13" s="40" t="n">
        <x:v>3</x:v>
      </x:c>
      <x:c r="K13" s="60" t="n">
        <x:v>7.67</x:v>
      </x:c>
      <x:c r="L13" s="40" t="n">
        <x:v>1</x:v>
      </x:c>
      <x:c r="M13" s="60"/>
      <x:c r="N13" s="60" t="n">
        <x:v>911.21</x:v>
      </x:c>
      <x:c r="O13" s="60" t="n">
        <x:v>1000</x:v>
      </x:c>
      <x:c r="P13" s="62"/>
      <x:c r="Q13" s="62"/>
      <x:c r="R13" s="62"/>
      <x:c r="S13" s="62"/>
      <x:c r="T13" s="62"/>
      <x:c r="U13" s="62"/>
      <x:c r="V13" s="60" t="n">
        <x:v>86.83</x:v>
      </x:c>
      <x:c r="W13" s="60" t="str">
        <x:f>IF(COUNT(P13:S13)&gt;=3,AVERAGE(P13:S13),"")</x:f>
      </x:c>
      <x:c r="X13" s="60" t="n">
        <x:f>IF(V13&lt;&gt;"",V13,W13)</x:f>
        <x:v>86.83</x:v>
      </x:c>
      <x:c r="Y13" s="40" t="str">
        <x:f>IF(V13&lt;&gt;"","공식 70% 평균백분위",IF(W13&lt;&gt;"","파생 단순평균(참고)","비교불가"))</x:f>
        <x:v>공식 70% 평균백분위</x:v>
      </x:c>
      <x:c r="Z13" s="60" t="n">
        <x:f>'추천_테스트'!$B$8</x:f>
        <x:v>80</x:v>
      </x:c>
      <x:c r="AA13" s="60" t="n">
        <x:f>IF(X13="","",Z13-X13)</x:f>
        <x:v>-6.829999999999998</x:v>
      </x:c>
      <x:c r="AB13" s="40" t="str">
        <x:f>IF(X13="","",IF(AA13&gt;='추천_테스트'!$B$10,"안정",IF(AA13&gt;='추천_테스트'!$B$11,"적정",IF(AA13&gt;='추천_테스트'!$B$12,"소신","상향"))))</x:f>
        <x:v>상향</x:v>
      </x:c>
      <x:c r="AC13" s="62" t="n">
        <x:v>0</x:v>
      </x:c>
      <x:c r="AD13" s="62" t="n">
        <x:v>100</x:v>
      </x:c>
      <x:c r="AE13" s="62" t="n">
        <x:v>0</x:v>
      </x:c>
      <x:c r="AF13" s="41" t="str">
        <x:v>A: 공식 70% 평균백분위 제공</x:v>
      </x:c>
      <x:c r="AG13" s="41" t="str">
        <x:v>https://www.adiga.kr/ucp/uvt/uni/univDetailSelection.do?menuId=PCUVTINF2000&amp;searchSyr=2026&amp;unvCd=0000036</x:v>
      </x:c>
    </x:row>
    <x:row r="14">
      <x:c r="A14" s="40" t="n">
        <x:v>2025</x:v>
      </x:c>
      <x:c r="B14" s="40" t="str">
        <x:v>서울특별시</x:v>
      </x:c>
      <x:c r="C14" s="40" t="str">
        <x:v>국립</x:v>
      </x:c>
      <x:c r="D14" s="40" t="str">
        <x:v>서울과학기술대학교</x:v>
      </x:c>
      <x:c r="E14" s="40" t="str">
        <x:v>가</x:v>
      </x:c>
      <x:c r="F14" s="40" t="str">
        <x:v>수능위주(일반전형)</x:v>
      </x:c>
      <x:c r="G14" s="41" t="str">
        <x:v>영어영문학과</x:v>
      </x:c>
      <x:c r="H14" s="40"/>
      <x:c r="I14" s="40"/>
      <x:c r="J14" s="40" t="n">
        <x:v>6</x:v>
      </x:c>
      <x:c r="K14" s="60" t="n">
        <x:v>5.33</x:v>
      </x:c>
      <x:c r="L14" s="40" t="n">
        <x:v>5</x:v>
      </x:c>
      <x:c r="M14" s="60"/>
      <x:c r="N14" s="60" t="n">
        <x:v>913.39</x:v>
      </x:c>
      <x:c r="O14" s="60" t="n">
        <x:v>1000</x:v>
      </x:c>
      <x:c r="P14" s="62"/>
      <x:c r="Q14" s="62"/>
      <x:c r="R14" s="62"/>
      <x:c r="S14" s="62"/>
      <x:c r="T14" s="62"/>
      <x:c r="U14" s="62"/>
      <x:c r="V14" s="60" t="n">
        <x:v>83.17</x:v>
      </x:c>
      <x:c r="W14" s="60" t="str">
        <x:f>IF(COUNT(P14:S14)&gt;=3,AVERAGE(P14:S14),"")</x:f>
      </x:c>
      <x:c r="X14" s="60" t="n">
        <x:f>IF(V14&lt;&gt;"",V14,W14)</x:f>
        <x:v>83.17</x:v>
      </x:c>
      <x:c r="Y14" s="40" t="str">
        <x:f>IF(V14&lt;&gt;"","공식 70% 평균백분위",IF(W14&lt;&gt;"","파생 단순평균(참고)","비교불가"))</x:f>
        <x:v>공식 70% 평균백분위</x:v>
      </x:c>
      <x:c r="Z14" s="60" t="n">
        <x:f>'추천_테스트'!$B$8</x:f>
        <x:v>80</x:v>
      </x:c>
      <x:c r="AA14" s="60" t="n">
        <x:f>IF(X14="","",Z14-X14)</x:f>
        <x:v>-3.1700000000000017</x:v>
      </x:c>
      <x:c r="AB14" s="40" t="str">
        <x:f>IF(X14="","",IF(AA14&gt;='추천_테스트'!$B$10,"안정",IF(AA14&gt;='추천_테스트'!$B$11,"적정",IF(AA14&gt;='추천_테스트'!$B$12,"소신","상향"))))</x:f>
        <x:v>상향</x:v>
      </x:c>
      <x:c r="AC14" s="62" t="n">
        <x:v>67</x:v>
      </x:c>
      <x:c r="AD14" s="62" t="n">
        <x:v>17</x:v>
      </x:c>
      <x:c r="AE14" s="62" t="n">
        <x:v>17</x:v>
      </x:c>
      <x:c r="AF14" s="41" t="str">
        <x:v>A: 공식 70% 평균백분위 제공</x:v>
      </x:c>
      <x:c r="AG14" s="41" t="str">
        <x:v>https://www.adiga.kr/ucp/uvt/uni/univDetailSelection.do?menuId=PCUVTINF2000&amp;searchSyr=2026&amp;unvCd=0000036</x:v>
      </x:c>
    </x:row>
    <x:row r="15">
      <x:c r="A15" s="40" t="n">
        <x:v>2025</x:v>
      </x:c>
      <x:c r="B15" s="40" t="str">
        <x:v>서울특별시</x:v>
      </x:c>
      <x:c r="C15" s="40" t="str">
        <x:v>국립</x:v>
      </x:c>
      <x:c r="D15" s="40" t="str">
        <x:v>서울과학기술대학교</x:v>
      </x:c>
      <x:c r="E15" s="40" t="str">
        <x:v>가</x:v>
      </x:c>
      <x:c r="F15" s="40" t="str">
        <x:v>수능위주(일반전형)</x:v>
      </x:c>
      <x:c r="G15" s="41" t="str">
        <x:v>문예창작학과</x:v>
      </x:c>
      <x:c r="H15" s="40"/>
      <x:c r="I15" s="40"/>
      <x:c r="J15" s="40" t="n">
        <x:v>16</x:v>
      </x:c>
      <x:c r="K15" s="60" t="n">
        <x:v>7.69</x:v>
      </x:c>
      <x:c r="L15" s="40" t="n">
        <x:v>12</x:v>
      </x:c>
      <x:c r="M15" s="60"/>
      <x:c r="N15" s="60" t="n">
        <x:v>948.71</x:v>
      </x:c>
      <x:c r="O15" s="60" t="n">
        <x:v>1000</x:v>
      </x:c>
      <x:c r="P15" s="62"/>
      <x:c r="Q15" s="62"/>
      <x:c r="R15" s="62"/>
      <x:c r="S15" s="62"/>
      <x:c r="T15" s="62"/>
      <x:c r="U15" s="62"/>
      <x:c r="V15" s="60" t="n">
        <x:v>87.75</x:v>
      </x:c>
      <x:c r="W15" s="60" t="str">
        <x:f>IF(COUNT(P15:S15)&gt;=3,AVERAGE(P15:S15),"")</x:f>
      </x:c>
      <x:c r="X15" s="60" t="n">
        <x:f>IF(V15&lt;&gt;"",V15,W15)</x:f>
        <x:v>87.75</x:v>
      </x:c>
      <x:c r="Y15" s="40" t="str">
        <x:f>IF(V15&lt;&gt;"","공식 70% 평균백분위",IF(W15&lt;&gt;"","파생 단순평균(참고)","비교불가"))</x:f>
        <x:v>공식 70% 평균백분위</x:v>
      </x:c>
      <x:c r="Z15" s="60" t="n">
        <x:f>'추천_테스트'!$B$8</x:f>
        <x:v>80</x:v>
      </x:c>
      <x:c r="AA15" s="60" t="n">
        <x:f>IF(X15="","",Z15-X15)</x:f>
        <x:v>-7.75</x:v>
      </x:c>
      <x:c r="AB15" s="40" t="str">
        <x:f>IF(X15="","",IF(AA15&gt;='추천_테스트'!$B$10,"안정",IF(AA15&gt;='추천_테스트'!$B$11,"적정",IF(AA15&gt;='추천_테스트'!$B$12,"소신","상향"))))</x:f>
        <x:v>상향</x:v>
      </x:c>
      <x:c r="AC15" s="62" t="n">
        <x:v>94</x:v>
      </x:c>
      <x:c r="AD15" s="62" t="n">
        <x:v>6</x:v>
      </x:c>
      <x:c r="AE15" s="62" t="n">
        <x:v>0</x:v>
      </x:c>
      <x:c r="AF15" s="41" t="str">
        <x:v>A: 공식 70% 평균백분위 제공</x:v>
      </x:c>
      <x:c r="AG15" s="41" t="str">
        <x:v>https://www.adiga.kr/ucp/uvt/uni/univDetailSelection.do?menuId=PCUVTINF2000&amp;searchSyr=2026&amp;unvCd=0000036</x:v>
      </x:c>
    </x:row>
    <x:row r="16">
      <x:c r="A16" s="40" t="n">
        <x:v>2025</x:v>
      </x:c>
      <x:c r="B16" s="40" t="str">
        <x:v>서울특별시</x:v>
      </x:c>
      <x:c r="C16" s="40" t="str">
        <x:v>국립</x:v>
      </x:c>
      <x:c r="D16" s="40" t="str">
        <x:v>서울과학기술대학교</x:v>
      </x:c>
      <x:c r="E16" s="40" t="str">
        <x:v>가</x:v>
      </x:c>
      <x:c r="F16" s="40" t="str">
        <x:v>수능위주(일반전형)</x:v>
      </x:c>
      <x:c r="G16" s="41" t="str">
        <x:v>산업공학과 ITM전공(인문)</x:v>
      </x:c>
      <x:c r="H16" s="40"/>
      <x:c r="I16" s="40"/>
      <x:c r="J16" s="40" t="n">
        <x:v>2</x:v>
      </x:c>
      <x:c r="K16" s="60" t="n">
        <x:v>12.5</x:v>
      </x:c>
      <x:c r="L16" s="40" t="n">
        <x:v>2</x:v>
      </x:c>
      <x:c r="M16" s="60"/>
      <x:c r="N16" s="60" t="n">
        <x:v>936.09</x:v>
      </x:c>
      <x:c r="O16" s="60" t="n">
        <x:v>1000</x:v>
      </x:c>
      <x:c r="P16" s="62"/>
      <x:c r="Q16" s="62"/>
      <x:c r="R16" s="62"/>
      <x:c r="S16" s="62"/>
      <x:c r="T16" s="62"/>
      <x:c r="U16" s="62"/>
      <x:c r="V16" s="60" t="n">
        <x:v>87</x:v>
      </x:c>
      <x:c r="W16" s="60" t="str">
        <x:f>IF(COUNT(P16:S16)&gt;=3,AVERAGE(P16:S16),"")</x:f>
      </x:c>
      <x:c r="X16" s="60" t="n">
        <x:f>IF(V16&lt;&gt;"",V16,W16)</x:f>
        <x:v>87</x:v>
      </x:c>
      <x:c r="Y16" s="40" t="str">
        <x:f>IF(V16&lt;&gt;"","공식 70% 평균백분위",IF(W16&lt;&gt;"","파생 단순평균(참고)","비교불가"))</x:f>
        <x:v>공식 70% 평균백분위</x:v>
      </x:c>
      <x:c r="Z16" s="60" t="n">
        <x:f>'추천_테스트'!$B$8</x:f>
        <x:v>80</x:v>
      </x:c>
      <x:c r="AA16" s="60" t="n">
        <x:f>IF(X16="","",Z16-X16)</x:f>
        <x:v>-7</x:v>
      </x:c>
      <x:c r="AB16" s="40" t="str">
        <x:f>IF(X16="","",IF(AA16&gt;='추천_테스트'!$B$10,"안정",IF(AA16&gt;='추천_테스트'!$B$11,"적정",IF(AA16&gt;='추천_테스트'!$B$12,"소신","상향"))))</x:f>
        <x:v>상향</x:v>
      </x:c>
      <x:c r="AC16" s="62" t="n">
        <x:v>50</x:v>
      </x:c>
      <x:c r="AD16" s="62" t="n">
        <x:v>0</x:v>
      </x:c>
      <x:c r="AE16" s="62" t="n">
        <x:v>50</x:v>
      </x:c>
      <x:c r="AF16" s="41" t="str">
        <x:v>A: 공식 70% 평균백분위 제공</x:v>
      </x:c>
      <x:c r="AG16" s="41" t="str">
        <x:v>https://www.adiga.kr/ucp/uvt/uni/univDetailSelection.do?menuId=PCUVTINF2000&amp;searchSyr=2026&amp;unvCd=0000036</x:v>
      </x:c>
    </x:row>
    <x:row r="17">
      <x:c r="A17" s="40" t="n">
        <x:v>2025</x:v>
      </x:c>
      <x:c r="B17" s="40" t="str">
        <x:v>서울특별시</x:v>
      </x:c>
      <x:c r="C17" s="40" t="str">
        <x:v>국립</x:v>
      </x:c>
      <x:c r="D17" s="40" t="str">
        <x:v>서울과학기술대학교</x:v>
      </x:c>
      <x:c r="E17" s="40" t="str">
        <x:v>가</x:v>
      </x:c>
      <x:c r="F17" s="40" t="str">
        <x:v>수능위주(일반전형)</x:v>
      </x:c>
      <x:c r="G17" s="41" t="str">
        <x:v>경영학과(경영학전공)</x:v>
      </x:c>
      <x:c r="H17" s="40"/>
      <x:c r="I17" s="40"/>
      <x:c r="J17" s="40" t="n">
        <x:v>10</x:v>
      </x:c>
      <x:c r="K17" s="60" t="n">
        <x:v>5.5</x:v>
      </x:c>
      <x:c r="L17" s="40" t="n">
        <x:v>3</x:v>
      </x:c>
      <x:c r="M17" s="60"/>
      <x:c r="N17" s="60" t="n">
        <x:v>915.82</x:v>
      </x:c>
      <x:c r="O17" s="60" t="n">
        <x:v>1000</x:v>
      </x:c>
      <x:c r="P17" s="62"/>
      <x:c r="Q17" s="62"/>
      <x:c r="R17" s="62"/>
      <x:c r="S17" s="62"/>
      <x:c r="T17" s="62"/>
      <x:c r="U17" s="62"/>
      <x:c r="V17" s="60" t="n">
        <x:v>82.17</x:v>
      </x:c>
      <x:c r="W17" s="60" t="str">
        <x:f>IF(COUNT(P17:S17)&gt;=3,AVERAGE(P17:S17),"")</x:f>
      </x:c>
      <x:c r="X17" s="60" t="n">
        <x:f>IF(V17&lt;&gt;"",V17,W17)</x:f>
        <x:v>82.17</x:v>
      </x:c>
      <x:c r="Y17" s="40" t="str">
        <x:f>IF(V17&lt;&gt;"","공식 70% 평균백분위",IF(W17&lt;&gt;"","파생 단순평균(참고)","비교불가"))</x:f>
        <x:v>공식 70% 평균백분위</x:v>
      </x:c>
      <x:c r="Z17" s="60" t="n">
        <x:f>'추천_테스트'!$B$8</x:f>
        <x:v>80</x:v>
      </x:c>
      <x:c r="AA17" s="60" t="n">
        <x:f>IF(X17="","",Z17-X17)</x:f>
        <x:v>-2.1700000000000017</x:v>
      </x:c>
      <x:c r="AB17" s="40" t="str">
        <x:f>IF(X17="","",IF(AA17&gt;='추천_테스트'!$B$10,"안정",IF(AA17&gt;='추천_테스트'!$B$11,"적정",IF(AA17&gt;='추천_테스트'!$B$12,"소신","상향"))))</x:f>
        <x:v>상향</x:v>
      </x:c>
      <x:c r="AC17" s="62" t="n">
        <x:v>90</x:v>
      </x:c>
      <x:c r="AD17" s="62" t="n">
        <x:v>10</x:v>
      </x:c>
      <x:c r="AE17" s="62" t="n">
        <x:v>0</x:v>
      </x:c>
      <x:c r="AF17" s="41" t="str">
        <x:v>A: 공식 70% 평균백분위 제공</x:v>
      </x:c>
      <x:c r="AG17" s="41" t="str">
        <x:v>https://www.adiga.kr/ucp/uvt/uni/univDetailSelection.do?menuId=PCUVTINF2000&amp;searchSyr=2026&amp;unvCd=0000036</x:v>
      </x:c>
    </x:row>
    <x:row r="18">
      <x:c r="A18" s="40" t="n">
        <x:v>2025</x:v>
      </x:c>
      <x:c r="B18" s="40" t="str">
        <x:v>서울특별시</x:v>
      </x:c>
      <x:c r="C18" s="40" t="str">
        <x:v>국립</x:v>
      </x:c>
      <x:c r="D18" s="40" t="str">
        <x:v>서울과학기술대학교</x:v>
      </x:c>
      <x:c r="E18" s="40" t="str">
        <x:v>가</x:v>
      </x:c>
      <x:c r="F18" s="40" t="str">
        <x:v>수능위주(일반전형)</x:v>
      </x:c>
      <x:c r="G18" s="41" t="str">
        <x:v>경영학과(글로벌테크노경영전공)_인문</x:v>
      </x:c>
      <x:c r="H18" s="40"/>
      <x:c r="I18" s="40"/>
      <x:c r="J18" s="40" t="n">
        <x:v>8</x:v>
      </x:c>
      <x:c r="K18" s="60" t="n">
        <x:v>5.38</x:v>
      </x:c>
      <x:c r="L18" s="40" t="n">
        <x:v>1</x:v>
      </x:c>
      <x:c r="M18" s="60"/>
      <x:c r="N18" s="60" t="n">
        <x:v>919.96</x:v>
      </x:c>
      <x:c r="O18" s="60" t="n">
        <x:v>1000</x:v>
      </x:c>
      <x:c r="P18" s="62"/>
      <x:c r="Q18" s="62"/>
      <x:c r="R18" s="62"/>
      <x:c r="S18" s="62"/>
      <x:c r="T18" s="62"/>
      <x:c r="U18" s="62"/>
      <x:c r="V18" s="60" t="n">
        <x:v>84</x:v>
      </x:c>
      <x:c r="W18" s="60" t="str">
        <x:f>IF(COUNT(P18:S18)&gt;=3,AVERAGE(P18:S18),"")</x:f>
      </x:c>
      <x:c r="X18" s="60" t="n">
        <x:f>IF(V18&lt;&gt;"",V18,W18)</x:f>
        <x:v>84</x:v>
      </x:c>
      <x:c r="Y18" s="40" t="str">
        <x:f>IF(V18&lt;&gt;"","공식 70% 평균백분위",IF(W18&lt;&gt;"","파생 단순평균(참고)","비교불가"))</x:f>
        <x:v>공식 70% 평균백분위</x:v>
      </x:c>
      <x:c r="Z18" s="60" t="n">
        <x:f>'추천_테스트'!$B$8</x:f>
        <x:v>80</x:v>
      </x:c>
      <x:c r="AA18" s="60" t="n">
        <x:f>IF(X18="","",Z18-X18)</x:f>
        <x:v>-4</x:v>
      </x:c>
      <x:c r="AB18" s="40" t="str">
        <x:f>IF(X18="","",IF(AA18&gt;='추천_테스트'!$B$10,"안정",IF(AA18&gt;='추천_테스트'!$B$11,"적정",IF(AA18&gt;='추천_테스트'!$B$12,"소신","상향"))))</x:f>
        <x:v>상향</x:v>
      </x:c>
      <x:c r="AC18" s="62" t="n">
        <x:v>43</x:v>
      </x:c>
      <x:c r="AD18" s="62" t="n">
        <x:v>57</x:v>
      </x:c>
      <x:c r="AE18" s="62" t="n">
        <x:v>0</x:v>
      </x:c>
      <x:c r="AF18" s="41" t="str">
        <x:v>A: 공식 70% 평균백분위 제공</x:v>
      </x:c>
      <x:c r="AG18" s="41" t="str">
        <x:v>https://www.adiga.kr/ucp/uvt/uni/univDetailSelection.do?menuId=PCUVTINF2000&amp;searchSyr=2026&amp;unvCd=0000036</x:v>
      </x:c>
    </x:row>
    <x:row r="19">
      <x:c r="A19" s="40" t="n">
        <x:v>2025</x:v>
      </x:c>
      <x:c r="B19" s="40" t="str">
        <x:v>서울특별시</x:v>
      </x:c>
      <x:c r="C19" s="40" t="str">
        <x:v>국립</x:v>
      </x:c>
      <x:c r="D19" s="40" t="str">
        <x:v>서울과학기술대학교</x:v>
      </x:c>
      <x:c r="E19" s="40" t="str">
        <x:v>나</x:v>
      </x:c>
      <x:c r="F19" s="40" t="str">
        <x:v>수능위주(일반전형)</x:v>
      </x:c>
      <x:c r="G19" s="41" t="str">
        <x:v>기계・자동차공학과</x:v>
      </x:c>
      <x:c r="H19" s="40"/>
      <x:c r="I19" s="40"/>
      <x:c r="J19" s="40" t="n">
        <x:v>45</x:v>
      </x:c>
      <x:c r="K19" s="60" t="n">
        <x:v>5.31</x:v>
      </x:c>
      <x:c r="L19" s="40" t="n">
        <x:v>31</x:v>
      </x:c>
      <x:c r="M19" s="60"/>
      <x:c r="N19" s="60" t="n">
        <x:v>911.27</x:v>
      </x:c>
      <x:c r="O19" s="60" t="n">
        <x:v>1000</x:v>
      </x:c>
      <x:c r="P19" s="62"/>
      <x:c r="Q19" s="62"/>
      <x:c r="R19" s="62"/>
      <x:c r="S19" s="62"/>
      <x:c r="T19" s="62"/>
      <x:c r="U19" s="62"/>
      <x:c r="V19" s="60" t="n">
        <x:v>84.67</x:v>
      </x:c>
      <x:c r="W19" s="60" t="str">
        <x:f>IF(COUNT(P19:S19)&gt;=3,AVERAGE(P19:S19),"")</x:f>
      </x:c>
      <x:c r="X19" s="60" t="n">
        <x:f>IF(V19&lt;&gt;"",V19,W19)</x:f>
        <x:v>84.67</x:v>
      </x:c>
      <x:c r="Y19" s="40" t="str">
        <x:f>IF(V19&lt;&gt;"","공식 70% 평균백분위",IF(W19&lt;&gt;"","파생 단순평균(참고)","비교불가"))</x:f>
        <x:v>공식 70% 평균백분위</x:v>
      </x:c>
      <x:c r="Z19" s="60" t="n">
        <x:f>'추천_테스트'!$B$8</x:f>
        <x:v>80</x:v>
      </x:c>
      <x:c r="AA19" s="60" t="n">
        <x:f>IF(X19="","",Z19-X19)</x:f>
        <x:v>-4.670000000000002</x:v>
      </x:c>
      <x:c r="AB19" s="40" t="str">
        <x:f>IF(X19="","",IF(AA19&gt;='추천_테스트'!$B$10,"안정",IF(AA19&gt;='추천_테스트'!$B$11,"적정",IF(AA19&gt;='추천_테스트'!$B$12,"소신","상향"))))</x:f>
        <x:v>상향</x:v>
      </x:c>
      <x:c r="AC19" s="62" t="n">
        <x:v>2</x:v>
      </x:c>
      <x:c r="AD19" s="62" t="n">
        <x:v>89</x:v>
      </x:c>
      <x:c r="AE19" s="62" t="n">
        <x:v>9</x:v>
      </x:c>
      <x:c r="AF19" s="41" t="str">
        <x:v>A: 공식 70% 평균백분위 제공</x:v>
      </x:c>
      <x:c r="AG19" s="41" t="str">
        <x:v>https://www.adiga.kr/ucp/uvt/uni/univDetailSelection.do?menuId=PCUVTINF2000&amp;searchSyr=2026&amp;unvCd=0000036</x:v>
      </x:c>
    </x:row>
    <x:row r="20">
      <x:c r="A20" s="40" t="n">
        <x:v>2025</x:v>
      </x:c>
      <x:c r="B20" s="40" t="str">
        <x:v>서울특별시</x:v>
      </x:c>
      <x:c r="C20" s="40" t="str">
        <x:v>국립</x:v>
      </x:c>
      <x:c r="D20" s="40" t="str">
        <x:v>서울과학기술대학교</x:v>
      </x:c>
      <x:c r="E20" s="40" t="str">
        <x:v>나</x:v>
      </x:c>
      <x:c r="F20" s="40" t="str">
        <x:v>수능위주(일반전형)</x:v>
      </x:c>
      <x:c r="G20" s="41" t="str">
        <x:v>건축학부건축공학전공</x:v>
      </x:c>
      <x:c r="H20" s="40"/>
      <x:c r="I20" s="40"/>
      <x:c r="J20" s="40" t="n">
        <x:v>17</x:v>
      </x:c>
      <x:c r="K20" s="60" t="n">
        <x:v>6.94</x:v>
      </x:c>
      <x:c r="L20" s="40" t="n">
        <x:v>13</x:v>
      </x:c>
      <x:c r="M20" s="60"/>
      <x:c r="N20" s="60" t="n">
        <x:v>907.02</x:v>
      </x:c>
      <x:c r="O20" s="60" t="n">
        <x:v>1000</x:v>
      </x:c>
      <x:c r="P20" s="62"/>
      <x:c r="Q20" s="62"/>
      <x:c r="R20" s="62"/>
      <x:c r="S20" s="62"/>
      <x:c r="T20" s="62"/>
      <x:c r="U20" s="62"/>
      <x:c r="V20" s="60" t="n">
        <x:v>82</x:v>
      </x:c>
      <x:c r="W20" s="60" t="str">
        <x:f>IF(COUNT(P20:S20)&gt;=3,AVERAGE(P20:S20),"")</x:f>
      </x:c>
      <x:c r="X20" s="60" t="n">
        <x:f>IF(V20&lt;&gt;"",V20,W20)</x:f>
        <x:v>82</x:v>
      </x:c>
      <x:c r="Y20" s="40" t="str">
        <x:f>IF(V20&lt;&gt;"","공식 70% 평균백분위",IF(W20&lt;&gt;"","파생 단순평균(참고)","비교불가"))</x:f>
        <x:v>공식 70% 평균백분위</x:v>
      </x:c>
      <x:c r="Z20" s="60" t="n">
        <x:f>'추천_테스트'!$B$8</x:f>
        <x:v>80</x:v>
      </x:c>
      <x:c r="AA20" s="60" t="n">
        <x:f>IF(X20="","",Z20-X20)</x:f>
        <x:v>-2</x:v>
      </x:c>
      <x:c r="AB20" s="40" t="str">
        <x:f>IF(X20="","",IF(AA20&gt;='추천_테스트'!$B$10,"안정",IF(AA20&gt;='추천_테스트'!$B$11,"적정",IF(AA20&gt;='추천_테스트'!$B$12,"소신","상향"))))</x:f>
        <x:v>소신</x:v>
      </x:c>
      <x:c r="AC20" s="62" t="n">
        <x:v>6</x:v>
      </x:c>
      <x:c r="AD20" s="62" t="n">
        <x:v>88</x:v>
      </x:c>
      <x:c r="AE20" s="62" t="n">
        <x:v>6</x:v>
      </x:c>
      <x:c r="AF20" s="41" t="str">
        <x:v>A: 공식 70% 평균백분위 제공</x:v>
      </x:c>
      <x:c r="AG20" s="41" t="str">
        <x:v>https://www.adiga.kr/ucp/uvt/uni/univDetailSelection.do?menuId=PCUVTINF2000&amp;searchSyr=2026&amp;unvCd=0000036</x:v>
      </x:c>
    </x:row>
    <x:row r="21">
      <x:c r="A21" s="40" t="n">
        <x:v>2025</x:v>
      </x:c>
      <x:c r="B21" s="40" t="str">
        <x:v>서울특별시</x:v>
      </x:c>
      <x:c r="C21" s="40" t="str">
        <x:v>국립</x:v>
      </x:c>
      <x:c r="D21" s="40" t="str">
        <x:v>서울과학기술대학교</x:v>
      </x:c>
      <x:c r="E21" s="40" t="str">
        <x:v>나</x:v>
      </x:c>
      <x:c r="F21" s="40" t="str">
        <x:v>수능위주(일반전형)</x:v>
      </x:c>
      <x:c r="G21" s="41" t="str">
        <x:v>건축학부건축학전공</x:v>
      </x:c>
      <x:c r="H21" s="40"/>
      <x:c r="I21" s="40"/>
      <x:c r="J21" s="40" t="n">
        <x:v>13</x:v>
      </x:c>
      <x:c r="K21" s="60" t="n">
        <x:v>4.69</x:v>
      </x:c>
      <x:c r="L21" s="40" t="n">
        <x:v>13</x:v>
      </x:c>
      <x:c r="M21" s="60"/>
      <x:c r="N21" s="60" t="n">
        <x:v>911.16</x:v>
      </x:c>
      <x:c r="O21" s="60" t="n">
        <x:v>1000</x:v>
      </x:c>
      <x:c r="P21" s="62"/>
      <x:c r="Q21" s="62"/>
      <x:c r="R21" s="62"/>
      <x:c r="S21" s="62"/>
      <x:c r="T21" s="62"/>
      <x:c r="U21" s="62"/>
      <x:c r="V21" s="60" t="n">
        <x:v>84.17</x:v>
      </x:c>
      <x:c r="W21" s="60" t="str">
        <x:f>IF(COUNT(P21:S21)&gt;=3,AVERAGE(P21:S21),"")</x:f>
      </x:c>
      <x:c r="X21" s="60" t="n">
        <x:f>IF(V21&lt;&gt;"",V21,W21)</x:f>
        <x:v>84.17</x:v>
      </x:c>
      <x:c r="Y21" s="40" t="str">
        <x:f>IF(V21&lt;&gt;"","공식 70% 평균백분위",IF(W21&lt;&gt;"","파생 단순평균(참고)","비교불가"))</x:f>
        <x:v>공식 70% 평균백분위</x:v>
      </x:c>
      <x:c r="Z21" s="60" t="n">
        <x:f>'추천_테스트'!$B$8</x:f>
        <x:v>80</x:v>
      </x:c>
      <x:c r="AA21" s="60" t="n">
        <x:f>IF(X21="","",Z21-X21)</x:f>
        <x:v>-4.170000000000002</x:v>
      </x:c>
      <x:c r="AB21" s="40" t="str">
        <x:f>IF(X21="","",IF(AA21&gt;='추천_테스트'!$B$10,"안정",IF(AA21&gt;='추천_테스트'!$B$11,"적정",IF(AA21&gt;='추천_테스트'!$B$12,"소신","상향"))))</x:f>
        <x:v>상향</x:v>
      </x:c>
      <x:c r="AC21" s="62" t="n">
        <x:v>0</x:v>
      </x:c>
      <x:c r="AD21" s="62" t="n">
        <x:v>83</x:v>
      </x:c>
      <x:c r="AE21" s="62" t="n">
        <x:v>17</x:v>
      </x:c>
      <x:c r="AF21" s="41" t="str">
        <x:v>A: 공식 70% 평균백분위 제공</x:v>
      </x:c>
      <x:c r="AG21" s="41" t="str">
        <x:v>https://www.adiga.kr/ucp/uvt/uni/univDetailSelection.do?menuId=PCUVTINF2000&amp;searchSyr=2026&amp;unvCd=0000036</x:v>
      </x:c>
    </x:row>
    <x:row r="22">
      <x:c r="A22" s="40" t="n">
        <x:v>2025</x:v>
      </x:c>
      <x:c r="B22" s="40" t="str">
        <x:v>서울특별시</x:v>
      </x:c>
      <x:c r="C22" s="40" t="str">
        <x:v>국립</x:v>
      </x:c>
      <x:c r="D22" s="40" t="str">
        <x:v>서울과학기술대학교</x:v>
      </x:c>
      <x:c r="E22" s="40" t="str">
        <x:v>나</x:v>
      </x:c>
      <x:c r="F22" s="40" t="str">
        <x:v>수능위주(일반전형)</x:v>
      </x:c>
      <x:c r="G22" s="41" t="str">
        <x:v>전자공학과</x:v>
      </x:c>
      <x:c r="H22" s="40"/>
      <x:c r="I22" s="40"/>
      <x:c r="J22" s="40" t="n">
        <x:v>18</x:v>
      </x:c>
      <x:c r="K22" s="60" t="n">
        <x:v>4.78</x:v>
      </x:c>
      <x:c r="L22" s="40" t="n">
        <x:v>18</x:v>
      </x:c>
      <x:c r="M22" s="60"/>
      <x:c r="N22" s="60" t="n">
        <x:v>923.08</x:v>
      </x:c>
      <x:c r="O22" s="60" t="n">
        <x:v>1000</x:v>
      </x:c>
      <x:c r="P22" s="62"/>
      <x:c r="Q22" s="62"/>
      <x:c r="R22" s="62"/>
      <x:c r="S22" s="62"/>
      <x:c r="T22" s="62"/>
      <x:c r="U22" s="62"/>
      <x:c r="V22" s="60" t="n">
        <x:v>85.17</x:v>
      </x:c>
      <x:c r="W22" s="60" t="str">
        <x:f>IF(COUNT(P22:S22)&gt;=3,AVERAGE(P22:S22),"")</x:f>
      </x:c>
      <x:c r="X22" s="60" t="n">
        <x:f>IF(V22&lt;&gt;"",V22,W22)</x:f>
        <x:v>85.17</x:v>
      </x:c>
      <x:c r="Y22" s="40" t="str">
        <x:f>IF(V22&lt;&gt;"","공식 70% 평균백분위",IF(W22&lt;&gt;"","파생 단순평균(참고)","비교불가"))</x:f>
        <x:v>공식 70% 평균백분위</x:v>
      </x:c>
      <x:c r="Z22" s="60" t="n">
        <x:f>'추천_테스트'!$B$8</x:f>
        <x:v>80</x:v>
      </x:c>
      <x:c r="AA22" s="60" t="n">
        <x:f>IF(X22="","",Z22-X22)</x:f>
        <x:v>-5.170000000000002</x:v>
      </x:c>
      <x:c r="AB22" s="40" t="str">
        <x:f>IF(X22="","",IF(AA22&gt;='추천_테스트'!$B$10,"안정",IF(AA22&gt;='추천_테스트'!$B$11,"적정",IF(AA22&gt;='추천_테스트'!$B$12,"소신","상향"))))</x:f>
        <x:v>상향</x:v>
      </x:c>
      <x:c r="AC22" s="62" t="n">
        <x:v>0</x:v>
      </x:c>
      <x:c r="AD22" s="62" t="n">
        <x:v>88</x:v>
      </x:c>
      <x:c r="AE22" s="62" t="n">
        <x:v>13</x:v>
      </x:c>
      <x:c r="AF22" s="41" t="str">
        <x:v>A: 공식 70% 평균백분위 제공</x:v>
      </x:c>
      <x:c r="AG22" s="41" t="str">
        <x:v>https://www.adiga.kr/ucp/uvt/uni/univDetailSelection.do?menuId=PCUVTINF2000&amp;searchSyr=2026&amp;unvCd=0000036</x:v>
      </x:c>
    </x:row>
    <x:row r="23">
      <x:c r="A23" s="40" t="n">
        <x:v>2025</x:v>
      </x:c>
      <x:c r="B23" s="40" t="str">
        <x:v>서울특별시</x:v>
      </x:c>
      <x:c r="C23" s="40" t="str">
        <x:v>국립</x:v>
      </x:c>
      <x:c r="D23" s="40" t="str">
        <x:v>서울과학기술대학교</x:v>
      </x:c>
      <x:c r="E23" s="40" t="str">
        <x:v>나</x:v>
      </x:c>
      <x:c r="F23" s="40" t="str">
        <x:v>수능위주(일반전형)</x:v>
      </x:c>
      <x:c r="G23" s="41" t="str">
        <x:v>스마트 ICT 융합공학과</x:v>
      </x:c>
      <x:c r="H23" s="40"/>
      <x:c r="I23" s="40"/>
      <x:c r="J23" s="40" t="n">
        <x:v>11</x:v>
      </x:c>
      <x:c r="K23" s="60" t="n">
        <x:v>4.36</x:v>
      </x:c>
      <x:c r="L23" s="40" t="n">
        <x:v>14</x:v>
      </x:c>
      <x:c r="M23" s="60"/>
      <x:c r="N23" s="60" t="n">
        <x:v>917.27</x:v>
      </x:c>
      <x:c r="O23" s="60" t="n">
        <x:v>1000</x:v>
      </x:c>
      <x:c r="P23" s="62"/>
      <x:c r="Q23" s="62"/>
      <x:c r="R23" s="62"/>
      <x:c r="S23" s="62"/>
      <x:c r="T23" s="62"/>
      <x:c r="U23" s="62"/>
      <x:c r="V23" s="60" t="n">
        <x:v>85.33</x:v>
      </x:c>
      <x:c r="W23" s="60" t="str">
        <x:f>IF(COUNT(P23:S23)&gt;=3,AVERAGE(P23:S23),"")</x:f>
      </x:c>
      <x:c r="X23" s="60" t="n">
        <x:f>IF(V23&lt;&gt;"",V23,W23)</x:f>
        <x:v>85.33</x:v>
      </x:c>
      <x:c r="Y23" s="40" t="str">
        <x:f>IF(V23&lt;&gt;"","공식 70% 평균백분위",IF(W23&lt;&gt;"","파생 단순평균(참고)","비교불가"))</x:f>
        <x:v>공식 70% 평균백분위</x:v>
      </x:c>
      <x:c r="Z23" s="60" t="n">
        <x:f>'추천_테스트'!$B$8</x:f>
        <x:v>80</x:v>
      </x:c>
      <x:c r="AA23" s="60" t="n">
        <x:f>IF(X23="","",Z23-X23)</x:f>
        <x:v>-5.329999999999998</x:v>
      </x:c>
      <x:c r="AB23" s="40" t="str">
        <x:f>IF(X23="","",IF(AA23&gt;='추천_테스트'!$B$10,"안정",IF(AA23&gt;='추천_테스트'!$B$11,"적정",IF(AA23&gt;='추천_테스트'!$B$12,"소신","상향"))))</x:f>
        <x:v>상향</x:v>
      </x:c>
      <x:c r="AC23" s="62" t="n">
        <x:v>0</x:v>
      </x:c>
      <x:c r="AD23" s="62" t="n">
        <x:v>100</x:v>
      </x:c>
      <x:c r="AE23" s="62" t="n">
        <x:v>0</x:v>
      </x:c>
      <x:c r="AF23" s="41" t="str">
        <x:v>A: 공식 70% 평균백분위 제공</x:v>
      </x:c>
      <x:c r="AG23" s="41" t="str">
        <x:v>https://www.adiga.kr/ucp/uvt/uni/univDetailSelection.do?menuId=PCUVTINF2000&amp;searchSyr=2026&amp;unvCd=0000036</x:v>
      </x:c>
    </x:row>
    <x:row r="24">
      <x:c r="A24" s="40" t="n">
        <x:v>2025</x:v>
      </x:c>
      <x:c r="B24" s="40" t="str">
        <x:v>서울특별시</x:v>
      </x:c>
      <x:c r="C24" s="40" t="str">
        <x:v>국립</x:v>
      </x:c>
      <x:c r="D24" s="40" t="str">
        <x:v>서울과학기술대학교</x:v>
      </x:c>
      <x:c r="E24" s="40" t="str">
        <x:v>나</x:v>
      </x:c>
      <x:c r="F24" s="40" t="str">
        <x:v>수능위주(일반전형)</x:v>
      </x:c>
      <x:c r="G24" s="41" t="str">
        <x:v>화공생명공학과</x:v>
      </x:c>
      <x:c r="H24" s="40"/>
      <x:c r="I24" s="40"/>
      <x:c r="J24" s="40" t="n">
        <x:v>26</x:v>
      </x:c>
      <x:c r="K24" s="60" t="n">
        <x:v>4.42</x:v>
      </x:c>
      <x:c r="L24" s="40" t="n">
        <x:v>21</x:v>
      </x:c>
      <x:c r="M24" s="60"/>
      <x:c r="N24" s="60" t="n">
        <x:v>916.17</x:v>
      </x:c>
      <x:c r="O24" s="60" t="n">
        <x:v>1000</x:v>
      </x:c>
      <x:c r="P24" s="62"/>
      <x:c r="Q24" s="62"/>
      <x:c r="R24" s="62"/>
      <x:c r="S24" s="62"/>
      <x:c r="T24" s="62"/>
      <x:c r="U24" s="62"/>
      <x:c r="V24" s="60" t="n">
        <x:v>84.33</x:v>
      </x:c>
      <x:c r="W24" s="60" t="str">
        <x:f>IF(COUNT(P24:S24)&gt;=3,AVERAGE(P24:S24),"")</x:f>
      </x:c>
      <x:c r="X24" s="60" t="n">
        <x:f>IF(V24&lt;&gt;"",V24,W24)</x:f>
        <x:v>84.33</x:v>
      </x:c>
      <x:c r="Y24" s="40" t="str">
        <x:f>IF(V24&lt;&gt;"","공식 70% 평균백분위",IF(W24&lt;&gt;"","파생 단순평균(참고)","비교불가"))</x:f>
        <x:v>공식 70% 평균백분위</x:v>
      </x:c>
      <x:c r="Z24" s="60" t="n">
        <x:f>'추천_테스트'!$B$8</x:f>
        <x:v>80</x:v>
      </x:c>
      <x:c r="AA24" s="60" t="n">
        <x:f>IF(X24="","",Z24-X24)</x:f>
        <x:v>-4.329999999999998</x:v>
      </x:c>
      <x:c r="AB24" s="40" t="str">
        <x:f>IF(X24="","",IF(AA24&gt;='추천_테스트'!$B$10,"안정",IF(AA24&gt;='추천_테스트'!$B$11,"적정",IF(AA24&gt;='추천_테스트'!$B$12,"소신","상향"))))</x:f>
        <x:v>상향</x:v>
      </x:c>
      <x:c r="AC24" s="62" t="n">
        <x:v>0</x:v>
      </x:c>
      <x:c r="AD24" s="62" t="n">
        <x:v>96</x:v>
      </x:c>
      <x:c r="AE24" s="62" t="n">
        <x:v>4</x:v>
      </x:c>
      <x:c r="AF24" s="41" t="str">
        <x:v>A: 공식 70% 평균백분위 제공</x:v>
      </x:c>
      <x:c r="AG24" s="41" t="str">
        <x:v>https://www.adiga.kr/ucp/uvt/uni/univDetailSelection.do?menuId=PCUVTINF2000&amp;searchSyr=2026&amp;unvCd=0000036</x:v>
      </x:c>
    </x:row>
    <x:row r="25">
      <x:c r="A25" s="40" t="n">
        <x:v>2025</x:v>
      </x:c>
      <x:c r="B25" s="40" t="str">
        <x:v>서울특별시</x:v>
      </x:c>
      <x:c r="C25" s="40" t="str">
        <x:v>국립</x:v>
      </x:c>
      <x:c r="D25" s="40" t="str">
        <x:v>서울과학기술대학교</x:v>
      </x:c>
      <x:c r="E25" s="40" t="str">
        <x:v>나</x:v>
      </x:c>
      <x:c r="F25" s="40" t="str">
        <x:v>수능위주(일반전형)</x:v>
      </x:c>
      <x:c r="G25" s="41" t="str">
        <x:v>식품생명공학과</x:v>
      </x:c>
      <x:c r="H25" s="40"/>
      <x:c r="I25" s="40"/>
      <x:c r="J25" s="40" t="n">
        <x:v>7</x:v>
      </x:c>
      <x:c r="K25" s="60" t="n">
        <x:v>6.14</x:v>
      </x:c>
      <x:c r="L25" s="40" t="n">
        <x:v>11</x:v>
      </x:c>
      <x:c r="M25" s="60"/>
      <x:c r="N25" s="60" t="n">
        <x:v>908.16</x:v>
      </x:c>
      <x:c r="O25" s="60" t="n">
        <x:v>1000</x:v>
      </x:c>
      <x:c r="P25" s="62"/>
      <x:c r="Q25" s="62"/>
      <x:c r="R25" s="62"/>
      <x:c r="S25" s="62"/>
      <x:c r="T25" s="62"/>
      <x:c r="U25" s="62"/>
      <x:c r="V25" s="60" t="n">
        <x:v>82</x:v>
      </x:c>
      <x:c r="W25" s="60" t="str">
        <x:f>IF(COUNT(P25:S25)&gt;=3,AVERAGE(P25:S25),"")</x:f>
      </x:c>
      <x:c r="X25" s="60" t="n">
        <x:f>IF(V25&lt;&gt;"",V25,W25)</x:f>
        <x:v>82</x:v>
      </x:c>
      <x:c r="Y25" s="40" t="str">
        <x:f>IF(V25&lt;&gt;"","공식 70% 평균백분위",IF(W25&lt;&gt;"","파생 단순평균(참고)","비교불가"))</x:f>
        <x:v>공식 70% 평균백분위</x:v>
      </x:c>
      <x:c r="Z25" s="60" t="n">
        <x:f>'추천_테스트'!$B$8</x:f>
        <x:v>80</x:v>
      </x:c>
      <x:c r="AA25" s="60" t="n">
        <x:f>IF(X25="","",Z25-X25)</x:f>
        <x:v>-2</x:v>
      </x:c>
      <x:c r="AB25" s="40" t="str">
        <x:f>IF(X25="","",IF(AA25&gt;='추천_테스트'!$B$10,"안정",IF(AA25&gt;='추천_테스트'!$B$11,"적정",IF(AA25&gt;='추천_테스트'!$B$12,"소신","상향"))))</x:f>
        <x:v>소신</x:v>
      </x:c>
      <x:c r="AC25" s="62" t="n">
        <x:v>0</x:v>
      </x:c>
      <x:c r="AD25" s="62" t="n">
        <x:v>100</x:v>
      </x:c>
      <x:c r="AE25" s="62" t="n">
        <x:v>0</x:v>
      </x:c>
      <x:c r="AF25" s="41" t="str">
        <x:v>A: 공식 70% 평균백분위 제공</x:v>
      </x:c>
      <x:c r="AG25" s="41" t="str">
        <x:v>https://www.adiga.kr/ucp/uvt/uni/univDetailSelection.do?menuId=PCUVTINF2000&amp;searchSyr=2026&amp;unvCd=0000036</x:v>
      </x:c>
    </x:row>
    <x:row r="26">
      <x:c r="A26" s="40" t="n">
        <x:v>2025</x:v>
      </x:c>
      <x:c r="B26" s="40" t="str">
        <x:v>서울특별시</x:v>
      </x:c>
      <x:c r="C26" s="40" t="str">
        <x:v>국립</x:v>
      </x:c>
      <x:c r="D26" s="40" t="str">
        <x:v>서울과학기술대학교</x:v>
      </x:c>
      <x:c r="E26" s="40" t="str">
        <x:v>나</x:v>
      </x:c>
      <x:c r="F26" s="40" t="str">
        <x:v>수능위주(일반전형)</x:v>
      </x:c>
      <x:c r="G26" s="41" t="str">
        <x:v>산업공학과 산업정보시스템전공(자연)</x:v>
      </x:c>
      <x:c r="H26" s="40"/>
      <x:c r="I26" s="40"/>
      <x:c r="J26" s="40" t="n">
        <x:v>7</x:v>
      </x:c>
      <x:c r="K26" s="60" t="n">
        <x:v>5.57</x:v>
      </x:c>
      <x:c r="L26" s="40" t="n">
        <x:v>3</x:v>
      </x:c>
      <x:c r="M26" s="60"/>
      <x:c r="N26" s="60" t="n">
        <x:v>922.15</x:v>
      </x:c>
      <x:c r="O26" s="60" t="n">
        <x:v>1000</x:v>
      </x:c>
      <x:c r="P26" s="62"/>
      <x:c r="Q26" s="62"/>
      <x:c r="R26" s="62"/>
      <x:c r="S26" s="62"/>
      <x:c r="T26" s="62"/>
      <x:c r="U26" s="62"/>
      <x:c r="V26" s="60" t="n">
        <x:v>86.33</x:v>
      </x:c>
      <x:c r="W26" s="60" t="str">
        <x:f>IF(COUNT(P26:S26)&gt;=3,AVERAGE(P26:S26),"")</x:f>
      </x:c>
      <x:c r="X26" s="60" t="n">
        <x:f>IF(V26&lt;&gt;"",V26,W26)</x:f>
        <x:v>86.33</x:v>
      </x:c>
      <x:c r="Y26" s="40" t="str">
        <x:f>IF(V26&lt;&gt;"","공식 70% 평균백분위",IF(W26&lt;&gt;"","파생 단순평균(참고)","비교불가"))</x:f>
        <x:v>공식 70% 평균백분위</x:v>
      </x:c>
      <x:c r="Z26" s="60" t="n">
        <x:f>'추천_테스트'!$B$8</x:f>
        <x:v>80</x:v>
      </x:c>
      <x:c r="AA26" s="60" t="n">
        <x:f>IF(X26="","",Z26-X26)</x:f>
        <x:v>-6.329999999999998</x:v>
      </x:c>
      <x:c r="AB26" s="40" t="str">
        <x:f>IF(X26="","",IF(AA26&gt;='추천_테스트'!$B$10,"안정",IF(AA26&gt;='추천_테스트'!$B$11,"적정",IF(AA26&gt;='추천_테스트'!$B$12,"소신","상향"))))</x:f>
        <x:v>상향</x:v>
      </x:c>
      <x:c r="AC26" s="62" t="n">
        <x:v>0</x:v>
      </x:c>
      <x:c r="AD26" s="62" t="n">
        <x:v>100</x:v>
      </x:c>
      <x:c r="AE26" s="62" t="n">
        <x:v>0</x:v>
      </x:c>
      <x:c r="AF26" s="41" t="str">
        <x:v>A: 공식 70% 평균백분위 제공</x:v>
      </x:c>
      <x:c r="AG26" s="41" t="str">
        <x:v>https://www.adiga.kr/ucp/uvt/uni/univDetailSelection.do?menuId=PCUVTINF2000&amp;searchSyr=2026&amp;unvCd=0000036</x:v>
      </x:c>
    </x:row>
    <x:row r="27">
      <x:c r="A27" s="40" t="n">
        <x:v>2025</x:v>
      </x:c>
      <x:c r="B27" s="40" t="str">
        <x:v>서울특별시</x:v>
      </x:c>
      <x:c r="C27" s="40" t="str">
        <x:v>국립</x:v>
      </x:c>
      <x:c r="D27" s="40" t="str">
        <x:v>서울과학기술대학교</x:v>
      </x:c>
      <x:c r="E27" s="40" t="str">
        <x:v>나</x:v>
      </x:c>
      <x:c r="F27" s="40" t="str">
        <x:v>수능위주(일반전형)</x:v>
      </x:c>
      <x:c r="G27" s="41" t="str">
        <x:v>행정학과</x:v>
      </x:c>
      <x:c r="H27" s="40"/>
      <x:c r="I27" s="40"/>
      <x:c r="J27" s="40" t="n">
        <x:v>10</x:v>
      </x:c>
      <x:c r="K27" s="60" t="n">
        <x:v>7.5</x:v>
      </x:c>
      <x:c r="L27" s="40" t="n">
        <x:v>14</x:v>
      </x:c>
      <x:c r="M27" s="60"/>
      <x:c r="N27" s="60" t="n">
        <x:v>914.9</x:v>
      </x:c>
      <x:c r="O27" s="60" t="n">
        <x:v>1000</x:v>
      </x:c>
      <x:c r="P27" s="62"/>
      <x:c r="Q27" s="62"/>
      <x:c r="R27" s="62"/>
      <x:c r="S27" s="62"/>
      <x:c r="T27" s="62"/>
      <x:c r="U27" s="62"/>
      <x:c r="V27" s="60" t="n">
        <x:v>82.17</x:v>
      </x:c>
      <x:c r="W27" s="60" t="str">
        <x:f>IF(COUNT(P27:S27)&gt;=3,AVERAGE(P27:S27),"")</x:f>
      </x:c>
      <x:c r="X27" s="60" t="n">
        <x:f>IF(V27&lt;&gt;"",V27,W27)</x:f>
        <x:v>82.17</x:v>
      </x:c>
      <x:c r="Y27" s="40" t="str">
        <x:f>IF(V27&lt;&gt;"","공식 70% 평균백분위",IF(W27&lt;&gt;"","파생 단순평균(참고)","비교불가"))</x:f>
        <x:v>공식 70% 평균백분위</x:v>
      </x:c>
      <x:c r="Z27" s="60" t="n">
        <x:f>'추천_테스트'!$B$8</x:f>
        <x:v>80</x:v>
      </x:c>
      <x:c r="AA27" s="60" t="n">
        <x:f>IF(X27="","",Z27-X27)</x:f>
        <x:v>-2.1700000000000017</x:v>
      </x:c>
      <x:c r="AB27" s="40" t="str">
        <x:f>IF(X27="","",IF(AA27&gt;='추천_테스트'!$B$10,"안정",IF(AA27&gt;='추천_테스트'!$B$11,"적정",IF(AA27&gt;='추천_테스트'!$B$12,"소신","상향"))))</x:f>
        <x:v>상향</x:v>
      </x:c>
      <x:c r="AC27" s="62" t="n">
        <x:v>80</x:v>
      </x:c>
      <x:c r="AD27" s="62" t="n">
        <x:v>20</x:v>
      </x:c>
      <x:c r="AE27" s="62" t="n">
        <x:v>0</x:v>
      </x:c>
      <x:c r="AF27" s="41" t="str">
        <x:v>A: 공식 70% 평균백분위 제공</x:v>
      </x:c>
      <x:c r="AG27" s="41" t="str">
        <x:v>https://www.adiga.kr/ucp/uvt/uni/univDetailSelection.do?menuId=PCUVTINF2000&amp;searchSyr=2026&amp;unvCd=0000036</x:v>
      </x:c>
    </x:row>
    <x:row r="28">
      <x:c r="A28" s="40" t="n">
        <x:v>2025</x:v>
      </x:c>
      <x:c r="B28" s="40" t="str">
        <x:v>서울특별시</x:v>
      </x:c>
      <x:c r="C28" s="40" t="str">
        <x:v>국립</x:v>
      </x:c>
      <x:c r="D28" s="40" t="str">
        <x:v>서울과학기술대학교</x:v>
      </x:c>
      <x:c r="E28" s="40" t="str">
        <x:v>나</x:v>
      </x:c>
      <x:c r="F28" s="40" t="str">
        <x:v>수능위주(일반전형)</x:v>
      </x:c>
      <x:c r="G28" s="41" t="str">
        <x:v>산업공학과 산업정보시스템전공(인문)</x:v>
      </x:c>
      <x:c r="H28" s="40"/>
      <x:c r="I28" s="40"/>
      <x:c r="J28" s="40" t="n">
        <x:v>2</x:v>
      </x:c>
      <x:c r="K28" s="60" t="n">
        <x:v>8</x:v>
      </x:c>
      <x:c r="L28" s="40" t="n">
        <x:v>2</x:v>
      </x:c>
      <x:c r="M28" s="60"/>
      <x:c r="N28" s="60" t="n">
        <x:v>921.97</x:v>
      </x:c>
      <x:c r="O28" s="60" t="n">
        <x:v>1000</x:v>
      </x:c>
      <x:c r="P28" s="62"/>
      <x:c r="Q28" s="62"/>
      <x:c r="R28" s="62"/>
      <x:c r="S28" s="62"/>
      <x:c r="T28" s="62"/>
      <x:c r="U28" s="62"/>
      <x:c r="V28" s="60" t="n">
        <x:v>85</x:v>
      </x:c>
      <x:c r="W28" s="60" t="str">
        <x:f>IF(COUNT(P28:S28)&gt;=3,AVERAGE(P28:S28),"")</x:f>
      </x:c>
      <x:c r="X28" s="60" t="n">
        <x:f>IF(V28&lt;&gt;"",V28,W28)</x:f>
        <x:v>85</x:v>
      </x:c>
      <x:c r="Y28" s="40" t="str">
        <x:f>IF(V28&lt;&gt;"","공식 70% 평균백분위",IF(W28&lt;&gt;"","파생 단순평균(참고)","비교불가"))</x:f>
        <x:v>공식 70% 평균백분위</x:v>
      </x:c>
      <x:c r="Z28" s="60" t="n">
        <x:f>'추천_테스트'!$B$8</x:f>
        <x:v>80</x:v>
      </x:c>
      <x:c r="AA28" s="60" t="n">
        <x:f>IF(X28="","",Z28-X28)</x:f>
        <x:v>-5</x:v>
      </x:c>
      <x:c r="AB28" s="40" t="str">
        <x:f>IF(X28="","",IF(AA28&gt;='추천_테스트'!$B$10,"안정",IF(AA28&gt;='추천_테스트'!$B$11,"적정",IF(AA28&gt;='추천_테스트'!$B$12,"소신","상향"))))</x:f>
        <x:v>상향</x:v>
      </x:c>
      <x:c r="AC28" s="62" t="n">
        <x:v>50</x:v>
      </x:c>
      <x:c r="AD28" s="62" t="n">
        <x:v>50</x:v>
      </x:c>
      <x:c r="AE28" s="62" t="n">
        <x:v>0</x:v>
      </x:c>
      <x:c r="AF28" s="41" t="str">
        <x:v>A: 공식 70% 평균백분위 제공</x:v>
      </x:c>
      <x:c r="AG28" s="41" t="str">
        <x:v>https://www.adiga.kr/ucp/uvt/uni/univDetailSelection.do?menuId=PCUVTINF2000&amp;searchSyr=2026&amp;unvCd=0000036</x:v>
      </x:c>
    </x:row>
    <x:row r="29">
      <x:c r="A29" s="40" t="n">
        <x:v>2025</x:v>
      </x:c>
      <x:c r="B29" s="40" t="str">
        <x:v>서울특별시</x:v>
      </x:c>
      <x:c r="C29" s="40" t="str">
        <x:v>국립</x:v>
      </x:c>
      <x:c r="D29" s="40" t="str">
        <x:v>서울과학기술대학교</x:v>
      </x:c>
      <x:c r="E29" s="40" t="str">
        <x:v>나</x:v>
      </x:c>
      <x:c r="F29" s="40" t="str">
        <x:v>수능위주(일반전형)</x:v>
      </x:c>
      <x:c r="G29" s="41" t="str">
        <x:v>스포츠과학과</x:v>
      </x:c>
      <x:c r="H29" s="40"/>
      <x:c r="I29" s="40"/>
      <x:c r="J29" s="40" t="n">
        <x:v>4</x:v>
      </x:c>
      <x:c r="K29" s="60" t="n">
        <x:v>6.25</x:v>
      </x:c>
      <x:c r="L29" s="40" t="n">
        <x:v>1</x:v>
      </x:c>
      <x:c r="M29" s="60"/>
      <x:c r="N29" s="60" t="n">
        <x:v>914.94</x:v>
      </x:c>
      <x:c r="O29" s="60" t="n">
        <x:v>1000</x:v>
      </x:c>
      <x:c r="P29" s="62"/>
      <x:c r="Q29" s="62"/>
      <x:c r="R29" s="62"/>
      <x:c r="S29" s="62"/>
      <x:c r="T29" s="62"/>
      <x:c r="U29" s="62"/>
      <x:c r="V29" s="60" t="n">
        <x:v>73.17</x:v>
      </x:c>
      <x:c r="W29" s="60" t="str">
        <x:f>IF(COUNT(P29:S29)&gt;=3,AVERAGE(P29:S29),"")</x:f>
      </x:c>
      <x:c r="X29" s="60" t="n">
        <x:f>IF(V29&lt;&gt;"",V29,W29)</x:f>
        <x:v>73.17</x:v>
      </x:c>
      <x:c r="Y29" s="40" t="str">
        <x:f>IF(V29&lt;&gt;"","공식 70% 평균백분위",IF(W29&lt;&gt;"","파생 단순평균(참고)","비교불가"))</x:f>
        <x:v>공식 70% 평균백분위</x:v>
      </x:c>
      <x:c r="Z29" s="60" t="n">
        <x:f>'추천_테스트'!$B$8</x:f>
        <x:v>80</x:v>
      </x:c>
      <x:c r="AA29" s="60" t="n">
        <x:f>IF(X29="","",Z29-X29)</x:f>
        <x:v>6.829999999999998</x:v>
      </x:c>
      <x:c r="AB29" s="40" t="str">
        <x:f>IF(X29="","",IF(AA29&gt;='추천_테스트'!$B$10,"안정",IF(AA29&gt;='추천_테스트'!$B$11,"적정",IF(AA29&gt;='추천_테스트'!$B$12,"소신","상향"))))</x:f>
        <x:v>안정</x:v>
      </x:c>
      <x:c r="AC29" s="62" t="n">
        <x:v>75</x:v>
      </x:c>
      <x:c r="AD29" s="62" t="n">
        <x:v>25</x:v>
      </x:c>
      <x:c r="AE29" s="62" t="n">
        <x:v>0</x:v>
      </x:c>
      <x:c r="AF29" s="41" t="str">
        <x:v>A: 공식 70% 평균백분위 제공</x:v>
      </x:c>
      <x:c r="AG29" s="41" t="str">
        <x:v>https://www.adiga.kr/ucp/uvt/uni/univDetailSelection.do?menuId=PCUVTINF2000&amp;searchSyr=2026&amp;unvCd=0000036</x:v>
      </x:c>
    </x:row>
    <x:row r="30">
      <x:c r="A30" s="40" t="n">
        <x:v>2025</x:v>
      </x:c>
      <x:c r="B30" s="40" t="str">
        <x:v>서울특별시</x:v>
      </x:c>
      <x:c r="C30" s="40" t="str">
        <x:v>국립</x:v>
      </x:c>
      <x:c r="D30" s="40" t="str">
        <x:v>서울과학기술대학교</x:v>
      </x:c>
      <x:c r="E30" s="40" t="str">
        <x:v>나</x:v>
      </x:c>
      <x:c r="F30" s="40" t="str">
        <x:v>수능위주(일반전형)</x:v>
      </x:c>
      <x:c r="G30" s="41" t="str">
        <x:v>디자인학과(산업디자인전공)</x:v>
      </x:c>
      <x:c r="H30" s="40"/>
      <x:c r="I30" s="40"/>
      <x:c r="J30" s="40" t="n">
        <x:v>7</x:v>
      </x:c>
      <x:c r="K30" s="60" t="n">
        <x:v>4.86</x:v>
      </x:c>
      <x:c r="L30" s="40" t="n">
        <x:v>8</x:v>
      </x:c>
      <x:c r="M30" s="60"/>
      <x:c r="N30" s="60" t="n">
        <x:v>917.1</x:v>
      </x:c>
      <x:c r="O30" s="60" t="n">
        <x:v>1000</x:v>
      </x:c>
      <x:c r="P30" s="62"/>
      <x:c r="Q30" s="62"/>
      <x:c r="R30" s="62"/>
      <x:c r="S30" s="62"/>
      <x:c r="T30" s="62"/>
      <x:c r="U30" s="62"/>
      <x:c r="V30" s="60" t="n">
        <x:v>86.75</x:v>
      </x:c>
      <x:c r="W30" s="60" t="str">
        <x:f>IF(COUNT(P30:S30)&gt;=3,AVERAGE(P30:S30),"")</x:f>
      </x:c>
      <x:c r="X30" s="60" t="n">
        <x:f>IF(V30&lt;&gt;"",V30,W30)</x:f>
        <x:v>86.75</x:v>
      </x:c>
      <x:c r="Y30" s="40" t="str">
        <x:f>IF(V30&lt;&gt;"","공식 70% 평균백분위",IF(W30&lt;&gt;"","파생 단순평균(참고)","비교불가"))</x:f>
        <x:v>공식 70% 평균백분위</x:v>
      </x:c>
      <x:c r="Z30" s="60" t="n">
        <x:f>'추천_테스트'!$B$8</x:f>
        <x:v>80</x:v>
      </x:c>
      <x:c r="AA30" s="60" t="n">
        <x:f>IF(X30="","",Z30-X30)</x:f>
        <x:v>-6.75</x:v>
      </x:c>
      <x:c r="AB30" s="40" t="str">
        <x:f>IF(X30="","",IF(AA30&gt;='추천_테스트'!$B$10,"안정",IF(AA30&gt;='추천_테스트'!$B$11,"적정",IF(AA30&gt;='추천_테스트'!$B$12,"소신","상향"))))</x:f>
        <x:v>상향</x:v>
      </x:c>
      <x:c r="AC30" s="62" t="n">
        <x:v>57</x:v>
      </x:c>
      <x:c r="AD30" s="62" t="n">
        <x:v>43</x:v>
      </x:c>
      <x:c r="AE30" s="62" t="n">
        <x:v>0</x:v>
      </x:c>
      <x:c r="AF30" s="41" t="str">
        <x:v>A: 공식 70% 평균백분위 제공</x:v>
      </x:c>
      <x:c r="AG30" s="41" t="str">
        <x:v>https://www.adiga.kr/ucp/uvt/uni/univDetailSelection.do?menuId=PCUVTINF2000&amp;searchSyr=2026&amp;unvCd=0000036</x:v>
      </x:c>
    </x:row>
    <x:row r="31">
      <x:c r="A31" s="40" t="n">
        <x:v>2025</x:v>
      </x:c>
      <x:c r="B31" s="40" t="str">
        <x:v>서울특별시</x:v>
      </x:c>
      <x:c r="C31" s="40" t="str">
        <x:v>국립</x:v>
      </x:c>
      <x:c r="D31" s="40" t="str">
        <x:v>서울과학기술대학교</x:v>
      </x:c>
      <x:c r="E31" s="40" t="str">
        <x:v>나</x:v>
      </x:c>
      <x:c r="F31" s="40" t="str">
        <x:v>수능위주(일반전형)</x:v>
      </x:c>
      <x:c r="G31" s="41" t="str">
        <x:v>디자인학과(시각디자인전공)</x:v>
      </x:c>
      <x:c r="H31" s="40"/>
      <x:c r="I31" s="40"/>
      <x:c r="J31" s="40" t="n">
        <x:v>3</x:v>
      </x:c>
      <x:c r="K31" s="60" t="n">
        <x:v>7</x:v>
      </x:c>
      <x:c r="L31" s="40" t="n">
        <x:v>2</x:v>
      </x:c>
      <x:c r="M31" s="60"/>
      <x:c r="N31" s="60" t="n">
        <x:v>960.69</x:v>
      </x:c>
      <x:c r="O31" s="60" t="n">
        <x:v>1000</x:v>
      </x:c>
      <x:c r="P31" s="62"/>
      <x:c r="Q31" s="62"/>
      <x:c r="R31" s="62"/>
      <x:c r="S31" s="62"/>
      <x:c r="T31" s="62"/>
      <x:c r="U31" s="62"/>
      <x:c r="V31" s="60" t="n">
        <x:v>88.25</x:v>
      </x:c>
      <x:c r="W31" s="60" t="str">
        <x:f>IF(COUNT(P31:S31)&gt;=3,AVERAGE(P31:S31),"")</x:f>
      </x:c>
      <x:c r="X31" s="60" t="n">
        <x:f>IF(V31&lt;&gt;"",V31,W31)</x:f>
        <x:v>88.25</x:v>
      </x:c>
      <x:c r="Y31" s="40" t="str">
        <x:f>IF(V31&lt;&gt;"","공식 70% 평균백분위",IF(W31&lt;&gt;"","파생 단순평균(참고)","비교불가"))</x:f>
        <x:v>공식 70% 평균백분위</x:v>
      </x:c>
      <x:c r="Z31" s="60" t="n">
        <x:f>'추천_테스트'!$B$8</x:f>
        <x:v>80</x:v>
      </x:c>
      <x:c r="AA31" s="60" t="n">
        <x:f>IF(X31="","",Z31-X31)</x:f>
        <x:v>-8.25</x:v>
      </x:c>
      <x:c r="AB31" s="40" t="str">
        <x:f>IF(X31="","",IF(AA31&gt;='추천_테스트'!$B$10,"안정",IF(AA31&gt;='추천_테스트'!$B$11,"적정",IF(AA31&gt;='추천_테스트'!$B$12,"소신","상향"))))</x:f>
        <x:v>상향</x:v>
      </x:c>
      <x:c r="AC31" s="62" t="n">
        <x:v>67</x:v>
      </x:c>
      <x:c r="AD31" s="62" t="n">
        <x:v>33</x:v>
      </x:c>
      <x:c r="AE31" s="62" t="n">
        <x:v>0</x:v>
      </x:c>
      <x:c r="AF31" s="41" t="str">
        <x:v>A: 공식 70% 평균백분위 제공</x:v>
      </x:c>
      <x:c r="AG31" s="41" t="str">
        <x:v>https://www.adiga.kr/ucp/uvt/uni/univDetailSelection.do?menuId=PCUVTINF2000&amp;searchSyr=2026&amp;unvCd=0000036</x:v>
      </x:c>
    </x:row>
    <x:row r="32">
      <x:c r="A32" s="40" t="n">
        <x:v>2025</x:v>
      </x:c>
      <x:c r="B32" s="40" t="str">
        <x:v>서울특별시</x:v>
      </x:c>
      <x:c r="C32" s="40" t="str">
        <x:v>국립</x:v>
      </x:c>
      <x:c r="D32" s="40" t="str">
        <x:v>서울과학기술대학교</x:v>
      </x:c>
      <x:c r="E32" s="40" t="str">
        <x:v>나</x:v>
      </x:c>
      <x:c r="F32" s="40" t="str">
        <x:v>수능위주(일반전형)</x:v>
      </x:c>
      <x:c r="G32" s="41" t="str">
        <x:v>금속공예디자인학과</x:v>
      </x:c>
      <x:c r="H32" s="40"/>
      <x:c r="I32" s="40"/>
      <x:c r="J32" s="40" t="n">
        <x:v>3</x:v>
      </x:c>
      <x:c r="K32" s="60" t="n">
        <x:v>6.67</x:v>
      </x:c>
      <x:c r="L32" s="40" t="n">
        <x:v>3</x:v>
      </x:c>
      <x:c r="M32" s="60"/>
      <x:c r="N32" s="60" t="n">
        <x:v>945.49</x:v>
      </x:c>
      <x:c r="O32" s="60" t="n">
        <x:v>1000</x:v>
      </x:c>
      <x:c r="P32" s="62"/>
      <x:c r="Q32" s="62"/>
      <x:c r="R32" s="62"/>
      <x:c r="S32" s="62"/>
      <x:c r="T32" s="62"/>
      <x:c r="U32" s="62"/>
      <x:c r="V32" s="60" t="n">
        <x:v>86</x:v>
      </x:c>
      <x:c r="W32" s="60" t="str">
        <x:f>IF(COUNT(P32:S32)&gt;=3,AVERAGE(P32:S32),"")</x:f>
      </x:c>
      <x:c r="X32" s="60" t="n">
        <x:f>IF(V32&lt;&gt;"",V32,W32)</x:f>
        <x:v>86</x:v>
      </x:c>
      <x:c r="Y32" s="40" t="str">
        <x:f>IF(V32&lt;&gt;"","공식 70% 평균백분위",IF(W32&lt;&gt;"","파생 단순평균(참고)","비교불가"))</x:f>
        <x:v>공식 70% 평균백분위</x:v>
      </x:c>
      <x:c r="Z32" s="60" t="n">
        <x:f>'추천_테스트'!$B$8</x:f>
        <x:v>80</x:v>
      </x:c>
      <x:c r="AA32" s="60" t="n">
        <x:f>IF(X32="","",Z32-X32)</x:f>
        <x:v>-6</x:v>
      </x:c>
      <x:c r="AB32" s="40" t="str">
        <x:f>IF(X32="","",IF(AA32&gt;='추천_테스트'!$B$10,"안정",IF(AA32&gt;='추천_테스트'!$B$11,"적정",IF(AA32&gt;='추천_테스트'!$B$12,"소신","상향"))))</x:f>
        <x:v>상향</x:v>
      </x:c>
      <x:c r="AC32" s="62" t="n">
        <x:v>67</x:v>
      </x:c>
      <x:c r="AD32" s="62" t="n">
        <x:v>33</x:v>
      </x:c>
      <x:c r="AE32" s="62" t="n">
        <x:v>0</x:v>
      </x:c>
      <x:c r="AF32" s="41" t="str">
        <x:v>A: 공식 70% 평균백분위 제공</x:v>
      </x:c>
      <x:c r="AG32" s="41" t="str">
        <x:v>https://www.adiga.kr/ucp/uvt/uni/univDetailSelection.do?menuId=PCUVTINF2000&amp;searchSyr=2026&amp;unvCd=0000036</x:v>
      </x:c>
    </x:row>
    <x:row r="33">
      <x:c r="A33" s="40" t="n">
        <x:v>2025</x:v>
      </x:c>
      <x:c r="B33" s="40" t="str">
        <x:v>서울특별시</x:v>
      </x:c>
      <x:c r="C33" s="40" t="str">
        <x:v>국립</x:v>
      </x:c>
      <x:c r="D33" s="40" t="str">
        <x:v>서울과학기술대학교</x:v>
      </x:c>
      <x:c r="E33" s="40" t="str">
        <x:v>나</x:v>
      </x:c>
      <x:c r="F33" s="40" t="str">
        <x:v>수능위주(일반전형)</x:v>
      </x:c>
      <x:c r="G33" s="41" t="str">
        <x:v>자유전공학부(창의융합대학)</x:v>
      </x:c>
      <x:c r="H33" s="40"/>
      <x:c r="I33" s="40"/>
      <x:c r="J33" s="40" t="n">
        <x:v>20</x:v>
      </x:c>
      <x:c r="K33" s="60" t="n">
        <x:v>4.9</x:v>
      </x:c>
      <x:c r="L33" s="40" t="n">
        <x:v>14</x:v>
      </x:c>
      <x:c r="M33" s="60"/>
      <x:c r="N33" s="60" t="n">
        <x:v>914.41</x:v>
      </x:c>
      <x:c r="O33" s="60" t="n">
        <x:v>1000</x:v>
      </x:c>
      <x:c r="P33" s="62"/>
      <x:c r="Q33" s="62"/>
      <x:c r="R33" s="62"/>
      <x:c r="S33" s="62"/>
      <x:c r="T33" s="62"/>
      <x:c r="U33" s="62"/>
      <x:c r="V33" s="60" t="n">
        <x:v>85.17</x:v>
      </x:c>
      <x:c r="W33" s="60" t="str">
        <x:f>IF(COUNT(P33:S33)&gt;=3,AVERAGE(P33:S33),"")</x:f>
      </x:c>
      <x:c r="X33" s="60" t="n">
        <x:f>IF(V33&lt;&gt;"",V33,W33)</x:f>
        <x:v>85.17</x:v>
      </x:c>
      <x:c r="Y33" s="40" t="str">
        <x:f>IF(V33&lt;&gt;"","공식 70% 평균백분위",IF(W33&lt;&gt;"","파생 단순평균(참고)","비교불가"))</x:f>
        <x:v>공식 70% 평균백분위</x:v>
      </x:c>
      <x:c r="Z33" s="60" t="n">
        <x:f>'추천_테스트'!$B$8</x:f>
        <x:v>80</x:v>
      </x:c>
      <x:c r="AA33" s="60" t="n">
        <x:f>IF(X33="","",Z33-X33)</x:f>
        <x:v>-5.170000000000002</x:v>
      </x:c>
      <x:c r="AB33" s="40" t="str">
        <x:f>IF(X33="","",IF(AA33&gt;='추천_테스트'!$B$10,"안정",IF(AA33&gt;='추천_테스트'!$B$11,"적정",IF(AA33&gt;='추천_테스트'!$B$12,"소신","상향"))))</x:f>
        <x:v>상향</x:v>
      </x:c>
      <x:c r="AC33" s="62" t="n">
        <x:v>0</x:v>
      </x:c>
      <x:c r="AD33" s="62" t="n">
        <x:v>100</x:v>
      </x:c>
      <x:c r="AE33" s="62" t="n">
        <x:v>0</x:v>
      </x:c>
      <x:c r="AF33" s="41" t="str">
        <x:v>A: 공식 70% 평균백분위 제공</x:v>
      </x:c>
      <x:c r="AG33" s="41" t="str">
        <x:v>https://www.adiga.kr/ucp/uvt/uni/univDetailSelection.do?menuId=PCUVTINF2000&amp;searchSyr=2026&amp;unvCd=0000036</x:v>
      </x:c>
    </x:row>
    <x:row r="34">
      <x:c r="A34" s="40" t="n">
        <x:v>2025</x:v>
      </x:c>
      <x:c r="B34" s="40" t="str">
        <x:v>서울특별시</x:v>
      </x:c>
      <x:c r="C34" s="40" t="str">
        <x:v>국립</x:v>
      </x:c>
      <x:c r="D34" s="40" t="str">
        <x:v>서울과학기술대학교</x:v>
      </x:c>
      <x:c r="E34" s="40" t="str">
        <x:v>다</x:v>
      </x:c>
      <x:c r="F34" s="40" t="str">
        <x:v>수능위주(일반전형)</x:v>
      </x:c>
      <x:c r="G34" s="41" t="str">
        <x:v>인공지능응용학과</x:v>
      </x:c>
      <x:c r="H34" s="40"/>
      <x:c r="I34" s="40"/>
      <x:c r="J34" s="40" t="n">
        <x:v>19</x:v>
      </x:c>
      <x:c r="K34" s="60" t="n">
        <x:v>7.26</x:v>
      </x:c>
      <x:c r="L34" s="40" t="n">
        <x:v>15</x:v>
      </x:c>
      <x:c r="M34" s="60"/>
      <x:c r="N34" s="60" t="n">
        <x:v>916.48</x:v>
      </x:c>
      <x:c r="O34" s="60" t="n">
        <x:v>1000</x:v>
      </x:c>
      <x:c r="P34" s="62"/>
      <x:c r="Q34" s="62"/>
      <x:c r="R34" s="62"/>
      <x:c r="S34" s="62"/>
      <x:c r="T34" s="62"/>
      <x:c r="U34" s="62"/>
      <x:c r="V34" s="60" t="n">
        <x:v>84.33</x:v>
      </x:c>
      <x:c r="W34" s="60" t="str">
        <x:f>IF(COUNT(P34:S34)&gt;=3,AVERAGE(P34:S34),"")</x:f>
      </x:c>
      <x:c r="X34" s="60" t="n">
        <x:f>IF(V34&lt;&gt;"",V34,W34)</x:f>
        <x:v>84.33</x:v>
      </x:c>
      <x:c r="Y34" s="40" t="str">
        <x:f>IF(V34&lt;&gt;"","공식 70% 평균백분위",IF(W34&lt;&gt;"","파생 단순평균(참고)","비교불가"))</x:f>
        <x:v>공식 70% 평균백분위</x:v>
      </x:c>
      <x:c r="Z34" s="60" t="n">
        <x:f>'추천_테스트'!$B$8</x:f>
        <x:v>80</x:v>
      </x:c>
      <x:c r="AA34" s="60" t="n">
        <x:f>IF(X34="","",Z34-X34)</x:f>
        <x:v>-4.329999999999998</x:v>
      </x:c>
      <x:c r="AB34" s="40" t="str">
        <x:f>IF(X34="","",IF(AA34&gt;='추천_테스트'!$B$10,"안정",IF(AA34&gt;='추천_테스트'!$B$11,"적정",IF(AA34&gt;='추천_테스트'!$B$12,"소신","상향"))))</x:f>
        <x:v>상향</x:v>
      </x:c>
      <x:c r="AC34" s="62" t="n">
        <x:v>0</x:v>
      </x:c>
      <x:c r="AD34" s="62" t="n">
        <x:v>95</x:v>
      </x:c>
      <x:c r="AE34" s="62" t="n">
        <x:v>5</x:v>
      </x:c>
      <x:c r="AF34" s="41" t="str">
        <x:v>A: 공식 70% 평균백분위 제공</x:v>
      </x:c>
      <x:c r="AG34" s="41" t="str">
        <x:v>https://www.adiga.kr/ucp/uvt/uni/univDetailSelection.do?menuId=PCUVTINF2000&amp;searchSyr=2026&amp;unvCd=0000036</x:v>
      </x:c>
    </x:row>
    <x:row r="35">
      <x:c r="A35" s="40" t="n">
        <x:v>2025</x:v>
      </x:c>
      <x:c r="B35" s="40" t="str">
        <x:v>서울특별시</x:v>
      </x:c>
      <x:c r="C35" s="40" t="str">
        <x:v>국립</x:v>
      </x:c>
      <x:c r="D35" s="40" t="str">
        <x:v>서울과학기술대학교</x:v>
      </x:c>
      <x:c r="E35" s="40" t="str">
        <x:v>다</x:v>
      </x:c>
      <x:c r="F35" s="40" t="str">
        <x:v>수능위주(일반전형)</x:v>
      </x:c>
      <x:c r="G35" s="41" t="str">
        <x:v>지능형반도체공학과</x:v>
      </x:c>
      <x:c r="H35" s="40"/>
      <x:c r="I35" s="40"/>
      <x:c r="J35" s="40" t="n">
        <x:v>14</x:v>
      </x:c>
      <x:c r="K35" s="60" t="n">
        <x:v>5.93</x:v>
      </x:c>
      <x:c r="L35" s="40" t="n">
        <x:v>17</x:v>
      </x:c>
      <x:c r="M35" s="60"/>
      <x:c r="N35" s="60" t="n">
        <x:v>917.97</x:v>
      </x:c>
      <x:c r="O35" s="60" t="n">
        <x:v>1000</x:v>
      </x:c>
      <x:c r="P35" s="62"/>
      <x:c r="Q35" s="62"/>
      <x:c r="R35" s="62"/>
      <x:c r="S35" s="62"/>
      <x:c r="T35" s="62"/>
      <x:c r="U35" s="62"/>
      <x:c r="V35" s="60" t="n">
        <x:v>84.33</x:v>
      </x:c>
      <x:c r="W35" s="60" t="str">
        <x:f>IF(COUNT(P35:S35)&gt;=3,AVERAGE(P35:S35),"")</x:f>
      </x:c>
      <x:c r="X35" s="60" t="n">
        <x:f>IF(V35&lt;&gt;"",V35,W35)</x:f>
        <x:v>84.33</x:v>
      </x:c>
      <x:c r="Y35" s="40" t="str">
        <x:f>IF(V35&lt;&gt;"","공식 70% 평균백분위",IF(W35&lt;&gt;"","파생 단순평균(참고)","비교불가"))</x:f>
        <x:v>공식 70% 평균백분위</x:v>
      </x:c>
      <x:c r="Z35" s="60" t="n">
        <x:f>'추천_테스트'!$B$8</x:f>
        <x:v>80</x:v>
      </x:c>
      <x:c r="AA35" s="60" t="n">
        <x:f>IF(X35="","",Z35-X35)</x:f>
        <x:v>-4.329999999999998</x:v>
      </x:c>
      <x:c r="AB35" s="40" t="str">
        <x:f>IF(X35="","",IF(AA35&gt;='추천_테스트'!$B$10,"안정",IF(AA35&gt;='추천_테스트'!$B$11,"적정",IF(AA35&gt;='추천_테스트'!$B$12,"소신","상향"))))</x:f>
        <x:v>상향</x:v>
      </x:c>
      <x:c r="AC35" s="62" t="n">
        <x:v>0</x:v>
      </x:c>
      <x:c r="AD35" s="62" t="n">
        <x:v>100</x:v>
      </x:c>
      <x:c r="AE35" s="62" t="n">
        <x:v>0</x:v>
      </x:c>
      <x:c r="AF35" s="41" t="str">
        <x:v>A: 공식 70% 평균백분위 제공</x:v>
      </x:c>
      <x:c r="AG35" s="41" t="str">
        <x:v>https://www.adiga.kr/ucp/uvt/uni/univDetailSelection.do?menuId=PCUVTINF2000&amp;searchSyr=2026&amp;unvCd=0000036</x:v>
      </x:c>
    </x:row>
    <x:row r="36">
      <x:c r="A36" s="40" t="n">
        <x:v>2025</x:v>
      </x:c>
      <x:c r="B36" s="40" t="str">
        <x:v>서울특별시</x:v>
      </x:c>
      <x:c r="C36" s="40" t="str">
        <x:v>국립</x:v>
      </x:c>
      <x:c r="D36" s="40" t="str">
        <x:v>서울과학기술대학교</x:v>
      </x:c>
      <x:c r="E36" s="40" t="str">
        <x:v>다</x:v>
      </x:c>
      <x:c r="F36" s="40" t="str">
        <x:v>수능위주(일반전형)</x:v>
      </x:c>
      <x:c r="G36" s="41" t="str">
        <x:v>미래에너지융합학과</x:v>
      </x:c>
      <x:c r="H36" s="40"/>
      <x:c r="I36" s="40"/>
      <x:c r="J36" s="40" t="n">
        <x:v>6</x:v>
      </x:c>
      <x:c r="K36" s="60" t="n">
        <x:v>10.5</x:v>
      </x:c>
      <x:c r="L36" s="40" t="n">
        <x:v>6</x:v>
      </x:c>
      <x:c r="M36" s="60"/>
      <x:c r="N36" s="60" t="n">
        <x:v>913.37</x:v>
      </x:c>
      <x:c r="O36" s="60" t="n">
        <x:v>1000</x:v>
      </x:c>
      <x:c r="P36" s="62"/>
      <x:c r="Q36" s="62"/>
      <x:c r="R36" s="62"/>
      <x:c r="S36" s="62"/>
      <x:c r="T36" s="62"/>
      <x:c r="U36" s="62"/>
      <x:c r="V36" s="60" t="n">
        <x:v>82.67</x:v>
      </x:c>
      <x:c r="W36" s="60" t="str">
        <x:f>IF(COUNT(P36:S36)&gt;=3,AVERAGE(P36:S36),"")</x:f>
      </x:c>
      <x:c r="X36" s="60" t="n">
        <x:f>IF(V36&lt;&gt;"",V36,W36)</x:f>
        <x:v>82.67</x:v>
      </x:c>
      <x:c r="Y36" s="40" t="str">
        <x:f>IF(V36&lt;&gt;"","공식 70% 평균백분위",IF(W36&lt;&gt;"","파생 단순평균(참고)","비교불가"))</x:f>
        <x:v>공식 70% 평균백분위</x:v>
      </x:c>
      <x:c r="Z36" s="60" t="n">
        <x:f>'추천_테스트'!$B$8</x:f>
        <x:v>80</x:v>
      </x:c>
      <x:c r="AA36" s="60" t="n">
        <x:f>IF(X36="","",Z36-X36)</x:f>
        <x:v>-2.6700000000000017</x:v>
      </x:c>
      <x:c r="AB36" s="40" t="str">
        <x:f>IF(X36="","",IF(AA36&gt;='추천_테스트'!$B$10,"안정",IF(AA36&gt;='추천_테스트'!$B$11,"적정",IF(AA36&gt;='추천_테스트'!$B$12,"소신","상향"))))</x:f>
        <x:v>상향</x:v>
      </x:c>
      <x:c r="AC36" s="62" t="n">
        <x:v>0</x:v>
      </x:c>
      <x:c r="AD36" s="62" t="n">
        <x:v>100</x:v>
      </x:c>
      <x:c r="AE36" s="62" t="n">
        <x:v>0</x:v>
      </x:c>
      <x:c r="AF36" s="41" t="str">
        <x:v>A: 공식 70% 평균백분위 제공</x:v>
      </x:c>
      <x:c r="AG36" s="41" t="str">
        <x:v>https://www.adiga.kr/ucp/uvt/uni/univDetailSelection.do?menuId=PCUVTINF2000&amp;searchSyr=2026&amp;unvCd=0000036</x:v>
      </x:c>
    </x:row>
    <x:row r="37">
      <x:c r="A37" s="40" t="n">
        <x:v>2025</x:v>
      </x:c>
      <x:c r="B37" s="40" t="str">
        <x:v>서울특별시</x:v>
      </x:c>
      <x:c r="C37" s="40" t="str">
        <x:v>국립</x:v>
      </x:c>
      <x:c r="D37" s="40" t="str">
        <x:v>서울과학기술대학교</x:v>
      </x:c>
      <x:c r="E37" s="40" t="str">
        <x:v>다</x:v>
      </x:c>
      <x:c r="F37" s="40" t="str">
        <x:v>수능위주(일반전형)</x:v>
      </x:c>
      <x:c r="G37" s="41" t="str">
        <x:v>자유전공학부(인문사회대학)</x:v>
      </x:c>
      <x:c r="H37" s="40"/>
      <x:c r="I37" s="40"/>
      <x:c r="J37" s="40" t="n">
        <x:v>12</x:v>
      </x:c>
      <x:c r="K37" s="60" t="n">
        <x:v>7</x:v>
      </x:c>
      <x:c r="L37" s="40" t="n">
        <x:v>16</x:v>
      </x:c>
      <x:c r="M37" s="60"/>
      <x:c r="N37" s="60" t="n">
        <x:v>912.25</x:v>
      </x:c>
      <x:c r="O37" s="60" t="n">
        <x:v>1000</x:v>
      </x:c>
      <x:c r="P37" s="62"/>
      <x:c r="Q37" s="62"/>
      <x:c r="R37" s="62"/>
      <x:c r="S37" s="62"/>
      <x:c r="T37" s="62"/>
      <x:c r="U37" s="62"/>
      <x:c r="V37" s="60" t="n">
        <x:v>82.17</x:v>
      </x:c>
      <x:c r="W37" s="60" t="str">
        <x:f>IF(COUNT(P37:S37)&gt;=3,AVERAGE(P37:S37),"")</x:f>
      </x:c>
      <x:c r="X37" s="60" t="n">
        <x:f>IF(V37&lt;&gt;"",V37,W37)</x:f>
        <x:v>82.17</x:v>
      </x:c>
      <x:c r="Y37" s="40" t="str">
        <x:f>IF(V37&lt;&gt;"","공식 70% 평균백분위",IF(W37&lt;&gt;"","파생 단순평균(참고)","비교불가"))</x:f>
        <x:v>공식 70% 평균백분위</x:v>
      </x:c>
      <x:c r="Z37" s="60" t="n">
        <x:f>'추천_테스트'!$B$8</x:f>
        <x:v>80</x:v>
      </x:c>
      <x:c r="AA37" s="60" t="n">
        <x:f>IF(X37="","",Z37-X37)</x:f>
        <x:v>-2.1700000000000017</x:v>
      </x:c>
      <x:c r="AB37" s="40" t="str">
        <x:f>IF(X37="","",IF(AA37&gt;='추천_테스트'!$B$10,"안정",IF(AA37&gt;='추천_테스트'!$B$11,"적정",IF(AA37&gt;='추천_테스트'!$B$12,"소신","상향"))))</x:f>
        <x:v>상향</x:v>
      </x:c>
      <x:c r="AC37" s="62" t="n">
        <x:v>90</x:v>
      </x:c>
      <x:c r="AD37" s="62" t="n">
        <x:v>10</x:v>
      </x:c>
      <x:c r="AE37" s="62" t="n">
        <x:v>0</x:v>
      </x:c>
      <x:c r="AF37" s="41" t="str">
        <x:v>A: 공식 70% 평균백분위 제공</x:v>
      </x:c>
      <x:c r="AG37" s="41" t="str">
        <x:v>https://www.adiga.kr/ucp/uvt/uni/univDetailSelection.do?menuId=PCUVTINF2000&amp;searchSyr=2026&amp;unvCd=0000036</x:v>
      </x:c>
    </x:row>
    <x:row r="38">
      <x:c r="A38" s="40" t="n">
        <x:v>2025</x:v>
      </x:c>
      <x:c r="B38" s="40" t="str">
        <x:v>서울특별시</x:v>
      </x:c>
      <x:c r="C38" s="40" t="str">
        <x:v>국립</x:v>
      </x:c>
      <x:c r="D38" s="40" t="str">
        <x:v>서울과학기술대학교</x:v>
      </x:c>
      <x:c r="E38" s="40" t="str">
        <x:v>다</x:v>
      </x:c>
      <x:c r="F38" s="40" t="str">
        <x:v>수능위주(일반전형)</x:v>
      </x:c>
      <x:c r="G38" s="41" t="str">
        <x:v>자유전공학부(기술경영융합대학)</x:v>
      </x:c>
      <x:c r="H38" s="40"/>
      <x:c r="I38" s="40"/>
      <x:c r="J38" s="40" t="n">
        <x:v>14</x:v>
      </x:c>
      <x:c r="K38" s="60" t="n">
        <x:v>6.71</x:v>
      </x:c>
      <x:c r="L38" s="40" t="n">
        <x:v>14</x:v>
      </x:c>
      <x:c r="M38" s="60"/>
      <x:c r="N38" s="60" t="n">
        <x:v>900.87</x:v>
      </x:c>
      <x:c r="O38" s="60" t="n">
        <x:v>1000</x:v>
      </x:c>
      <x:c r="P38" s="62"/>
      <x:c r="Q38" s="62"/>
      <x:c r="R38" s="62"/>
      <x:c r="S38" s="62"/>
      <x:c r="T38" s="62"/>
      <x:c r="U38" s="62"/>
      <x:c r="V38" s="60" t="n">
        <x:v>85.33</x:v>
      </x:c>
      <x:c r="W38" s="60" t="str">
        <x:f>IF(COUNT(P38:S38)&gt;=3,AVERAGE(P38:S38),"")</x:f>
      </x:c>
      <x:c r="X38" s="60" t="n">
        <x:f>IF(V38&lt;&gt;"",V38,W38)</x:f>
        <x:v>85.33</x:v>
      </x:c>
      <x:c r="Y38" s="40" t="str">
        <x:f>IF(V38&lt;&gt;"","공식 70% 평균백분위",IF(W38&lt;&gt;"","파생 단순평균(참고)","비교불가"))</x:f>
        <x:v>공식 70% 평균백분위</x:v>
      </x:c>
      <x:c r="Z38" s="60" t="n">
        <x:f>'추천_테스트'!$B$8</x:f>
        <x:v>80</x:v>
      </x:c>
      <x:c r="AA38" s="60" t="n">
        <x:f>IF(X38="","",Z38-X38)</x:f>
        <x:v>-5.329999999999998</x:v>
      </x:c>
      <x:c r="AB38" s="40" t="str">
        <x:f>IF(X38="","",IF(AA38&gt;='추천_테스트'!$B$10,"안정",IF(AA38&gt;='추천_테스트'!$B$11,"적정",IF(AA38&gt;='추천_테스트'!$B$12,"소신","상향"))))</x:f>
        <x:v>상향</x:v>
      </x:c>
      <x:c r="AC38" s="62" t="n">
        <x:v>64</x:v>
      </x:c>
      <x:c r="AD38" s="62" t="n">
        <x:v>36</x:v>
      </x:c>
      <x:c r="AE38" s="62" t="n">
        <x:v>0</x:v>
      </x:c>
      <x:c r="AF38" s="41" t="str">
        <x:v>A: 공식 70% 평균백분위 제공</x:v>
      </x:c>
      <x:c r="AG38" s="41" t="str">
        <x:v>https://www.adiga.kr/ucp/uvt/uni/univDetailSelection.do?menuId=PCUVTINF2000&amp;searchSyr=2026&amp;unvCd=0000036</x:v>
      </x:c>
    </x:row>
    <x:row r="39">
      <x:c r="A39" s="40" t="n">
        <x:v>2025</x:v>
      </x:c>
      <x:c r="B39" s="40" t="str">
        <x:v>서울특별시</x:v>
      </x:c>
      <x:c r="C39" s="40" t="str">
        <x:v>국립</x:v>
      </x:c>
      <x:c r="D39" s="40" t="str">
        <x:v>서울과학기술대학교</x:v>
      </x:c>
      <x:c r="E39" s="40" t="str">
        <x:v>다</x:v>
      </x:c>
      <x:c r="F39" s="40" t="str">
        <x:v>수능위주(일반전형)</x:v>
      </x:c>
      <x:c r="G39" s="41" t="str">
        <x:v>자유전공학부(에너지바이오대학)</x:v>
      </x:c>
      <x:c r="H39" s="40"/>
      <x:c r="I39" s="40"/>
      <x:c r="J39" s="40" t="n">
        <x:v>24</x:v>
      </x:c>
      <x:c r="K39" s="60" t="n">
        <x:v>7.33</x:v>
      </x:c>
      <x:c r="L39" s="40" t="n">
        <x:v>14</x:v>
      </x:c>
      <x:c r="M39" s="60"/>
      <x:c r="N39" s="60" t="n">
        <x:v>909.69</x:v>
      </x:c>
      <x:c r="O39" s="60" t="n">
        <x:v>1000</x:v>
      </x:c>
      <x:c r="P39" s="62"/>
      <x:c r="Q39" s="62"/>
      <x:c r="R39" s="62"/>
      <x:c r="S39" s="62"/>
      <x:c r="T39" s="62"/>
      <x:c r="U39" s="62"/>
      <x:c r="V39" s="60" t="n">
        <x:v>83.33</x:v>
      </x:c>
      <x:c r="W39" s="60" t="str">
        <x:f>IF(COUNT(P39:S39)&gt;=3,AVERAGE(P39:S39),"")</x:f>
      </x:c>
      <x:c r="X39" s="60" t="n">
        <x:f>IF(V39&lt;&gt;"",V39,W39)</x:f>
        <x:v>83.33</x:v>
      </x:c>
      <x:c r="Y39" s="40" t="str">
        <x:f>IF(V39&lt;&gt;"","공식 70% 평균백분위",IF(W39&lt;&gt;"","파생 단순평균(참고)","비교불가"))</x:f>
        <x:v>공식 70% 평균백분위</x:v>
      </x:c>
      <x:c r="Z39" s="60" t="n">
        <x:f>'추천_테스트'!$B$8</x:f>
        <x:v>80</x:v>
      </x:c>
      <x:c r="AA39" s="60" t="n">
        <x:f>IF(X39="","",Z39-X39)</x:f>
        <x:v>-3.3299999999999983</x:v>
      </x:c>
      <x:c r="AB39" s="40" t="str">
        <x:f>IF(X39="","",IF(AA39&gt;='추천_테스트'!$B$10,"안정",IF(AA39&gt;='추천_테스트'!$B$11,"적정",IF(AA39&gt;='추천_테스트'!$B$12,"소신","상향"))))</x:f>
        <x:v>상향</x:v>
      </x:c>
      <x:c r="AC39" s="62" t="n">
        <x:v>0</x:v>
      </x:c>
      <x:c r="AD39" s="62" t="n">
        <x:v>96</x:v>
      </x:c>
      <x:c r="AE39" s="62" t="n">
        <x:v>4</x:v>
      </x:c>
      <x:c r="AF39" s="41" t="str">
        <x:v>A: 공식 70% 평균백분위 제공</x:v>
      </x:c>
      <x:c r="AG39" s="41" t="str">
        <x:v>https://www.adiga.kr/ucp/uvt/uni/univDetailSelection.do?menuId=PCUVTINF2000&amp;searchSyr=2026&amp;unvCd=0000036</x:v>
      </x:c>
    </x:row>
    <x:row r="40">
      <x:c r="A40" s="40" t="n">
        <x:v>2025</x:v>
      </x:c>
      <x:c r="B40" s="40" t="str">
        <x:v>서울특별시</x:v>
      </x:c>
      <x:c r="C40" s="40" t="str">
        <x:v>국립</x:v>
      </x:c>
      <x:c r="D40" s="40" t="str">
        <x:v>서울과학기술대학교</x:v>
      </x:c>
      <x:c r="E40" s="40" t="str">
        <x:v>다</x:v>
      </x:c>
      <x:c r="F40" s="40" t="str">
        <x:v>수능위주(일반전형)</x:v>
      </x:c>
      <x:c r="G40" s="41" t="str">
        <x:v>ST 자유전공학부</x:v>
      </x:c>
      <x:c r="H40" s="40"/>
      <x:c r="I40" s="40"/>
      <x:c r="J40" s="40" t="n">
        <x:v>36</x:v>
      </x:c>
      <x:c r="K40" s="60" t="n">
        <x:v>6.11</x:v>
      </x:c>
      <x:c r="L40" s="40" t="n">
        <x:v>30</x:v>
      </x:c>
      <x:c r="M40" s="60"/>
      <x:c r="N40" s="60" t="n">
        <x:v>915.59</x:v>
      </x:c>
      <x:c r="O40" s="60" t="n">
        <x:v>1000</x:v>
      </x:c>
      <x:c r="P40" s="62"/>
      <x:c r="Q40" s="62"/>
      <x:c r="R40" s="62"/>
      <x:c r="S40" s="62"/>
      <x:c r="T40" s="62"/>
      <x:c r="U40" s="62"/>
      <x:c r="V40" s="60" t="n">
        <x:v>84.17</x:v>
      </x:c>
      <x:c r="W40" s="60" t="str">
        <x:f>IF(COUNT(P40:S40)&gt;=3,AVERAGE(P40:S40),"")</x:f>
      </x:c>
      <x:c r="X40" s="60" t="n">
        <x:f>IF(V40&lt;&gt;"",V40,W40)</x:f>
        <x:v>84.17</x:v>
      </x:c>
      <x:c r="Y40" s="40" t="str">
        <x:f>IF(V40&lt;&gt;"","공식 70% 평균백분위",IF(W40&lt;&gt;"","파생 단순평균(참고)","비교불가"))</x:f>
        <x:v>공식 70% 평균백분위</x:v>
      </x:c>
      <x:c r="Z40" s="60" t="n">
        <x:f>'추천_테스트'!$B$8</x:f>
        <x:v>80</x:v>
      </x:c>
      <x:c r="AA40" s="60" t="n">
        <x:f>IF(X40="","",Z40-X40)</x:f>
        <x:v>-4.170000000000002</x:v>
      </x:c>
      <x:c r="AB40" s="40" t="str">
        <x:f>IF(X40="","",IF(AA40&gt;='추천_테스트'!$B$10,"안정",IF(AA40&gt;='추천_테스트'!$B$11,"적정",IF(AA40&gt;='추천_테스트'!$B$12,"소신","상향"))))</x:f>
        <x:v>상향</x:v>
      </x:c>
      <x:c r="AC40" s="62" t="n">
        <x:v>0</x:v>
      </x:c>
      <x:c r="AD40" s="62" t="n">
        <x:v>100</x:v>
      </x:c>
      <x:c r="AE40" s="62" t="n">
        <x:v>0</x:v>
      </x:c>
      <x:c r="AF40" s="41" t="str">
        <x:v>A: 공식 70% 평균백분위 제공</x:v>
      </x:c>
      <x:c r="AG40" s="41" t="str">
        <x:v>https://www.adiga.kr/ucp/uvt/uni/univDetailSelection.do?menuId=PCUVTINF2000&amp;searchSyr=2026&amp;unvCd=0000036</x:v>
      </x:c>
    </x:row>
    <x:row r="41">
      <x:c r="A41" s="40" t="n">
        <x:v>2025</x:v>
      </x:c>
      <x:c r="B41" s="40" t="str">
        <x:v>서울특별시</x:v>
      </x:c>
      <x:c r="C41" s="40" t="str">
        <x:v>국립</x:v>
      </x:c>
      <x:c r="D41" s="40" t="str">
        <x:v>서울과학기술대학교</x:v>
      </x:c>
      <x:c r="E41" s="40" t="str">
        <x:v>다</x:v>
      </x:c>
      <x:c r="F41" s="40" t="str">
        <x:v>수능위주(일반전형)</x:v>
      </x:c>
      <x:c r="G41" s="41" t="str">
        <x:v>자유전공학부(공과대학)</x:v>
      </x:c>
      <x:c r="H41" s="40"/>
      <x:c r="I41" s="40"/>
      <x:c r="J41" s="40" t="n">
        <x:v>73</x:v>
      </x:c>
      <x:c r="K41" s="60" t="n">
        <x:v>7.92</x:v>
      </x:c>
      <x:c r="L41" s="40" t="n">
        <x:v>66</x:v>
      </x:c>
      <x:c r="M41" s="60"/>
      <x:c r="N41" s="60" t="n">
        <x:v>909.43</x:v>
      </x:c>
      <x:c r="O41" s="60" t="n">
        <x:v>1000</x:v>
      </x:c>
      <x:c r="P41" s="62"/>
      <x:c r="Q41" s="62"/>
      <x:c r="R41" s="62"/>
      <x:c r="S41" s="62"/>
      <x:c r="T41" s="62"/>
      <x:c r="U41" s="62"/>
      <x:c r="V41" s="60" t="n">
        <x:v>83.17</x:v>
      </x:c>
      <x:c r="W41" s="60" t="str">
        <x:f>IF(COUNT(P41:S41)&gt;=3,AVERAGE(P41:S41),"")</x:f>
      </x:c>
      <x:c r="X41" s="60" t="n">
        <x:f>IF(V41&lt;&gt;"",V41,W41)</x:f>
        <x:v>83.17</x:v>
      </x:c>
      <x:c r="Y41" s="40" t="str">
        <x:f>IF(V41&lt;&gt;"","공식 70% 평균백분위",IF(W41&lt;&gt;"","파생 단순평균(참고)","비교불가"))</x:f>
        <x:v>공식 70% 평균백분위</x:v>
      </x:c>
      <x:c r="Z41" s="60" t="n">
        <x:f>'추천_테스트'!$B$8</x:f>
        <x:v>80</x:v>
      </x:c>
      <x:c r="AA41" s="60" t="n">
        <x:f>IF(X41="","",Z41-X41)</x:f>
        <x:v>-3.1700000000000017</x:v>
      </x:c>
      <x:c r="AB41" s="40" t="str">
        <x:f>IF(X41="","",IF(AA41&gt;='추천_테스트'!$B$10,"안정",IF(AA41&gt;='추천_테스트'!$B$11,"적정",IF(AA41&gt;='추천_테스트'!$B$12,"소신","상향"))))</x:f>
        <x:v>상향</x:v>
      </x:c>
      <x:c r="AC41" s="62" t="n">
        <x:v>1</x:v>
      </x:c>
      <x:c r="AD41" s="62" t="n">
        <x:v>99</x:v>
      </x:c>
      <x:c r="AE41" s="62" t="n">
        <x:v>0</x:v>
      </x:c>
      <x:c r="AF41" s="41" t="str">
        <x:v>A: 공식 70% 평균백분위 제공</x:v>
      </x:c>
      <x:c r="AG41" s="41" t="str">
        <x:v>https://www.adiga.kr/ucp/uvt/uni/univDetailSelection.do?menuId=PCUVTINF2000&amp;searchSyr=2026&amp;unvCd=0000036</x:v>
      </x:c>
    </x:row>
    <x:row r="42">
      <x:c r="A42" s="40" t="n">
        <x:v>2025</x:v>
      </x:c>
      <x:c r="B42" s="40" t="str">
        <x:v>서울특별시</x:v>
      </x:c>
      <x:c r="C42" s="40" t="str">
        <x:v>국립</x:v>
      </x:c>
      <x:c r="D42" s="40" t="str">
        <x:v>서울과학기술대학교</x:v>
      </x:c>
      <x:c r="E42" s="40" t="str">
        <x:v>다</x:v>
      </x:c>
      <x:c r="F42" s="40" t="str">
        <x:v>수능위주(일반전형)</x:v>
      </x:c>
      <x:c r="G42" s="41" t="str">
        <x:v>자유전공학부(정보통신대학)</x:v>
      </x:c>
      <x:c r="H42" s="40"/>
      <x:c r="I42" s="40"/>
      <x:c r="J42" s="40" t="n">
        <x:v>35</x:v>
      </x:c>
      <x:c r="K42" s="60" t="n">
        <x:v>6.97</x:v>
      </x:c>
      <x:c r="L42" s="40" t="n">
        <x:v>19</x:v>
      </x:c>
      <x:c r="M42" s="60"/>
      <x:c r="N42" s="60" t="n">
        <x:v>913.46</x:v>
      </x:c>
      <x:c r="O42" s="60" t="n">
        <x:v>1000</x:v>
      </x:c>
      <x:c r="P42" s="62"/>
      <x:c r="Q42" s="62"/>
      <x:c r="R42" s="62"/>
      <x:c r="S42" s="62"/>
      <x:c r="T42" s="62"/>
      <x:c r="U42" s="62"/>
      <x:c r="V42" s="60" t="n">
        <x:v>84.33</x:v>
      </x:c>
      <x:c r="W42" s="60" t="str">
        <x:f>IF(COUNT(P42:S42)&gt;=3,AVERAGE(P42:S42),"")</x:f>
      </x:c>
      <x:c r="X42" s="60" t="n">
        <x:f>IF(V42&lt;&gt;"",V42,W42)</x:f>
        <x:v>84.33</x:v>
      </x:c>
      <x:c r="Y42" s="40" t="str">
        <x:f>IF(V42&lt;&gt;"","공식 70% 평균백분위",IF(W42&lt;&gt;"","파생 단순평균(참고)","비교불가"))</x:f>
        <x:v>공식 70% 평균백분위</x:v>
      </x:c>
      <x:c r="Z42" s="60" t="n">
        <x:f>'추천_테스트'!$B$8</x:f>
        <x:v>80</x:v>
      </x:c>
      <x:c r="AA42" s="60" t="n">
        <x:f>IF(X42="","",Z42-X42)</x:f>
        <x:v>-4.329999999999998</x:v>
      </x:c>
      <x:c r="AB42" s="40" t="str">
        <x:f>IF(X42="","",IF(AA42&gt;='추천_테스트'!$B$10,"안정",IF(AA42&gt;='추천_테스트'!$B$11,"적정",IF(AA42&gt;='추천_테스트'!$B$12,"소신","상향"))))</x:f>
        <x:v>상향</x:v>
      </x:c>
      <x:c r="AC42" s="62" t="n">
        <x:v>0</x:v>
      </x:c>
      <x:c r="AD42" s="62" t="n">
        <x:v>97</x:v>
      </x:c>
      <x:c r="AE42" s="62" t="n">
        <x:v>3</x:v>
      </x:c>
      <x:c r="AF42" s="41" t="str">
        <x:v>A: 공식 70% 평균백분위 제공</x:v>
      </x:c>
      <x:c r="AG42" s="41" t="str">
        <x:v>https://www.adiga.kr/ucp/uvt/uni/univDetailSelection.do?menuId=PCUVTINF2000&amp;searchSyr=2026&amp;unvCd=0000036</x:v>
      </x:c>
    </x:row>
    <x:row r="43">
      <x:c r="A43" s="40" t="n">
        <x:v>2025</x:v>
      </x:c>
      <x:c r="B43" s="40" t="str">
        <x:v>전북특별자치도</x:v>
      </x:c>
      <x:c r="C43" s="40" t="str">
        <x:v>국립</x:v>
      </x:c>
      <x:c r="D43" s="40" t="str">
        <x:v>전북대학교</x:v>
      </x:c>
      <x:c r="E43" s="40" t="str">
        <x:v>가</x:v>
      </x:c>
      <x:c r="F43" s="40" t="str">
        <x:v>일반전형</x:v>
      </x:c>
      <x:c r="G43" s="41" t="str">
        <x:v>농업생명과학계열</x:v>
      </x:c>
      <x:c r="H43" s="40" t="n">
        <x:v>111</x:v>
      </x:c>
      <x:c r="I43" s="40" t="n">
        <x:v>11</x:v>
      </x:c>
      <x:c r="J43" s="40" t="n">
        <x:v>122</x:v>
      </x:c>
      <x:c r="K43" s="60" t="n">
        <x:v>5.9</x:v>
      </x:c>
      <x:c r="L43" s="40" t="n">
        <x:v>91</x:v>
      </x:c>
      <x:c r="M43" s="60" t="n">
        <x:v>311.72</x:v>
      </x:c>
      <x:c r="N43" s="60" t="n">
        <x:v>310.48</x:v>
      </x:c>
      <x:c r="O43" s="60" t="n">
        <x:v>500</x:v>
      </x:c>
      <x:c r="P43" s="62" t="n">
        <x:v>68</x:v>
      </x:c>
      <x:c r="Q43" s="62" t="n">
        <x:v>54</x:v>
      </x:c>
      <x:c r="R43" s="62" t="n">
        <x:v>75</x:v>
      </x:c>
      <x:c r="S43" s="62" t="n">
        <x:v>56</x:v>
      </x:c>
      <x:c r="T43" s="62" t="n">
        <x:v>3</x:v>
      </x:c>
      <x:c r="U43" s="62" t="n">
        <x:v>2</x:v>
      </x:c>
      <x:c r="V43" s="60"/>
      <x:c r="W43" s="60" t="n">
        <x:f>IF(COUNT(P43:S43)&gt;=3,AVERAGE(P43:S43),"")</x:f>
        <x:v>63.25</x:v>
      </x:c>
      <x:c r="X43" s="60" t="n">
        <x:f>IF(V43&lt;&gt;"",V43,W43)</x:f>
        <x:v>63.25</x:v>
      </x:c>
      <x:c r="Y43" s="40" t="str">
        <x:f>IF(V43&lt;&gt;"","공식 70% 평균백분위",IF(W43&lt;&gt;"","파생 단순평균(참고)","비교불가"))</x:f>
        <x:v>파생 단순평균(참고)</x:v>
      </x:c>
      <x:c r="Z43" s="60" t="n">
        <x:f>'추천_테스트'!$B$8</x:f>
        <x:v>80</x:v>
      </x:c>
      <x:c r="AA43" s="60" t="n">
        <x:f>IF(X43="","",Z43-X43)</x:f>
        <x:v>16.75</x:v>
      </x:c>
      <x:c r="AB43" s="40" t="str">
        <x:f>IF(X43="","",IF(AA43&gt;='추천_테스트'!$B$10,"안정",IF(AA43&gt;='추천_테스트'!$B$11,"적정",IF(AA43&gt;='추천_테스트'!$B$12,"소신","상향"))))</x:f>
        <x:v>안정</x:v>
      </x:c>
      <x:c r="AC43" s="62" t="n">
        <x:v>18</x:v>
      </x:c>
      <x:c r="AD43" s="62" t="n">
        <x:v>78</x:v>
      </x:c>
      <x:c r="AE43" s="62" t="n">
        <x:v>4</x:v>
      </x:c>
      <x:c r="AF43" s="41" t="str">
        <x:v>B: 공식 과목별 70% 백분위 → 단순평균 파생</x:v>
      </x:c>
      <x:c r="AG43" s="41" t="str">
        <x:v>https://www.adiga.kr/ucp/uvt/uni/univDetailSelection.do?menuId=PCUVTINF2000&amp;searchSyr=2026&amp;unvCd=0000025</x:v>
      </x:c>
    </x:row>
    <x:row r="44">
      <x:c r="A44" s="40" t="n">
        <x:v>2025</x:v>
      </x:c>
      <x:c r="B44" s="40" t="str">
        <x:v>전북특별자치도</x:v>
      </x:c>
      <x:c r="C44" s="40" t="str">
        <x:v>국립</x:v>
      </x:c>
      <x:c r="D44" s="40" t="str">
        <x:v>전북대학교</x:v>
      </x:c>
      <x:c r="E44" s="40" t="str">
        <x:v>가</x:v>
      </x:c>
      <x:c r="F44" s="40" t="str">
        <x:v>일반전형</x:v>
      </x:c>
      <x:c r="G44" s="41" t="str">
        <x:v>스마트팜학과</x:v>
      </x:c>
      <x:c r="H44" s="40" t="n">
        <x:v>9</x:v>
      </x:c>
      <x:c r="I44" s="40" t="n">
        <x:v>1</x:v>
      </x:c>
      <x:c r="J44" s="40" t="n">
        <x:v>10</x:v>
      </x:c>
      <x:c r="K44" s="60" t="n">
        <x:v>5</x:v>
      </x:c>
      <x:c r="L44" s="40" t="n">
        <x:v>7</x:v>
      </x:c>
      <x:c r="M44" s="60" t="n">
        <x:v>317.08</x:v>
      </x:c>
      <x:c r="N44" s="60" t="n">
        <x:v>313.85</x:v>
      </x:c>
      <x:c r="O44" s="60" t="n">
        <x:v>500</x:v>
      </x:c>
      <x:c r="P44" s="62" t="n">
        <x:v>83</x:v>
      </x:c>
      <x:c r="Q44" s="62" t="n">
        <x:v>70</x:v>
      </x:c>
      <x:c r="R44" s="62" t="n">
        <x:v>62</x:v>
      </x:c>
      <x:c r="S44" s="62" t="n">
        <x:v>51</x:v>
      </x:c>
      <x:c r="T44" s="62" t="n">
        <x:v>4</x:v>
      </x:c>
      <x:c r="U44" s="62" t="n">
        <x:v>3</x:v>
      </x:c>
      <x:c r="V44" s="60"/>
      <x:c r="W44" s="60" t="n">
        <x:f>IF(COUNT(P44:S44)&gt;=3,AVERAGE(P44:S44),"")</x:f>
        <x:v>66.5</x:v>
      </x:c>
      <x:c r="X44" s="60" t="n">
        <x:f>IF(V44&lt;&gt;"",V44,W44)</x:f>
        <x:v>66.5</x:v>
      </x:c>
      <x:c r="Y44" s="40" t="str">
        <x:f>IF(V44&lt;&gt;"","공식 70% 평균백분위",IF(W44&lt;&gt;"","파생 단순평균(참고)","비교불가"))</x:f>
        <x:v>파생 단순평균(참고)</x:v>
      </x:c>
      <x:c r="Z44" s="60" t="n">
        <x:f>'추천_테스트'!$B$8</x:f>
        <x:v>80</x:v>
      </x:c>
      <x:c r="AA44" s="60" t="n">
        <x:f>IF(X44="","",Z44-X44)</x:f>
        <x:v>13.5</x:v>
      </x:c>
      <x:c r="AB44" s="40" t="str">
        <x:f>IF(X44="","",IF(AA44&gt;='추천_테스트'!$B$10,"안정",IF(AA44&gt;='추천_테스트'!$B$11,"적정",IF(AA44&gt;='추천_테스트'!$B$12,"소신","상향"))))</x:f>
        <x:v>안정</x:v>
      </x:c>
      <x:c r="AC44" s="62" t="n">
        <x:v>30</x:v>
      </x:c>
      <x:c r="AD44" s="62" t="n">
        <x:v>60</x:v>
      </x:c>
      <x:c r="AE44" s="62" t="n">
        <x:v>10</x:v>
      </x:c>
      <x:c r="AF44" s="41" t="str">
        <x:v>B: 공식 과목별 70% 백분위 → 단순평균 파생</x:v>
      </x:c>
      <x:c r="AG44" s="41" t="str">
        <x:v>https://www.adiga.kr/ucp/uvt/uni/univDetailSelection.do?menuId=PCUVTINF2000&amp;searchSyr=2026&amp;unvCd=0000025</x:v>
      </x:c>
    </x:row>
    <x:row r="45">
      <x:c r="A45" s="40" t="n">
        <x:v>2025</x:v>
      </x:c>
      <x:c r="B45" s="40" t="str">
        <x:v>전북특별자치도</x:v>
      </x:c>
      <x:c r="C45" s="40" t="str">
        <x:v>국립</x:v>
      </x:c>
      <x:c r="D45" s="40" t="str">
        <x:v>전북대학교</x:v>
      </x:c>
      <x:c r="E45" s="40" t="str">
        <x:v>가</x:v>
      </x:c>
      <x:c r="F45" s="40" t="str">
        <x:v>일반전형</x:v>
      </x:c>
      <x:c r="G45" s="41" t="str">
        <x:v>교육학과</x:v>
      </x:c>
      <x:c r="H45" s="40" t="n">
        <x:v>4</x:v>
      </x:c>
      <x:c r="I45" s="40" t="n">
        <x:v>0</x:v>
      </x:c>
      <x:c r="J45" s="40" t="n">
        <x:v>4</x:v>
      </x:c>
      <x:c r="K45" s="60" t="n">
        <x:v>7.5</x:v>
      </x:c>
      <x:c r="L45" s="40" t="n">
        <x:v>4</x:v>
      </x:c>
      <x:c r="M45" s="60" t="n">
        <x:v>313.74</x:v>
      </x:c>
      <x:c r="N45" s="60" t="n">
        <x:v>313.74</x:v>
      </x:c>
      <x:c r="O45" s="60" t="n">
        <x:v>500</x:v>
      </x:c>
      <x:c r="P45" s="62" t="n">
        <x:v>82</x:v>
      </x:c>
      <x:c r="Q45" s="62" t="n">
        <x:v>70</x:v>
      </x:c>
      <x:c r="R45" s="62" t="n">
        <x:v>73</x:v>
      </x:c>
      <x:c r="S45" s="62" t="n">
        <x:v>64</x:v>
      </x:c>
      <x:c r="T45" s="62" t="n">
        <x:v>4</x:v>
      </x:c>
      <x:c r="U45" s="62" t="n">
        <x:v>1</x:v>
      </x:c>
      <x:c r="V45" s="60"/>
      <x:c r="W45" s="60" t="n">
        <x:f>IF(COUNT(P45:S45)&gt;=3,AVERAGE(P45:S45),"")</x:f>
        <x:v>72.25</x:v>
      </x:c>
      <x:c r="X45" s="60" t="n">
        <x:f>IF(V45&lt;&gt;"",V45,W45)</x:f>
        <x:v>72.25</x:v>
      </x:c>
      <x:c r="Y45" s="40" t="str">
        <x:f>IF(V45&lt;&gt;"","공식 70% 평균백분위",IF(W45&lt;&gt;"","파생 단순평균(참고)","비교불가"))</x:f>
        <x:v>파생 단순평균(참고)</x:v>
      </x:c>
      <x:c r="Z45" s="60" t="n">
        <x:f>'추천_테스트'!$B$8</x:f>
        <x:v>80</x:v>
      </x:c>
      <x:c r="AA45" s="60" t="n">
        <x:f>IF(X45="","",Z45-X45)</x:f>
        <x:v>7.75</x:v>
      </x:c>
      <x:c r="AB45" s="40" t="str">
        <x:f>IF(X45="","",IF(AA45&gt;='추천_테스트'!$B$10,"안정",IF(AA45&gt;='추천_테스트'!$B$11,"적정",IF(AA45&gt;='추천_테스트'!$B$12,"소신","상향"))))</x:f>
        <x:v>안정</x:v>
      </x:c>
      <x:c r="AC45" s="62" t="n">
        <x:v>100</x:v>
      </x:c>
      <x:c r="AD45" s="62" t="n">
        <x:v>0</x:v>
      </x:c>
      <x:c r="AE45" s="62" t="n">
        <x:v>0</x:v>
      </x:c>
      <x:c r="AF45" s="41" t="str">
        <x:v>B: 공식 과목별 70% 백분위 → 단순평균 파생</x:v>
      </x:c>
      <x:c r="AG45" s="41" t="str">
        <x:v>https://www.adiga.kr/ucp/uvt/uni/univDetailSelection.do?menuId=PCUVTINF2000&amp;searchSyr=2026&amp;unvCd=0000025</x:v>
      </x:c>
    </x:row>
    <x:row r="46">
      <x:c r="A46" s="40" t="n">
        <x:v>2025</x:v>
      </x:c>
      <x:c r="B46" s="40" t="str">
        <x:v>전북특별자치도</x:v>
      </x:c>
      <x:c r="C46" s="40" t="str">
        <x:v>국립</x:v>
      </x:c>
      <x:c r="D46" s="40" t="str">
        <x:v>전북대학교</x:v>
      </x:c>
      <x:c r="E46" s="40" t="str">
        <x:v>가</x:v>
      </x:c>
      <x:c r="F46" s="40" t="str">
        <x:v>일반전형</x:v>
      </x:c>
      <x:c r="G46" s="41" t="str">
        <x:v>국어교육과</x:v>
      </x:c>
      <x:c r="H46" s="40" t="n">
        <x:v>6</x:v>
      </x:c>
      <x:c r="I46" s="40" t="n">
        <x:v>1</x:v>
      </x:c>
      <x:c r="J46" s="40" t="n">
        <x:v>7</x:v>
      </x:c>
      <x:c r="K46" s="60" t="n">
        <x:v>5.1</x:v>
      </x:c>
      <x:c r="L46" s="40" t="n">
        <x:v>5</x:v>
      </x:c>
      <x:c r="M46" s="60" t="n">
        <x:v>319.97</x:v>
      </x:c>
      <x:c r="N46" s="60" t="n">
        <x:v>319.08</x:v>
      </x:c>
      <x:c r="O46" s="60" t="n">
        <x:v>500</x:v>
      </x:c>
      <x:c r="P46" s="62" t="n">
        <x:v>94</x:v>
      </x:c>
      <x:c r="Q46" s="62" t="n">
        <x:v>54</x:v>
      </x:c>
      <x:c r="R46" s="62" t="n">
        <x:v>77</x:v>
      </x:c>
      <x:c r="S46" s="62" t="n">
        <x:v>92</x:v>
      </x:c>
      <x:c r="T46" s="62" t="n">
        <x:v>5</x:v>
      </x:c>
      <x:c r="U46" s="62" t="n">
        <x:v>4</x:v>
      </x:c>
      <x:c r="V46" s="60"/>
      <x:c r="W46" s="60" t="n">
        <x:f>IF(COUNT(P46:S46)&gt;=3,AVERAGE(P46:S46),"")</x:f>
        <x:v>79.25</x:v>
      </x:c>
      <x:c r="X46" s="60" t="n">
        <x:f>IF(V46&lt;&gt;"",V46,W46)</x:f>
        <x:v>79.25</x:v>
      </x:c>
      <x:c r="Y46" s="40" t="str">
        <x:f>IF(V46&lt;&gt;"","공식 70% 평균백분위",IF(W46&lt;&gt;"","파생 단순평균(참고)","비교불가"))</x:f>
        <x:v>파생 단순평균(참고)</x:v>
      </x:c>
      <x:c r="Z46" s="60" t="n">
        <x:f>'추천_테스트'!$B$8</x:f>
        <x:v>80</x:v>
      </x:c>
      <x:c r="AA46" s="60" t="n">
        <x:f>IF(X46="","",Z46-X46)</x:f>
        <x:v>0.75</x:v>
      </x:c>
      <x:c r="AB46" s="40" t="str">
        <x:f>IF(X46="","",IF(AA46&gt;='추천_테스트'!$B$10,"안정",IF(AA46&gt;='추천_테스트'!$B$11,"적정",IF(AA46&gt;='추천_테스트'!$B$12,"소신","상향"))))</x:f>
        <x:v>소신</x:v>
      </x:c>
      <x:c r="AC46" s="62" t="n">
        <x:v>71</x:v>
      </x:c>
      <x:c r="AD46" s="62" t="n">
        <x:v>29</x:v>
      </x:c>
      <x:c r="AE46" s="62" t="n">
        <x:v>0</x:v>
      </x:c>
      <x:c r="AF46" s="41" t="str">
        <x:v>B: 공식 과목별 70% 백분위 → 단순평균 파생</x:v>
      </x:c>
      <x:c r="AG46" s="41" t="str">
        <x:v>https://www.adiga.kr/ucp/uvt/uni/univDetailSelection.do?menuId=PCUVTINF2000&amp;searchSyr=2026&amp;unvCd=0000025</x:v>
      </x:c>
    </x:row>
    <x:row r="47">
      <x:c r="A47" s="40" t="n">
        <x:v>2025</x:v>
      </x:c>
      <x:c r="B47" s="40" t="str">
        <x:v>전북특별자치도</x:v>
      </x:c>
      <x:c r="C47" s="40" t="str">
        <x:v>국립</x:v>
      </x:c>
      <x:c r="D47" s="40" t="str">
        <x:v>전북대학교</x:v>
      </x:c>
      <x:c r="E47" s="40" t="str">
        <x:v>가</x:v>
      </x:c>
      <x:c r="F47" s="40" t="str">
        <x:v>일반전형</x:v>
      </x:c>
      <x:c r="G47" s="41" t="str">
        <x:v>영어교육과</x:v>
      </x:c>
      <x:c r="H47" s="40" t="n">
        <x:v>6</x:v>
      </x:c>
      <x:c r="I47" s="40" t="n">
        <x:v>1</x:v>
      </x:c>
      <x:c r="J47" s="40" t="n">
        <x:v>7</x:v>
      </x:c>
      <x:c r="K47" s="60" t="n">
        <x:v>5.3</x:v>
      </x:c>
      <x:c r="L47" s="40" t="n">
        <x:v>16</x:v>
      </x:c>
      <x:c r="M47" s="60" t="n">
        <x:v>315.17</x:v>
      </x:c>
      <x:c r="N47" s="60" t="n">
        <x:v>313.4</x:v>
      </x:c>
      <x:c r="O47" s="60" t="n">
        <x:v>500</x:v>
      </x:c>
      <x:c r="P47" s="62" t="n">
        <x:v>65</x:v>
      </x:c>
      <x:c r="Q47" s="62" t="n">
        <x:v>78</x:v>
      </x:c>
      <x:c r="R47" s="62" t="n">
        <x:v>74</x:v>
      </x:c>
      <x:c r="S47" s="62" t="n">
        <x:v>68</x:v>
      </x:c>
      <x:c r="T47" s="62" t="n">
        <x:v>3</x:v>
      </x:c>
      <x:c r="U47" s="62" t="n">
        <x:v>1</x:v>
      </x:c>
      <x:c r="V47" s="60"/>
      <x:c r="W47" s="60" t="n">
        <x:f>IF(COUNT(P47:S47)&gt;=3,AVERAGE(P47:S47),"")</x:f>
        <x:v>71.25</x:v>
      </x:c>
      <x:c r="X47" s="60" t="n">
        <x:f>IF(V47&lt;&gt;"",V47,W47)</x:f>
        <x:v>71.25</x:v>
      </x:c>
      <x:c r="Y47" s="40" t="str">
        <x:f>IF(V47&lt;&gt;"","공식 70% 평균백분위",IF(W47&lt;&gt;"","파생 단순평균(참고)","비교불가"))</x:f>
        <x:v>파생 단순평균(참고)</x:v>
      </x:c>
      <x:c r="Z47" s="60" t="n">
        <x:f>'추천_테스트'!$B$8</x:f>
        <x:v>80</x:v>
      </x:c>
      <x:c r="AA47" s="60" t="n">
        <x:f>IF(X47="","",Z47-X47)</x:f>
        <x:v>8.75</x:v>
      </x:c>
      <x:c r="AB47" s="40" t="str">
        <x:f>IF(X47="","",IF(AA47&gt;='추천_테스트'!$B$10,"안정",IF(AA47&gt;='추천_테스트'!$B$11,"적정",IF(AA47&gt;='추천_테스트'!$B$12,"소신","상향"))))</x:f>
        <x:v>안정</x:v>
      </x:c>
      <x:c r="AC47" s="62" t="n">
        <x:v>57</x:v>
      </x:c>
      <x:c r="AD47" s="62" t="n">
        <x:v>43</x:v>
      </x:c>
      <x:c r="AE47" s="62" t="n">
        <x:v>0</x:v>
      </x:c>
      <x:c r="AF47" s="41" t="str">
        <x:v>B: 공식 과목별 70% 백분위 → 단순평균 파생</x:v>
      </x:c>
      <x:c r="AG47" s="41" t="str">
        <x:v>https://www.adiga.kr/ucp/uvt/uni/univDetailSelection.do?menuId=PCUVTINF2000&amp;searchSyr=2026&amp;unvCd=0000025</x:v>
      </x:c>
    </x:row>
    <x:row r="48">
      <x:c r="A48" s="40" t="n">
        <x:v>2025</x:v>
      </x:c>
      <x:c r="B48" s="40" t="str">
        <x:v>전북특별자치도</x:v>
      </x:c>
      <x:c r="C48" s="40" t="str">
        <x:v>국립</x:v>
      </x:c>
      <x:c r="D48" s="40" t="str">
        <x:v>전북대학교</x:v>
      </x:c>
      <x:c r="E48" s="40" t="str">
        <x:v>가</x:v>
      </x:c>
      <x:c r="F48" s="40" t="str">
        <x:v>일반전형</x:v>
      </x:c>
      <x:c r="G48" s="41" t="str">
        <x:v>사회과교육학부</x:v>
      </x:c>
      <x:c r="H48" s="40" t="n">
        <x:v>11</x:v>
      </x:c>
      <x:c r="I48" s="40" t="n">
        <x:v>0</x:v>
      </x:c>
      <x:c r="J48" s="40" t="n">
        <x:v>11</x:v>
      </x:c>
      <x:c r="K48" s="60" t="n">
        <x:v>6.2</x:v>
      </x:c>
      <x:c r="L48" s="40" t="n">
        <x:v>11</x:v>
      </x:c>
      <x:c r="M48" s="60" t="n">
        <x:v>322.31</x:v>
      </x:c>
      <x:c r="N48" s="60" t="n">
        <x:v>317.31</x:v>
      </x:c>
      <x:c r="O48" s="60" t="n">
        <x:v>500</x:v>
      </x:c>
      <x:c r="P48" s="62" t="n">
        <x:v>65</x:v>
      </x:c>
      <x:c r="Q48" s="62" t="n">
        <x:v>59</x:v>
      </x:c>
      <x:c r="R48" s="62" t="n">
        <x:v>87</x:v>
      </x:c>
      <x:c r="S48" s="62" t="n">
        <x:v>93</x:v>
      </x:c>
      <x:c r="T48" s="62" t="n">
        <x:v>3</x:v>
      </x:c>
      <x:c r="U48" s="62" t="n">
        <x:v>2</x:v>
      </x:c>
      <x:c r="V48" s="60"/>
      <x:c r="W48" s="60" t="n">
        <x:f>IF(COUNT(P48:S48)&gt;=3,AVERAGE(P48:S48),"")</x:f>
        <x:v>76</x:v>
      </x:c>
      <x:c r="X48" s="60" t="n">
        <x:f>IF(V48&lt;&gt;"",V48,W48)</x:f>
        <x:v>76</x:v>
      </x:c>
      <x:c r="Y48" s="40" t="str">
        <x:f>IF(V48&lt;&gt;"","공식 70% 평균백분위",IF(W48&lt;&gt;"","파생 단순평균(참고)","비교불가"))</x:f>
        <x:v>파생 단순평균(참고)</x:v>
      </x:c>
      <x:c r="Z48" s="60" t="n">
        <x:f>'추천_테스트'!$B$8</x:f>
        <x:v>80</x:v>
      </x:c>
      <x:c r="AA48" s="60" t="n">
        <x:f>IF(X48="","",Z48-X48)</x:f>
        <x:v>4</x:v>
      </x:c>
      <x:c r="AB48" s="40" t="str">
        <x:f>IF(X48="","",IF(AA48&gt;='추천_테스트'!$B$10,"안정",IF(AA48&gt;='추천_테스트'!$B$11,"적정",IF(AA48&gt;='추천_테스트'!$B$12,"소신","상향"))))</x:f>
        <x:v>적정</x:v>
      </x:c>
      <x:c r="AC48" s="62" t="n">
        <x:v>82</x:v>
      </x:c>
      <x:c r="AD48" s="62" t="n">
        <x:v>18</x:v>
      </x:c>
      <x:c r="AE48" s="62" t="n">
        <x:v>0</x:v>
      </x:c>
      <x:c r="AF48" s="41" t="str">
        <x:v>B: 공식 과목별 70% 백분위 → 단순평균 파생</x:v>
      </x:c>
      <x:c r="AG48" s="41" t="str">
        <x:v>https://www.adiga.kr/ucp/uvt/uni/univDetailSelection.do?menuId=PCUVTINF2000&amp;searchSyr=2026&amp;unvCd=0000025</x:v>
      </x:c>
    </x:row>
    <x:row r="49">
      <x:c r="A49" s="40" t="n">
        <x:v>2025</x:v>
      </x:c>
      <x:c r="B49" s="40" t="str">
        <x:v>전북특별자치도</x:v>
      </x:c>
      <x:c r="C49" s="40" t="str">
        <x:v>국립</x:v>
      </x:c>
      <x:c r="D49" s="40" t="str">
        <x:v>전북대학교</x:v>
      </x:c>
      <x:c r="E49" s="40" t="str">
        <x:v>가</x:v>
      </x:c>
      <x:c r="F49" s="40" t="str">
        <x:v>일반전형</x:v>
      </x:c>
      <x:c r="G49" s="41" t="str">
        <x:v>과학교육학부</x:v>
      </x:c>
      <x:c r="H49" s="40" t="n">
        <x:v>16</x:v>
      </x:c>
      <x:c r="I49" s="40" t="n">
        <x:v>1</x:v>
      </x:c>
      <x:c r="J49" s="40" t="n">
        <x:v>17</x:v>
      </x:c>
      <x:c r="K49" s="60" t="n">
        <x:v>4.4</x:v>
      </x:c>
      <x:c r="L49" s="40" t="n">
        <x:v>16</x:v>
      </x:c>
      <x:c r="M49" s="60" t="n">
        <x:v>306.89</x:v>
      </x:c>
      <x:c r="N49" s="60" t="n">
        <x:v>304.8</x:v>
      </x:c>
      <x:c r="O49" s="60" t="n">
        <x:v>500</x:v>
      </x:c>
      <x:c r="P49" s="62" t="n">
        <x:v>58</x:v>
      </x:c>
      <x:c r="Q49" s="62" t="n">
        <x:v>76</x:v>
      </x:c>
      <x:c r="R49" s="62" t="n">
        <x:v>45</x:v>
      </x:c>
      <x:c r="S49" s="62" t="n">
        <x:v>75</x:v>
      </x:c>
      <x:c r="T49" s="62" t="n">
        <x:v>3</x:v>
      </x:c>
      <x:c r="U49" s="62" t="n">
        <x:v>2</x:v>
      </x:c>
      <x:c r="V49" s="60"/>
      <x:c r="W49" s="60" t="n">
        <x:f>IF(COUNT(P49:S49)&gt;=3,AVERAGE(P49:S49),"")</x:f>
        <x:v>63.5</x:v>
      </x:c>
      <x:c r="X49" s="60" t="n">
        <x:f>IF(V49&lt;&gt;"",V49,W49)</x:f>
        <x:v>63.5</x:v>
      </x:c>
      <x:c r="Y49" s="40" t="str">
        <x:f>IF(V49&lt;&gt;"","공식 70% 평균백분위",IF(W49&lt;&gt;"","파생 단순평균(참고)","비교불가"))</x:f>
        <x:v>파생 단순평균(참고)</x:v>
      </x:c>
      <x:c r="Z49" s="60" t="n">
        <x:f>'추천_테스트'!$B$8</x:f>
        <x:v>80</x:v>
      </x:c>
      <x:c r="AA49" s="60" t="n">
        <x:f>IF(X49="","",Z49-X49)</x:f>
        <x:v>16.5</x:v>
      </x:c>
      <x:c r="AB49" s="40" t="str">
        <x:f>IF(X49="","",IF(AA49&gt;='추천_테스트'!$B$10,"안정",IF(AA49&gt;='추천_테스트'!$B$11,"적정",IF(AA49&gt;='추천_테스트'!$B$12,"소신","상향"))))</x:f>
        <x:v>안정</x:v>
      </x:c>
      <x:c r="AC49" s="62" t="n">
        <x:v>0</x:v>
      </x:c>
      <x:c r="AD49" s="62" t="n">
        <x:v>94</x:v>
      </x:c>
      <x:c r="AE49" s="62" t="n">
        <x:v>6</x:v>
      </x:c>
      <x:c r="AF49" s="41" t="str">
        <x:v>B: 공식 과목별 70% 백분위 → 단순평균 파생</x:v>
      </x:c>
      <x:c r="AG49" s="41" t="str">
        <x:v>https://www.adiga.kr/ucp/uvt/uni/univDetailSelection.do?menuId=PCUVTINF2000&amp;searchSyr=2026&amp;unvCd=0000025</x:v>
      </x:c>
    </x:row>
    <x:row r="50">
      <x:c r="A50" s="40" t="n">
        <x:v>2025</x:v>
      </x:c>
      <x:c r="B50" s="40" t="str">
        <x:v>전북특별자치도</x:v>
      </x:c>
      <x:c r="C50" s="40" t="str">
        <x:v>국립</x:v>
      </x:c>
      <x:c r="D50" s="40" t="str">
        <x:v>전북대학교</x:v>
      </x:c>
      <x:c r="E50" s="40" t="str">
        <x:v>가</x:v>
      </x:c>
      <x:c r="F50" s="40" t="str">
        <x:v>일반전형</x:v>
      </x:c>
      <x:c r="G50" s="41" t="str">
        <x:v>수학교육과</x:v>
      </x:c>
      <x:c r="H50" s="40" t="n">
        <x:v>6</x:v>
      </x:c>
      <x:c r="I50" s="40" t="n">
        <x:v>1</x:v>
      </x:c>
      <x:c r="J50" s="40" t="n">
        <x:v>7</x:v>
      </x:c>
      <x:c r="K50" s="60" t="n">
        <x:v>6.1</x:v>
      </x:c>
      <x:c r="L50" s="40" t="n">
        <x:v>5</x:v>
      </x:c>
      <x:c r="M50" s="60" t="n">
        <x:v>332.41</x:v>
      </x:c>
      <x:c r="N50" s="60" t="n">
        <x:v>328.5</x:v>
      </x:c>
      <x:c r="O50" s="60" t="n">
        <x:v>500</x:v>
      </x:c>
      <x:c r="P50" s="62" t="n">
        <x:v>85</x:v>
      </x:c>
      <x:c r="Q50" s="62" t="n">
        <x:v>87</x:v>
      </x:c>
      <x:c r="R50" s="62" t="n">
        <x:v>62</x:v>
      </x:c>
      <x:c r="S50" s="62" t="n">
        <x:v>56</x:v>
      </x:c>
      <x:c r="T50" s="62" t="n">
        <x:v>2</x:v>
      </x:c>
      <x:c r="U50" s="62" t="n">
        <x:v>1</x:v>
      </x:c>
      <x:c r="V50" s="60"/>
      <x:c r="W50" s="60" t="n">
        <x:f>IF(COUNT(P50:S50)&gt;=3,AVERAGE(P50:S50),"")</x:f>
        <x:v>72.5</x:v>
      </x:c>
      <x:c r="X50" s="60" t="n">
        <x:f>IF(V50&lt;&gt;"",V50,W50)</x:f>
        <x:v>72.5</x:v>
      </x:c>
      <x:c r="Y50" s="40" t="str">
        <x:f>IF(V50&lt;&gt;"","공식 70% 평균백분위",IF(W50&lt;&gt;"","파생 단순평균(참고)","비교불가"))</x:f>
        <x:v>파생 단순평균(참고)</x:v>
      </x:c>
      <x:c r="Z50" s="60" t="n">
        <x:f>'추천_테스트'!$B$8</x:f>
        <x:v>80</x:v>
      </x:c>
      <x:c r="AA50" s="60" t="n">
        <x:f>IF(X50="","",Z50-X50)</x:f>
        <x:v>7.5</x:v>
      </x:c>
      <x:c r="AB50" s="40" t="str">
        <x:f>IF(X50="","",IF(AA50&gt;='추천_테스트'!$B$10,"안정",IF(AA50&gt;='추천_테스트'!$B$11,"적정",IF(AA50&gt;='추천_테스트'!$B$12,"소신","상향"))))</x:f>
        <x:v>안정</x:v>
      </x:c>
      <x:c r="AC50" s="62" t="n">
        <x:v>0</x:v>
      </x:c>
      <x:c r="AD50" s="62" t="n">
        <x:v>100</x:v>
      </x:c>
      <x:c r="AE50" s="62" t="n">
        <x:v>0</x:v>
      </x:c>
      <x:c r="AF50" s="41" t="str">
        <x:v>B: 공식 과목별 70% 백분위 → 단순평균 파생</x:v>
      </x:c>
      <x:c r="AG50" s="41" t="str">
        <x:v>https://www.adiga.kr/ucp/uvt/uni/univDetailSelection.do?menuId=PCUVTINF2000&amp;searchSyr=2026&amp;unvCd=0000025</x:v>
      </x:c>
    </x:row>
    <x:row r="51">
      <x:c r="A51" s="40" t="n">
        <x:v>2025</x:v>
      </x:c>
      <x:c r="B51" s="40" t="str">
        <x:v>전북특별자치도</x:v>
      </x:c>
      <x:c r="C51" s="40" t="str">
        <x:v>국립</x:v>
      </x:c>
      <x:c r="D51" s="40" t="str">
        <x:v>전북대학교</x:v>
      </x:c>
      <x:c r="E51" s="40" t="str">
        <x:v>가</x:v>
      </x:c>
      <x:c r="F51" s="40" t="str">
        <x:v>일반전형</x:v>
      </x:c>
      <x:c r="G51" s="41" t="str">
        <x:v>경상계열</x:v>
      </x:c>
      <x:c r="H51" s="40" t="n">
        <x:v>84</x:v>
      </x:c>
      <x:c r="I51" s="40" t="n">
        <x:v>13</x:v>
      </x:c>
      <x:c r="J51" s="40" t="n">
        <x:v>97</x:v>
      </x:c>
      <x:c r="K51" s="60" t="n">
        <x:v>4.9</x:v>
      </x:c>
      <x:c r="L51" s="40" t="n">
        <x:v>65</x:v>
      </x:c>
      <x:c r="M51" s="60" t="n">
        <x:v>313.14</x:v>
      </x:c>
      <x:c r="N51" s="60" t="n">
        <x:v>311.12</x:v>
      </x:c>
      <x:c r="O51" s="60" t="n">
        <x:v>500</x:v>
      </x:c>
      <x:c r="P51" s="62" t="n">
        <x:v>79</x:v>
      </x:c>
      <x:c r="Q51" s="62" t="n">
        <x:v>47</x:v>
      </x:c>
      <x:c r="R51" s="62" t="n">
        <x:v>83</x:v>
      </x:c>
      <x:c r="S51" s="62" t="n">
        <x:v>89</x:v>
      </x:c>
      <x:c r="T51" s="62" t="n">
        <x:v>4</x:v>
      </x:c>
      <x:c r="U51" s="62" t="n">
        <x:v>2</x:v>
      </x:c>
      <x:c r="V51" s="60"/>
      <x:c r="W51" s="60" t="n">
        <x:f>IF(COUNT(P51:S51)&gt;=3,AVERAGE(P51:S51),"")</x:f>
        <x:v>74.5</x:v>
      </x:c>
      <x:c r="X51" s="60" t="n">
        <x:f>IF(V51&lt;&gt;"",V51,W51)</x:f>
        <x:v>74.5</x:v>
      </x:c>
      <x:c r="Y51" s="40" t="str">
        <x:f>IF(V51&lt;&gt;"","공식 70% 평균백분위",IF(W51&lt;&gt;"","파생 단순평균(참고)","비교불가"))</x:f>
        <x:v>파생 단순평균(참고)</x:v>
      </x:c>
      <x:c r="Z51" s="60" t="n">
        <x:f>'추천_테스트'!$B$8</x:f>
        <x:v>80</x:v>
      </x:c>
      <x:c r="AA51" s="60" t="n">
        <x:f>IF(X51="","",Z51-X51)</x:f>
        <x:v>5.5</x:v>
      </x:c>
      <x:c r="AB51" s="40" t="str">
        <x:f>IF(X51="","",IF(AA51&gt;='추천_테스트'!$B$10,"안정",IF(AA51&gt;='추천_테스트'!$B$11,"적정",IF(AA51&gt;='추천_테스트'!$B$12,"소신","상향"))))</x:f>
        <x:v>안정</x:v>
      </x:c>
      <x:c r="AC51" s="62" t="n">
        <x:v>74</x:v>
      </x:c>
      <x:c r="AD51" s="62" t="n">
        <x:v>23</x:v>
      </x:c>
      <x:c r="AE51" s="62" t="n">
        <x:v>3</x:v>
      </x:c>
      <x:c r="AF51" s="41" t="str">
        <x:v>B: 공식 과목별 70% 백분위 → 단순평균 파생</x:v>
      </x:c>
      <x:c r="AG51" s="41" t="str">
        <x:v>https://www.adiga.kr/ucp/uvt/uni/univDetailSelection.do?menuId=PCUVTINF2000&amp;searchSyr=2026&amp;unvCd=0000025</x:v>
      </x:c>
    </x:row>
    <x:row r="52">
      <x:c r="A52" s="40" t="n">
        <x:v>2025</x:v>
      </x:c>
      <x:c r="B52" s="40" t="str">
        <x:v>전북특별자치도</x:v>
      </x:c>
      <x:c r="C52" s="40" t="str">
        <x:v>국립</x:v>
      </x:c>
      <x:c r="D52" s="40" t="str">
        <x:v>전북대학교</x:v>
      </x:c>
      <x:c r="E52" s="40" t="str">
        <x:v>가</x:v>
      </x:c>
      <x:c r="F52" s="40" t="str">
        <x:v>일반전형</x:v>
      </x:c>
      <x:c r="G52" s="41" t="str">
        <x:v>생활과학계열</x:v>
      </x:c>
      <x:c r="H52" s="40" t="n">
        <x:v>29</x:v>
      </x:c>
      <x:c r="I52" s="40" t="n">
        <x:v>3</x:v>
      </x:c>
      <x:c r="J52" s="40" t="n">
        <x:v>32</x:v>
      </x:c>
      <x:c r="K52" s="60" t="n">
        <x:v>5.4</x:v>
      </x:c>
      <x:c r="L52" s="40" t="n">
        <x:v>13</x:v>
      </x:c>
      <x:c r="M52" s="60" t="n">
        <x:v>309.74</x:v>
      </x:c>
      <x:c r="N52" s="60" t="n">
        <x:v>308.79</x:v>
      </x:c>
      <x:c r="O52" s="60" t="n">
        <x:v>500</x:v>
      </x:c>
      <x:c r="P52" s="62" t="n">
        <x:v>67</x:v>
      </x:c>
      <x:c r="Q52" s="62" t="n">
        <x:v>70</x:v>
      </x:c>
      <x:c r="R52" s="62" t="n">
        <x:v>66</x:v>
      </x:c>
      <x:c r="S52" s="62" t="n">
        <x:v>64</x:v>
      </x:c>
      <x:c r="T52" s="62" t="n">
        <x:v>3</x:v>
      </x:c>
      <x:c r="U52" s="62" t="n">
        <x:v>5</x:v>
      </x:c>
      <x:c r="V52" s="60"/>
      <x:c r="W52" s="60" t="n">
        <x:f>IF(COUNT(P52:S52)&gt;=3,AVERAGE(P52:S52),"")</x:f>
        <x:v>66.75</x:v>
      </x:c>
      <x:c r="X52" s="60" t="n">
        <x:f>IF(V52&lt;&gt;"",V52,W52)</x:f>
        <x:v>66.75</x:v>
      </x:c>
      <x:c r="Y52" s="40" t="str">
        <x:f>IF(V52&lt;&gt;"","공식 70% 평균백분위",IF(W52&lt;&gt;"","파생 단순평균(참고)","비교불가"))</x:f>
        <x:v>파생 단순평균(참고)</x:v>
      </x:c>
      <x:c r="Z52" s="60" t="n">
        <x:f>'추천_테스트'!$B$8</x:f>
        <x:v>80</x:v>
      </x:c>
      <x:c r="AA52" s="60" t="n">
        <x:f>IF(X52="","",Z52-X52)</x:f>
        <x:v>13.25</x:v>
      </x:c>
      <x:c r="AB52" s="40" t="str">
        <x:f>IF(X52="","",IF(AA52&gt;='추천_테스트'!$B$10,"안정",IF(AA52&gt;='추천_테스트'!$B$11,"적정",IF(AA52&gt;='추천_테스트'!$B$12,"소신","상향"))))</x:f>
        <x:v>안정</x:v>
      </x:c>
      <x:c r="AC52" s="62" t="n">
        <x:v>66</x:v>
      </x:c>
      <x:c r="AD52" s="62" t="n">
        <x:v>31</x:v>
      </x:c>
      <x:c r="AE52" s="62" t="n">
        <x:v>3</x:v>
      </x:c>
      <x:c r="AF52" s="41" t="str">
        <x:v>B: 공식 과목별 70% 백분위 → 단순평균 파생</x:v>
      </x:c>
      <x:c r="AG52" s="41" t="str">
        <x:v>https://www.adiga.kr/ucp/uvt/uni/univDetailSelection.do?menuId=PCUVTINF2000&amp;searchSyr=2026&amp;unvCd=0000025</x:v>
      </x:c>
    </x:row>
    <x:row r="53">
      <x:c r="A53" s="40" t="n">
        <x:v>2025</x:v>
      </x:c>
      <x:c r="B53" s="40" t="str">
        <x:v>전북특별자치도</x:v>
      </x:c>
      <x:c r="C53" s="40" t="str">
        <x:v>국립</x:v>
      </x:c>
      <x:c r="D53" s="40" t="str">
        <x:v>전북대학교</x:v>
      </x:c>
      <x:c r="E53" s="40" t="str">
        <x:v>가</x:v>
      </x:c>
      <x:c r="F53" s="40" t="str">
        <x:v>일반전형</x:v>
      </x:c>
      <x:c r="G53" s="41" t="str">
        <x:v>인문계열</x:v>
      </x:c>
      <x:c r="H53" s="40" t="n">
        <x:v>90</x:v>
      </x:c>
      <x:c r="I53" s="40" t="n">
        <x:v>0</x:v>
      </x:c>
      <x:c r="J53" s="40" t="n">
        <x:v>90</x:v>
      </x:c>
      <x:c r="K53" s="60" t="n">
        <x:v>5.6</x:v>
      </x:c>
      <x:c r="L53" s="40" t="n">
        <x:v>61</x:v>
      </x:c>
      <x:c r="M53" s="60" t="n">
        <x:v>310.58</x:v>
      </x:c>
      <x:c r="N53" s="60" t="n">
        <x:v>309.24</x:v>
      </x:c>
      <x:c r="O53" s="60" t="n">
        <x:v>500</x:v>
      </x:c>
      <x:c r="P53" s="62" t="n">
        <x:v>79</x:v>
      </x:c>
      <x:c r="Q53" s="62" t="n">
        <x:v>40</x:v>
      </x:c>
      <x:c r="R53" s="62" t="n">
        <x:v>95</x:v>
      </x:c>
      <x:c r="S53" s="62" t="n">
        <x:v>86</x:v>
      </x:c>
      <x:c r="T53" s="62" t="n">
        <x:v>4</x:v>
      </x:c>
      <x:c r="U53" s="62" t="n">
        <x:v>1</x:v>
      </x:c>
      <x:c r="V53" s="60"/>
      <x:c r="W53" s="60" t="n">
        <x:f>IF(COUNT(P53:S53)&gt;=3,AVERAGE(P53:S53),"")</x:f>
        <x:v>75</x:v>
      </x:c>
      <x:c r="X53" s="60" t="n">
        <x:f>IF(V53&lt;&gt;"",V53,W53)</x:f>
        <x:v>75</x:v>
      </x:c>
      <x:c r="Y53" s="40" t="str">
        <x:f>IF(V53&lt;&gt;"","공식 70% 평균백분위",IF(W53&lt;&gt;"","파생 단순평균(참고)","비교불가"))</x:f>
        <x:v>파생 단순평균(참고)</x:v>
      </x:c>
      <x:c r="Z53" s="60" t="n">
        <x:f>'추천_테스트'!$B$8</x:f>
        <x:v>80</x:v>
      </x:c>
      <x:c r="AA53" s="60" t="n">
        <x:f>IF(X53="","",Z53-X53)</x:f>
        <x:v>5</x:v>
      </x:c>
      <x:c r="AB53" s="40" t="str">
        <x:f>IF(X53="","",IF(AA53&gt;='추천_테스트'!$B$10,"안정",IF(AA53&gt;='추천_테스트'!$B$11,"적정",IF(AA53&gt;='추천_테스트'!$B$12,"소신","상향"))))</x:f>
        <x:v>안정</x:v>
      </x:c>
      <x:c r="AC53" s="62" t="n">
        <x:v>85</x:v>
      </x:c>
      <x:c r="AD53" s="62" t="n">
        <x:v>12</x:v>
      </x:c>
      <x:c r="AE53" s="62" t="n">
        <x:v>2</x:v>
      </x:c>
      <x:c r="AF53" s="41" t="str">
        <x:v>B: 공식 과목별 70% 백분위 → 단순평균 파생</x:v>
      </x:c>
      <x:c r="AG53" s="41" t="str">
        <x:v>https://www.adiga.kr/ucp/uvt/uni/univDetailSelection.do?menuId=PCUVTINF2000&amp;searchSyr=2026&amp;unvCd=0000025</x:v>
      </x:c>
    </x:row>
    <x:row r="54">
      <x:c r="A54" s="40" t="n">
        <x:v>2025</x:v>
      </x:c>
      <x:c r="B54" s="40" t="str">
        <x:v>전북특별자치도</x:v>
      </x:c>
      <x:c r="C54" s="40" t="str">
        <x:v>국립</x:v>
      </x:c>
      <x:c r="D54" s="40" t="str">
        <x:v>전북대학교</x:v>
      </x:c>
      <x:c r="E54" s="40" t="str">
        <x:v>가</x:v>
      </x:c>
      <x:c r="F54" s="40" t="str">
        <x:v>일반전형</x:v>
      </x:c>
      <x:c r="G54" s="41" t="str">
        <x:v>자연과학계열1</x:v>
      </x:c>
      <x:c r="H54" s="40" t="n">
        <x:v>49</x:v>
      </x:c>
      <x:c r="I54" s="40" t="n">
        <x:v>5</x:v>
      </x:c>
      <x:c r="J54" s="40" t="n">
        <x:v>54</x:v>
      </x:c>
      <x:c r="K54" s="60" t="n">
        <x:v>4.7</x:v>
      </x:c>
      <x:c r="L54" s="40" t="n">
        <x:v>64</x:v>
      </x:c>
      <x:c r="M54" s="60" t="n">
        <x:v>313.95</x:v>
      </x:c>
      <x:c r="N54" s="60" t="n">
        <x:v>312.22</x:v>
      </x:c>
      <x:c r="O54" s="60" t="n">
        <x:v>500</x:v>
      </x:c>
      <x:c r="P54" s="62" t="n">
        <x:v>72</x:v>
      </x:c>
      <x:c r="Q54" s="62" t="n">
        <x:v>68</x:v>
      </x:c>
      <x:c r="R54" s="62" t="n">
        <x:v>81</x:v>
      </x:c>
      <x:c r="S54" s="62" t="n">
        <x:v>47</x:v>
      </x:c>
      <x:c r="T54" s="62" t="n">
        <x:v>4</x:v>
      </x:c>
      <x:c r="U54" s="62" t="n">
        <x:v>3</x:v>
      </x:c>
      <x:c r="V54" s="60"/>
      <x:c r="W54" s="60" t="n">
        <x:f>IF(COUNT(P54:S54)&gt;=3,AVERAGE(P54:S54),"")</x:f>
        <x:v>67</x:v>
      </x:c>
      <x:c r="X54" s="60" t="n">
        <x:f>IF(V54&lt;&gt;"",V54,W54)</x:f>
        <x:v>67</x:v>
      </x:c>
      <x:c r="Y54" s="40" t="str">
        <x:f>IF(V54&lt;&gt;"","공식 70% 평균백분위",IF(W54&lt;&gt;"","파생 단순평균(참고)","비교불가"))</x:f>
        <x:v>파생 단순평균(참고)</x:v>
      </x:c>
      <x:c r="Z54" s="60" t="n">
        <x:f>'추천_테스트'!$B$8</x:f>
        <x:v>80</x:v>
      </x:c>
      <x:c r="AA54" s="60" t="n">
        <x:f>IF(X54="","",Z54-X54)</x:f>
        <x:v>13</x:v>
      </x:c>
      <x:c r="AB54" s="40" t="str">
        <x:f>IF(X54="","",IF(AA54&gt;='추천_테스트'!$B$10,"안정",IF(AA54&gt;='추천_테스트'!$B$11,"적정",IF(AA54&gt;='추천_테스트'!$B$12,"소신","상향"))))</x:f>
        <x:v>안정</x:v>
      </x:c>
      <x:c r="AC54" s="62" t="n">
        <x:v>9</x:v>
      </x:c>
      <x:c r="AD54" s="62" t="n">
        <x:v>87</x:v>
      </x:c>
      <x:c r="AE54" s="62" t="n">
        <x:v>4</x:v>
      </x:c>
      <x:c r="AF54" s="41" t="str">
        <x:v>B: 공식 과목별 70% 백분위 → 단순평균 파생</x:v>
      </x:c>
      <x:c r="AG54" s="41" t="str">
        <x:v>https://www.adiga.kr/ucp/uvt/uni/univDetailSelection.do?menuId=PCUVTINF2000&amp;searchSyr=2026&amp;unvCd=0000025</x:v>
      </x:c>
    </x:row>
    <x:row r="55">
      <x:c r="A55" s="40" t="n">
        <x:v>2025</x:v>
      </x:c>
      <x:c r="B55" s="40" t="str">
        <x:v>전북특별자치도</x:v>
      </x:c>
      <x:c r="C55" s="40" t="str">
        <x:v>국립</x:v>
      </x:c>
      <x:c r="D55" s="40" t="str">
        <x:v>전북대학교</x:v>
      </x:c>
      <x:c r="E55" s="40" t="str">
        <x:v>가</x:v>
      </x:c>
      <x:c r="F55" s="40" t="str">
        <x:v>일반전형</x:v>
      </x:c>
      <x:c r="G55" s="41" t="str">
        <x:v>자연과학계열2</x:v>
      </x:c>
      <x:c r="H55" s="40" t="n">
        <x:v>44</x:v>
      </x:c>
      <x:c r="I55" s="40" t="n">
        <x:v>3</x:v>
      </x:c>
      <x:c r="J55" s="40" t="n">
        <x:v>47</x:v>
      </x:c>
      <x:c r="K55" s="60" t="n">
        <x:v>4.9</x:v>
      </x:c>
      <x:c r="L55" s="40" t="n">
        <x:v>69</x:v>
      </x:c>
      <x:c r="M55" s="60" t="n">
        <x:v>312.33</x:v>
      </x:c>
      <x:c r="N55" s="60" t="n">
        <x:v>310.37</x:v>
      </x:c>
      <x:c r="O55" s="60" t="n">
        <x:v>500</x:v>
      </x:c>
      <x:c r="P55" s="62" t="n">
        <x:v>46</x:v>
      </x:c>
      <x:c r="Q55" s="62" t="n">
        <x:v>68</x:v>
      </x:c>
      <x:c r="R55" s="62" t="n">
        <x:v>55</x:v>
      </x:c>
      <x:c r="S55" s="62" t="n">
        <x:v>75</x:v>
      </x:c>
      <x:c r="T55" s="62" t="n">
        <x:v>2</x:v>
      </x:c>
      <x:c r="U55" s="62" t="n">
        <x:v>3</x:v>
      </x:c>
      <x:c r="V55" s="60"/>
      <x:c r="W55" s="60" t="n">
        <x:f>IF(COUNT(P55:S55)&gt;=3,AVERAGE(P55:S55),"")</x:f>
        <x:v>61</x:v>
      </x:c>
      <x:c r="X55" s="60" t="n">
        <x:f>IF(V55&lt;&gt;"",V55,W55)</x:f>
        <x:v>61</x:v>
      </x:c>
      <x:c r="Y55" s="40" t="str">
        <x:f>IF(V55&lt;&gt;"","공식 70% 평균백분위",IF(W55&lt;&gt;"","파생 단순평균(참고)","비교불가"))</x:f>
        <x:v>파생 단순평균(참고)</x:v>
      </x:c>
      <x:c r="Z55" s="60" t="n">
        <x:f>'추천_테스트'!$B$8</x:f>
        <x:v>80</x:v>
      </x:c>
      <x:c r="AA55" s="60" t="n">
        <x:f>IF(X55="","",Z55-X55)</x:f>
        <x:v>19</x:v>
      </x:c>
      <x:c r="AB55" s="40" t="str">
        <x:f>IF(X55="","",IF(AA55&gt;='추천_테스트'!$B$10,"안정",IF(AA55&gt;='추천_테스트'!$B$11,"적정",IF(AA55&gt;='추천_테스트'!$B$12,"소신","상향"))))</x:f>
        <x:v>안정</x:v>
      </x:c>
      <x:c r="AC55" s="62" t="n">
        <x:v>18</x:v>
      </x:c>
      <x:c r="AD55" s="62" t="n">
        <x:v>73</x:v>
      </x:c>
      <x:c r="AE55" s="62" t="n">
        <x:v>9</x:v>
      </x:c>
      <x:c r="AF55" s="41" t="str">
        <x:v>B: 공식 과목별 70% 백분위 → 단순평균 파생</x:v>
      </x:c>
      <x:c r="AG55" s="41" t="str">
        <x:v>https://www.adiga.kr/ucp/uvt/uni/univDetailSelection.do?menuId=PCUVTINF2000&amp;searchSyr=2026&amp;unvCd=0000025</x:v>
      </x:c>
    </x:row>
    <x:row r="56">
      <x:c r="A56" s="40" t="n">
        <x:v>2025</x:v>
      </x:c>
      <x:c r="B56" s="40" t="str">
        <x:v>전북특별자치도</x:v>
      </x:c>
      <x:c r="C56" s="40" t="str">
        <x:v>국립</x:v>
      </x:c>
      <x:c r="D56" s="40" t="str">
        <x:v>전북대학교</x:v>
      </x:c>
      <x:c r="E56" s="40" t="str">
        <x:v>가</x:v>
      </x:c>
      <x:c r="F56" s="40" t="str">
        <x:v>일반전형</x:v>
      </x:c>
      <x:c r="G56" s="41" t="str">
        <x:v>치의예과</x:v>
      </x:c>
      <x:c r="H56" s="40" t="n">
        <x:v>5</x:v>
      </x:c>
      <x:c r="I56" s="40" t="n">
        <x:v>3</x:v>
      </x:c>
      <x:c r="J56" s="40" t="n">
        <x:v>8</x:v>
      </x:c>
      <x:c r="K56" s="60" t="n">
        <x:v>9.6</x:v>
      </x:c>
      <x:c r="L56" s="40" t="n">
        <x:v>24</x:v>
      </x:c>
      <x:c r="M56" s="60" t="n">
        <x:v>368.31</x:v>
      </x:c>
      <x:c r="N56" s="60" t="n">
        <x:v>368.09</x:v>
      </x:c>
      <x:c r="O56" s="60" t="n">
        <x:v>500</x:v>
      </x:c>
      <x:c r="P56" s="62" t="n">
        <x:v>98</x:v>
      </x:c>
      <x:c r="Q56" s="62" t="n">
        <x:v>99</x:v>
      </x:c>
      <x:c r="R56" s="62" t="n">
        <x:v>88</x:v>
      </x:c>
      <x:c r="S56" s="62" t="n">
        <x:v>91</x:v>
      </x:c>
      <x:c r="T56" s="62" t="n">
        <x:v>1</x:v>
      </x:c>
      <x:c r="U56" s="62" t="n">
        <x:v>1</x:v>
      </x:c>
      <x:c r="V56" s="60"/>
      <x:c r="W56" s="60" t="n">
        <x:f>IF(COUNT(P56:S56)&gt;=3,AVERAGE(P56:S56),"")</x:f>
        <x:v>94</x:v>
      </x:c>
      <x:c r="X56" s="60" t="n">
        <x:f>IF(V56&lt;&gt;"",V56,W56)</x:f>
        <x:v>94</x:v>
      </x:c>
      <x:c r="Y56" s="40" t="str">
        <x:f>IF(V56&lt;&gt;"","공식 70% 평균백분위",IF(W56&lt;&gt;"","파생 단순평균(참고)","비교불가"))</x:f>
        <x:v>파생 단순평균(참고)</x:v>
      </x:c>
      <x:c r="Z56" s="60" t="n">
        <x:f>'추천_테스트'!$B$8</x:f>
        <x:v>80</x:v>
      </x:c>
      <x:c r="AA56" s="60" t="n">
        <x:f>IF(X56="","",Z56-X56)</x:f>
        <x:v>-14</x:v>
      </x:c>
      <x:c r="AB56" s="40" t="str">
        <x:f>IF(X56="","",IF(AA56&gt;='추천_테스트'!$B$10,"안정",IF(AA56&gt;='추천_테스트'!$B$11,"적정",IF(AA56&gt;='추천_테스트'!$B$12,"소신","상향"))))</x:f>
        <x:v>상향</x:v>
      </x:c>
      <x:c r="AC56" s="62" t="n">
        <x:v>0</x:v>
      </x:c>
      <x:c r="AD56" s="62" t="n">
        <x:v>100</x:v>
      </x:c>
      <x:c r="AE56" s="62" t="n">
        <x:v>0</x:v>
      </x:c>
      <x:c r="AF56" s="41" t="str">
        <x:v>B: 공식 과목별 70% 백분위 → 단순평균 파생</x:v>
      </x:c>
      <x:c r="AG56" s="41" t="str">
        <x:v>https://www.adiga.kr/ucp/uvt/uni/univDetailSelection.do?menuId=PCUVTINF2000&amp;searchSyr=2026&amp;unvCd=0000025</x:v>
      </x:c>
    </x:row>
    <x:row r="57">
      <x:c r="A57" s="40" t="n">
        <x:v>2025</x:v>
      </x:c>
      <x:c r="B57" s="40" t="str">
        <x:v>전북특별자치도</x:v>
      </x:c>
      <x:c r="C57" s="40" t="str">
        <x:v>국립</x:v>
      </x:c>
      <x:c r="D57" s="40" t="str">
        <x:v>전북대학교</x:v>
      </x:c>
      <x:c r="E57" s="40" t="str">
        <x:v>나</x:v>
      </x:c>
      <x:c r="F57" s="40" t="str">
        <x:v>일반전형</x:v>
      </x:c>
      <x:c r="G57" s="41" t="str">
        <x:v>간호학과</x:v>
      </x:c>
      <x:c r="H57" s="40" t="n">
        <x:v>35</x:v>
      </x:c>
      <x:c r="I57" s="40" t="n">
        <x:v>0</x:v>
      </x:c>
      <x:c r="J57" s="40" t="n">
        <x:v>35</x:v>
      </x:c>
      <x:c r="K57" s="60" t="n">
        <x:v>3.3</x:v>
      </x:c>
      <x:c r="L57" s="40" t="n">
        <x:v>18</x:v>
      </x:c>
      <x:c r="M57" s="60" t="n">
        <x:v>333.25</x:v>
      </x:c>
      <x:c r="N57" s="60" t="n">
        <x:v>331.65</x:v>
      </x:c>
      <x:c r="O57" s="60" t="n">
        <x:v>500</x:v>
      </x:c>
      <x:c r="P57" s="62" t="n">
        <x:v>97</x:v>
      </x:c>
      <x:c r="Q57" s="62" t="n">
        <x:v>74</x:v>
      </x:c>
      <x:c r="R57" s="62" t="n">
        <x:v>45</x:v>
      </x:c>
      <x:c r="S57" s="62" t="n">
        <x:v>66</x:v>
      </x:c>
      <x:c r="T57" s="62" t="n">
        <x:v>2</x:v>
      </x:c>
      <x:c r="U57" s="62" t="n">
        <x:v>1</x:v>
      </x:c>
      <x:c r="V57" s="60"/>
      <x:c r="W57" s="60" t="n">
        <x:f>IF(COUNT(P57:S57)&gt;=3,AVERAGE(P57:S57),"")</x:f>
        <x:v>70.5</x:v>
      </x:c>
      <x:c r="X57" s="60" t="n">
        <x:f>IF(V57&lt;&gt;"",V57,W57)</x:f>
        <x:v>70.5</x:v>
      </x:c>
      <x:c r="Y57" s="40" t="str">
        <x:f>IF(V57&lt;&gt;"","공식 70% 평균백분위",IF(W57&lt;&gt;"","파생 단순평균(참고)","비교불가"))</x:f>
        <x:v>파생 단순평균(참고)</x:v>
      </x:c>
      <x:c r="Z57" s="60" t="n">
        <x:f>'추천_테스트'!$B$8</x:f>
        <x:v>80</x:v>
      </x:c>
      <x:c r="AA57" s="60" t="n">
        <x:f>IF(X57="","",Z57-X57)</x:f>
        <x:v>9.5</x:v>
      </x:c>
      <x:c r="AB57" s="40" t="str">
        <x:f>IF(X57="","",IF(AA57&gt;='추천_테스트'!$B$10,"안정",IF(AA57&gt;='추천_테스트'!$B$11,"적정",IF(AA57&gt;='추천_테스트'!$B$12,"소신","상향"))))</x:f>
        <x:v>안정</x:v>
      </x:c>
      <x:c r="AC57" s="62" t="n">
        <x:v>9</x:v>
      </x:c>
      <x:c r="AD57" s="62" t="n">
        <x:v>91</x:v>
      </x:c>
      <x:c r="AE57" s="62" t="n">
        <x:v>0</x:v>
      </x:c>
      <x:c r="AF57" s="41" t="str">
        <x:v>B: 공식 과목별 70% 백분위 → 단순평균 파생</x:v>
      </x:c>
      <x:c r="AG57" s="41" t="str">
        <x:v>https://www.adiga.kr/ucp/uvt/uni/univDetailSelection.do?menuId=PCUVTINF2000&amp;searchSyr=2026&amp;unvCd=0000025</x:v>
      </x:c>
    </x:row>
    <x:row r="58">
      <x:c r="A58" s="40" t="n">
        <x:v>2025</x:v>
      </x:c>
      <x:c r="B58" s="40" t="str">
        <x:v>전북특별자치도</x:v>
      </x:c>
      <x:c r="C58" s="40" t="str">
        <x:v>국립</x:v>
      </x:c>
      <x:c r="D58" s="40" t="str">
        <x:v>전북대학교</x:v>
      </x:c>
      <x:c r="E58" s="40" t="str">
        <x:v>나</x:v>
      </x:c>
      <x:c r="F58" s="40" t="str">
        <x:v>일반전형</x:v>
      </x:c>
      <x:c r="G58" s="41" t="str">
        <x:v>공학계열1</x:v>
      </x:c>
      <x:c r="H58" s="40" t="n">
        <x:v>238</x:v>
      </x:c>
      <x:c r="I58" s="40" t="n">
        <x:v>33</x:v>
      </x:c>
      <x:c r="J58" s="40" t="n">
        <x:v>271</x:v>
      </x:c>
      <x:c r="K58" s="60" t="n">
        <x:v>3.5</x:v>
      </x:c>
      <x:c r="L58" s="40" t="n">
        <x:v>162</x:v>
      </x:c>
      <x:c r="M58" s="60" t="n">
        <x:v>316.29</x:v>
      </x:c>
      <x:c r="N58" s="60" t="n">
        <x:v>314.12</x:v>
      </x:c>
      <x:c r="O58" s="60" t="n">
        <x:v>500</x:v>
      </x:c>
      <x:c r="P58" s="62" t="n">
        <x:v>67</x:v>
      </x:c>
      <x:c r="Q58" s="62" t="n">
        <x:v>62</x:v>
      </x:c>
      <x:c r="R58" s="62" t="n">
        <x:v>68</x:v>
      </x:c>
      <x:c r="S58" s="62" t="n">
        <x:v>54</x:v>
      </x:c>
      <x:c r="T58" s="62" t="n">
        <x:v>2</x:v>
      </x:c>
      <x:c r="U58" s="62" t="n">
        <x:v>3</x:v>
      </x:c>
      <x:c r="V58" s="60"/>
      <x:c r="W58" s="60" t="n">
        <x:f>IF(COUNT(P58:S58)&gt;=3,AVERAGE(P58:S58),"")</x:f>
        <x:v>62.75</x:v>
      </x:c>
      <x:c r="X58" s="60" t="n">
        <x:f>IF(V58&lt;&gt;"",V58,W58)</x:f>
        <x:v>62.75</x:v>
      </x:c>
      <x:c r="Y58" s="40" t="str">
        <x:f>IF(V58&lt;&gt;"","공식 70% 평균백분위",IF(W58&lt;&gt;"","파생 단순평균(참고)","비교불가"))</x:f>
        <x:v>파생 단순평균(참고)</x:v>
      </x:c>
      <x:c r="Z58" s="60" t="n">
        <x:f>'추천_테스트'!$B$8</x:f>
        <x:v>80</x:v>
      </x:c>
      <x:c r="AA58" s="60" t="n">
        <x:f>IF(X58="","",Z58-X58)</x:f>
        <x:v>17.25</x:v>
      </x:c>
      <x:c r="AB58" s="40" t="str">
        <x:f>IF(X58="","",IF(AA58&gt;='추천_테스트'!$B$10,"안정",IF(AA58&gt;='추천_테스트'!$B$11,"적정",IF(AA58&gt;='추천_테스트'!$B$12,"소신","상향"))))</x:f>
        <x:v>안정</x:v>
      </x:c>
      <x:c r="AC58" s="62" t="n">
        <x:v>7</x:v>
      </x:c>
      <x:c r="AD58" s="62" t="n">
        <x:v>89</x:v>
      </x:c>
      <x:c r="AE58" s="62" t="n">
        <x:v>4</x:v>
      </x:c>
      <x:c r="AF58" s="41" t="str">
        <x:v>B: 공식 과목별 70% 백분위 → 단순평균 파생</x:v>
      </x:c>
      <x:c r="AG58" s="41" t="str">
        <x:v>https://www.adiga.kr/ucp/uvt/uni/univDetailSelection.do?menuId=PCUVTINF2000&amp;searchSyr=2026&amp;unvCd=0000025</x:v>
      </x:c>
    </x:row>
    <x:row r="59">
      <x:c r="A59" s="40" t="n">
        <x:v>2025</x:v>
      </x:c>
      <x:c r="B59" s="40" t="str">
        <x:v>전북특별자치도</x:v>
      </x:c>
      <x:c r="C59" s="40" t="str">
        <x:v>국립</x:v>
      </x:c>
      <x:c r="D59" s="40" t="str">
        <x:v>전북대학교</x:v>
      </x:c>
      <x:c r="E59" s="40" t="str">
        <x:v>나</x:v>
      </x:c>
      <x:c r="F59" s="40" t="str">
        <x:v>일반전형</x:v>
      </x:c>
      <x:c r="G59" s="41" t="str">
        <x:v>공학계열2</x:v>
      </x:c>
      <x:c r="H59" s="40" t="n">
        <x:v>133</x:v>
      </x:c>
      <x:c r="I59" s="40" t="n">
        <x:v>9</x:v>
      </x:c>
      <x:c r="J59" s="40" t="n">
        <x:v>142</x:v>
      </x:c>
      <x:c r="K59" s="60" t="n">
        <x:v>3.7</x:v>
      </x:c>
      <x:c r="L59" s="40" t="n">
        <x:v>68</x:v>
      </x:c>
      <x:c r="M59" s="60" t="n">
        <x:v>317.46</x:v>
      </x:c>
      <x:c r="N59" s="60" t="n">
        <x:v>314.85</x:v>
      </x:c>
      <x:c r="O59" s="60" t="n">
        <x:v>500</x:v>
      </x:c>
      <x:c r="P59" s="62" t="n">
        <x:v>80</x:v>
      </x:c>
      <x:c r="Q59" s="62" t="n">
        <x:v>47</x:v>
      </x:c>
      <x:c r="R59" s="62" t="n">
        <x:v>84</x:v>
      </x:c>
      <x:c r="S59" s="62" t="n">
        <x:v>61</x:v>
      </x:c>
      <x:c r="T59" s="62" t="n">
        <x:v>3</x:v>
      </x:c>
      <x:c r="U59" s="62" t="n">
        <x:v>2</x:v>
      </x:c>
      <x:c r="V59" s="60"/>
      <x:c r="W59" s="60" t="n">
        <x:f>IF(COUNT(P59:S59)&gt;=3,AVERAGE(P59:S59),"")</x:f>
        <x:v>68</x:v>
      </x:c>
      <x:c r="X59" s="60" t="n">
        <x:f>IF(V59&lt;&gt;"",V59,W59)</x:f>
        <x:v>68</x:v>
      </x:c>
      <x:c r="Y59" s="40" t="str">
        <x:f>IF(V59&lt;&gt;"","공식 70% 평균백분위",IF(W59&lt;&gt;"","파생 단순평균(참고)","비교불가"))</x:f>
        <x:v>파생 단순평균(참고)</x:v>
      </x:c>
      <x:c r="Z59" s="60" t="n">
        <x:f>'추천_테스트'!$B$8</x:f>
        <x:v>80</x:v>
      </x:c>
      <x:c r="AA59" s="60" t="n">
        <x:f>IF(X59="","",Z59-X59)</x:f>
        <x:v>12</x:v>
      </x:c>
      <x:c r="AB59" s="40" t="str">
        <x:f>IF(X59="","",IF(AA59&gt;='추천_테스트'!$B$10,"안정",IF(AA59&gt;='추천_테스트'!$B$11,"적정",IF(AA59&gt;='추천_테스트'!$B$12,"소신","상향"))))</x:f>
        <x:v>안정</x:v>
      </x:c>
      <x:c r="AC59" s="62" t="n">
        <x:v>9</x:v>
      </x:c>
      <x:c r="AD59" s="62" t="n">
        <x:v>84</x:v>
      </x:c>
      <x:c r="AE59" s="62" t="n">
        <x:v>7</x:v>
      </x:c>
      <x:c r="AF59" s="41" t="str">
        <x:v>B: 공식 과목별 70% 백분위 → 단순평균 파생</x:v>
      </x:c>
      <x:c r="AG59" s="41" t="str">
        <x:v>https://www.adiga.kr/ucp/uvt/uni/univDetailSelection.do?menuId=PCUVTINF2000&amp;searchSyr=2026&amp;unvCd=0000025</x:v>
      </x:c>
    </x:row>
    <x:row r="60">
      <x:c r="A60" s="40" t="n">
        <x:v>2025</x:v>
      </x:c>
      <x:c r="B60" s="40" t="str">
        <x:v>전북특별자치도</x:v>
      </x:c>
      <x:c r="C60" s="40" t="str">
        <x:v>국립</x:v>
      </x:c>
      <x:c r="D60" s="40" t="str">
        <x:v>전북대학교</x:v>
      </x:c>
      <x:c r="E60" s="40" t="str">
        <x:v>나</x:v>
      </x:c>
      <x:c r="F60" s="40" t="str">
        <x:v>일반전형</x:v>
      </x:c>
      <x:c r="G60" s="41" t="str">
        <x:v>사회과학계열</x:v>
      </x:c>
      <x:c r="H60" s="40" t="n">
        <x:v>59</x:v>
      </x:c>
      <x:c r="I60" s="40" t="n">
        <x:v>7</x:v>
      </x:c>
      <x:c r="J60" s="40" t="n">
        <x:v>66</x:v>
      </x:c>
      <x:c r="K60" s="60" t="n">
        <x:v>5.4</x:v>
      </x:c>
      <x:c r="L60" s="40" t="n">
        <x:v>53</x:v>
      </x:c>
      <x:c r="M60" s="60" t="n">
        <x:v>312.91</x:v>
      </x:c>
      <x:c r="N60" s="60" t="n">
        <x:v>311</x:v>
      </x:c>
      <x:c r="O60" s="60" t="n">
        <x:v>500</x:v>
      </x:c>
      <x:c r="P60" s="62" t="n">
        <x:v>70</x:v>
      </x:c>
      <x:c r="Q60" s="62" t="n">
        <x:v>52</x:v>
      </x:c>
      <x:c r="R60" s="62" t="n">
        <x:v>59</x:v>
      </x:c>
      <x:c r="S60" s="62" t="n">
        <x:v>74</x:v>
      </x:c>
      <x:c r="T60" s="62" t="n">
        <x:v>1</x:v>
      </x:c>
      <x:c r="U60" s="62" t="n">
        <x:v>3</x:v>
      </x:c>
      <x:c r="V60" s="60"/>
      <x:c r="W60" s="60" t="n">
        <x:f>IF(COUNT(P60:S60)&gt;=3,AVERAGE(P60:S60),"")</x:f>
        <x:v>63.75</x:v>
      </x:c>
      <x:c r="X60" s="60" t="n">
        <x:f>IF(V60&lt;&gt;"",V60,W60)</x:f>
        <x:v>63.75</x:v>
      </x:c>
      <x:c r="Y60" s="40" t="str">
        <x:f>IF(V60&lt;&gt;"","공식 70% 평균백분위",IF(W60&lt;&gt;"","파생 단순평균(참고)","비교불가"))</x:f>
        <x:v>파생 단순평균(참고)</x:v>
      </x:c>
      <x:c r="Z60" s="60" t="n">
        <x:f>'추천_테스트'!$B$8</x:f>
        <x:v>80</x:v>
      </x:c>
      <x:c r="AA60" s="60" t="n">
        <x:f>IF(X60="","",Z60-X60)</x:f>
        <x:v>16.25</x:v>
      </x:c>
      <x:c r="AB60" s="40" t="str">
        <x:f>IF(X60="","",IF(AA60&gt;='추천_테스트'!$B$10,"안정",IF(AA60&gt;='추천_테스트'!$B$11,"적정",IF(AA60&gt;='추천_테스트'!$B$12,"소신","상향"))))</x:f>
        <x:v>안정</x:v>
      </x:c>
      <x:c r="AC60" s="62" t="n">
        <x:v>82</x:v>
      </x:c>
      <x:c r="AD60" s="62" t="n">
        <x:v>17</x:v>
      </x:c>
      <x:c r="AE60" s="62" t="n">
        <x:v>2</x:v>
      </x:c>
      <x:c r="AF60" s="41" t="str">
        <x:v>B: 공식 과목별 70% 백분위 → 단순평균 파생</x:v>
      </x:c>
      <x:c r="AG60" s="41" t="str">
        <x:v>https://www.adiga.kr/ucp/uvt/uni/univDetailSelection.do?menuId=PCUVTINF2000&amp;searchSyr=2026&amp;unvCd=0000025</x:v>
      </x:c>
    </x:row>
    <x:row r="61">
      <x:c r="A61" s="40" t="n">
        <x:v>2025</x:v>
      </x:c>
      <x:c r="B61" s="40" t="str">
        <x:v>전북특별자치도</x:v>
      </x:c>
      <x:c r="C61" s="40" t="str">
        <x:v>국립</x:v>
      </x:c>
      <x:c r="D61" s="40" t="str">
        <x:v>전북대학교</x:v>
      </x:c>
      <x:c r="E61" s="40" t="str">
        <x:v>나</x:v>
      </x:c>
      <x:c r="F61" s="40" t="str">
        <x:v>일반전형</x:v>
      </x:c>
      <x:c r="G61" s="41" t="str">
        <x:v>수의예과</x:v>
      </x:c>
      <x:c r="H61" s="40" t="n">
        <x:v>15</x:v>
      </x:c>
      <x:c r="I61" s="40" t="n">
        <x:v>0</x:v>
      </x:c>
      <x:c r="J61" s="40" t="n">
        <x:v>15</x:v>
      </x:c>
      <x:c r="K61" s="60" t="n">
        <x:v>7.5</x:v>
      </x:c>
      <x:c r="L61" s="40" t="n">
        <x:v>5</x:v>
      </x:c>
      <x:c r="M61" s="60" t="n">
        <x:v>366</x:v>
      </x:c>
      <x:c r="N61" s="60" t="n">
        <x:v>365.41</x:v>
      </x:c>
      <x:c r="O61" s="60" t="n">
        <x:v>500</x:v>
      </x:c>
      <x:c r="P61" s="62" t="n">
        <x:v>99</x:v>
      </x:c>
      <x:c r="Q61" s="62" t="n">
        <x:v>98</x:v>
      </x:c>
      <x:c r="R61" s="62" t="n">
        <x:v>94</x:v>
      </x:c>
      <x:c r="S61" s="62" t="n">
        <x:v>83</x:v>
      </x:c>
      <x:c r="T61" s="62" t="n">
        <x:v>1</x:v>
      </x:c>
      <x:c r="U61" s="62" t="n">
        <x:v>1</x:v>
      </x:c>
      <x:c r="V61" s="60"/>
      <x:c r="W61" s="60" t="n">
        <x:f>IF(COUNT(P61:S61)&gt;=3,AVERAGE(P61:S61),"")</x:f>
        <x:v>93.5</x:v>
      </x:c>
      <x:c r="X61" s="60" t="n">
        <x:f>IF(V61&lt;&gt;"",V61,W61)</x:f>
        <x:v>93.5</x:v>
      </x:c>
      <x:c r="Y61" s="40" t="str">
        <x:f>IF(V61&lt;&gt;"","공식 70% 평균백분위",IF(W61&lt;&gt;"","파생 단순평균(참고)","비교불가"))</x:f>
        <x:v>파생 단순평균(참고)</x:v>
      </x:c>
      <x:c r="Z61" s="60" t="n">
        <x:f>'추천_테스트'!$B$8</x:f>
        <x:v>80</x:v>
      </x:c>
      <x:c r="AA61" s="60" t="n">
        <x:f>IF(X61="","",Z61-X61)</x:f>
        <x:v>-13.5</x:v>
      </x:c>
      <x:c r="AB61" s="40" t="str">
        <x:f>IF(X61="","",IF(AA61&gt;='추천_테스트'!$B$10,"안정",IF(AA61&gt;='추천_테스트'!$B$11,"적정",IF(AA61&gt;='추천_테스트'!$B$12,"소신","상향"))))</x:f>
        <x:v>상향</x:v>
      </x:c>
      <x:c r="AC61" s="62" t="n">
        <x:v>0</x:v>
      </x:c>
      <x:c r="AD61" s="62" t="n">
        <x:v>100</x:v>
      </x:c>
      <x:c r="AE61" s="62" t="n">
        <x:v>0</x:v>
      </x:c>
      <x:c r="AF61" s="41" t="str">
        <x:v>B: 공식 과목별 70% 백분위 → 단순평균 파생</x:v>
      </x:c>
      <x:c r="AG61" s="41" t="str">
        <x:v>https://www.adiga.kr/ucp/uvt/uni/univDetailSelection.do?menuId=PCUVTINF2000&amp;searchSyr=2026&amp;unvCd=0000025</x:v>
      </x:c>
    </x:row>
    <x:row r="62">
      <x:c r="A62" s="40" t="n">
        <x:v>2025</x:v>
      </x:c>
      <x:c r="B62" s="40" t="str">
        <x:v>전북특별자치도</x:v>
      </x:c>
      <x:c r="C62" s="40" t="str">
        <x:v>국립</x:v>
      </x:c>
      <x:c r="D62" s="40" t="str">
        <x:v>전북대학교</x:v>
      </x:c>
      <x:c r="E62" s="40" t="str">
        <x:v>나</x:v>
      </x:c>
      <x:c r="F62" s="40" t="str">
        <x:v>일반전형</x:v>
      </x:c>
      <x:c r="G62" s="41" t="str">
        <x:v>약학과</x:v>
      </x:c>
      <x:c r="H62" s="40" t="n">
        <x:v>9</x:v>
      </x:c>
      <x:c r="I62" s="40" t="n">
        <x:v>0</x:v>
      </x:c>
      <x:c r="J62" s="40" t="n">
        <x:v>9</x:v>
      </x:c>
      <x:c r="K62" s="60" t="n">
        <x:v>8.8</x:v>
      </x:c>
      <x:c r="L62" s="40" t="n">
        <x:v>5</x:v>
      </x:c>
      <x:c r="M62" s="60" t="n">
        <x:v>366.05</x:v>
      </x:c>
      <x:c r="N62" s="60" t="n">
        <x:v>365.33</x:v>
      </x:c>
      <x:c r="O62" s="60" t="n">
        <x:v>500</x:v>
      </x:c>
      <x:c r="P62" s="62" t="n">
        <x:v>99</x:v>
      </x:c>
      <x:c r="Q62" s="62" t="n">
        <x:v>97</x:v>
      </x:c>
      <x:c r="R62" s="62" t="n">
        <x:v>83</x:v>
      </x:c>
      <x:c r="S62" s="62" t="n">
        <x:v>98</x:v>
      </x:c>
      <x:c r="T62" s="62" t="n">
        <x:v>1</x:v>
      </x:c>
      <x:c r="U62" s="62" t="n">
        <x:v>1</x:v>
      </x:c>
      <x:c r="V62" s="60"/>
      <x:c r="W62" s="60" t="n">
        <x:f>IF(COUNT(P62:S62)&gt;=3,AVERAGE(P62:S62),"")</x:f>
        <x:v>94.25</x:v>
      </x:c>
      <x:c r="X62" s="60" t="n">
        <x:f>IF(V62&lt;&gt;"",V62,W62)</x:f>
        <x:v>94.25</x:v>
      </x:c>
      <x:c r="Y62" s="40" t="str">
        <x:f>IF(V62&lt;&gt;"","공식 70% 평균백분위",IF(W62&lt;&gt;"","파생 단순평균(참고)","비교불가"))</x:f>
        <x:v>파생 단순평균(참고)</x:v>
      </x:c>
      <x:c r="Z62" s="60" t="n">
        <x:f>'추천_테스트'!$B$8</x:f>
        <x:v>80</x:v>
      </x:c>
      <x:c r="AA62" s="60" t="n">
        <x:f>IF(X62="","",Z62-X62)</x:f>
        <x:v>-14.25</x:v>
      </x:c>
      <x:c r="AB62" s="40" t="str">
        <x:f>IF(X62="","",IF(AA62&gt;='추천_테스트'!$B$10,"안정",IF(AA62&gt;='추천_테스트'!$B$11,"적정",IF(AA62&gt;='추천_테스트'!$B$12,"소신","상향"))))</x:f>
        <x:v>상향</x:v>
      </x:c>
      <x:c r="AC62" s="62" t="n">
        <x:v>0</x:v>
      </x:c>
      <x:c r="AD62" s="62" t="n">
        <x:v>78</x:v>
      </x:c>
      <x:c r="AE62" s="62" t="n">
        <x:v>22</x:v>
      </x:c>
      <x:c r="AF62" s="41" t="str">
        <x:v>B: 공식 과목별 70% 백분위 → 단순평균 파생</x:v>
      </x:c>
      <x:c r="AG62" s="41" t="str">
        <x:v>https://www.adiga.kr/ucp/uvt/uni/univDetailSelection.do?menuId=PCUVTINF2000&amp;searchSyr=2026&amp;unvCd=0000025</x:v>
      </x:c>
    </x:row>
    <x:row r="63">
      <x:c r="A63" s="40" t="n">
        <x:v>2025</x:v>
      </x:c>
      <x:c r="B63" s="40" t="str">
        <x:v>전북특별자치도</x:v>
      </x:c>
      <x:c r="C63" s="40" t="str">
        <x:v>국립</x:v>
      </x:c>
      <x:c r="D63" s="40" t="str">
        <x:v>전북대학교</x:v>
      </x:c>
      <x:c r="E63" s="40" t="str">
        <x:v>나</x:v>
      </x:c>
      <x:c r="F63" s="40" t="str">
        <x:v>일반전형</x:v>
      </x:c>
      <x:c r="G63" s="41" t="str">
        <x:v>의예과</x:v>
      </x:c>
      <x:c r="H63" s="40" t="n">
        <x:v>31</x:v>
      </x:c>
      <x:c r="I63" s="40" t="n">
        <x:v>2</x:v>
      </x:c>
      <x:c r="J63" s="40" t="n">
        <x:v>33</x:v>
      </x:c>
      <x:c r="K63" s="60" t="n">
        <x:v>4.3</x:v>
      </x:c>
      <x:c r="L63" s="40" t="n">
        <x:v>19</x:v>
      </x:c>
      <x:c r="M63" s="60" t="n">
        <x:v>372.06</x:v>
      </x:c>
      <x:c r="N63" s="60" t="n">
        <x:v>371.73</x:v>
      </x:c>
      <x:c r="O63" s="60" t="n">
        <x:v>500</x:v>
      </x:c>
      <x:c r="P63" s="62" t="n">
        <x:v>96</x:v>
      </x:c>
      <x:c r="Q63" s="62" t="n">
        <x:v>100</x:v>
      </x:c>
      <x:c r="R63" s="62" t="n">
        <x:v>94</x:v>
      </x:c>
      <x:c r="S63" s="62" t="n">
        <x:v>94</x:v>
      </x:c>
      <x:c r="T63" s="62" t="n">
        <x:v>1</x:v>
      </x:c>
      <x:c r="U63" s="62" t="n">
        <x:v>2</x:v>
      </x:c>
      <x:c r="V63" s="60"/>
      <x:c r="W63" s="60" t="n">
        <x:f>IF(COUNT(P63:S63)&gt;=3,AVERAGE(P63:S63),"")</x:f>
        <x:v>96</x:v>
      </x:c>
      <x:c r="X63" s="60" t="n">
        <x:f>IF(V63&lt;&gt;"",V63,W63)</x:f>
        <x:v>96</x:v>
      </x:c>
      <x:c r="Y63" s="40" t="str">
        <x:f>IF(V63&lt;&gt;"","공식 70% 평균백분위",IF(W63&lt;&gt;"","파생 단순평균(참고)","비교불가"))</x:f>
        <x:v>파생 단순평균(참고)</x:v>
      </x:c>
      <x:c r="Z63" s="60" t="n">
        <x:f>'추천_테스트'!$B$8</x:f>
        <x:v>80</x:v>
      </x:c>
      <x:c r="AA63" s="60" t="n">
        <x:f>IF(X63="","",Z63-X63)</x:f>
        <x:v>-16</x:v>
      </x:c>
      <x:c r="AB63" s="40" t="str">
        <x:f>IF(X63="","",IF(AA63&gt;='추천_테스트'!$B$10,"안정",IF(AA63&gt;='추천_테스트'!$B$11,"적정",IF(AA63&gt;='추천_테스트'!$B$12,"소신","상향"))))</x:f>
        <x:v>상향</x:v>
      </x:c>
      <x:c r="AC63" s="62" t="n">
        <x:v>0</x:v>
      </x:c>
      <x:c r="AD63" s="62" t="n">
        <x:v>100</x:v>
      </x:c>
      <x:c r="AE63" s="62" t="n">
        <x:v>0</x:v>
      </x:c>
      <x:c r="AF63" s="41" t="str">
        <x:v>B: 공식 과목별 70% 백분위 → 단순평균 파생</x:v>
      </x:c>
      <x:c r="AG63" s="41" t="str">
        <x:v>https://www.adiga.kr/ucp/uvt/uni/univDetailSelection.do?menuId=PCUVTINF2000&amp;searchSyr=2026&amp;unvCd=0000025</x:v>
      </x:c>
    </x:row>
    <x:row r="64">
      <x:c r="A64" s="40" t="n">
        <x:v>2025</x:v>
      </x:c>
      <x:c r="B64" s="40" t="str">
        <x:v>전북특별자치도</x:v>
      </x:c>
      <x:c r="C64" s="40" t="str">
        <x:v>국립</x:v>
      </x:c>
      <x:c r="D64" s="40" t="str">
        <x:v>전북대학교</x:v>
      </x:c>
      <x:c r="E64" s="40" t="str">
        <x:v>나</x:v>
      </x:c>
      <x:c r="F64" s="40" t="str">
        <x:v>일반전형</x:v>
      </x:c>
      <x:c r="G64" s="41" t="str">
        <x:v>환경생명자원계열</x:v>
      </x:c>
      <x:c r="H64" s="40" t="n">
        <x:v>23</x:v>
      </x:c>
      <x:c r="I64" s="40" t="n">
        <x:v>9</x:v>
      </x:c>
      <x:c r="J64" s="40" t="n">
        <x:v>32</x:v>
      </x:c>
      <x:c r="K64" s="60" t="n">
        <x:v>4.5</x:v>
      </x:c>
      <x:c r="L64" s="40" t="n">
        <x:v>18</x:v>
      </x:c>
      <x:c r="M64" s="60" t="n">
        <x:v>302.65</x:v>
      </x:c>
      <x:c r="N64" s="60" t="n">
        <x:v>301.74</x:v>
      </x:c>
      <x:c r="O64" s="60" t="n">
        <x:v>500</x:v>
      </x:c>
      <x:c r="P64" s="62" t="n">
        <x:v>75</x:v>
      </x:c>
      <x:c r="Q64" s="62" t="n">
        <x:v>68</x:v>
      </x:c>
      <x:c r="R64" s="62" t="n">
        <x:v>59</x:v>
      </x:c>
      <x:c r="S64" s="62" t="n">
        <x:v>54</x:v>
      </x:c>
      <x:c r="T64" s="62" t="n">
        <x:v>4</x:v>
      </x:c>
      <x:c r="U64" s="62" t="n">
        <x:v>3</x:v>
      </x:c>
      <x:c r="V64" s="60"/>
      <x:c r="W64" s="60" t="n">
        <x:f>IF(COUNT(P64:S64)&gt;=3,AVERAGE(P64:S64),"")</x:f>
        <x:v>64</x:v>
      </x:c>
      <x:c r="X64" s="60" t="n">
        <x:f>IF(V64&lt;&gt;"",V64,W64)</x:f>
        <x:v>64</x:v>
      </x:c>
      <x:c r="Y64" s="40" t="str">
        <x:f>IF(V64&lt;&gt;"","공식 70% 평균백분위",IF(W64&lt;&gt;"","파생 단순평균(참고)","비교불가"))</x:f>
        <x:v>파생 단순평균(참고)</x:v>
      </x:c>
      <x:c r="Z64" s="60" t="n">
        <x:f>'추천_테스트'!$B$8</x:f>
        <x:v>80</x:v>
      </x:c>
      <x:c r="AA64" s="60" t="n">
        <x:f>IF(X64="","",Z64-X64)</x:f>
        <x:v>16</x:v>
      </x:c>
      <x:c r="AB64" s="40" t="str">
        <x:f>IF(X64="","",IF(AA64&gt;='추천_테스트'!$B$10,"안정",IF(AA64&gt;='추천_테스트'!$B$11,"적정",IF(AA64&gt;='추천_테스트'!$B$12,"소신","상향"))))</x:f>
        <x:v>안정</x:v>
      </x:c>
      <x:c r="AC64" s="62" t="n">
        <x:v>25</x:v>
      </x:c>
      <x:c r="AD64" s="62" t="n">
        <x:v>69</x:v>
      </x:c>
      <x:c r="AE64" s="62" t="n">
        <x:v>6</x:v>
      </x:c>
      <x:c r="AF64" s="41" t="str">
        <x:v>B: 공식 과목별 70% 백분위 → 단순평균 파생</x:v>
      </x:c>
      <x:c r="AG64" s="41" t="str">
        <x:v>https://www.adiga.kr/ucp/uvt/uni/univDetailSelection.do?menuId=PCUVTINF2000&amp;searchSyr=2026&amp;unvCd=0000025</x:v>
      </x:c>
    </x:row>
    <x:row r="65">
      <x:c r="A65" s="40" t="n">
        <x:v>2025</x:v>
      </x:c>
      <x:c r="B65" s="40" t="str">
        <x:v>전북특별자치도</x:v>
      </x:c>
      <x:c r="C65" s="40" t="str">
        <x:v>국립</x:v>
      </x:c>
      <x:c r="D65" s="40" t="str">
        <x:v>전북대학교</x:v>
      </x:c>
      <x:c r="E65" s="40" t="str">
        <x:v>나</x:v>
      </x:c>
      <x:c r="F65" s="40" t="str">
        <x:v>일반전형</x:v>
      </x:c>
      <x:c r="G65" s="41" t="str">
        <x:v>융합자율전공학부1</x:v>
      </x:c>
      <x:c r="H65" s="40" t="n">
        <x:v>34</x:v>
      </x:c>
      <x:c r="I65" s="40" t="n">
        <x:v>0</x:v>
      </x:c>
      <x:c r="J65" s="40" t="n">
        <x:v>34</x:v>
      </x:c>
      <x:c r="K65" s="60" t="n">
        <x:v>4.7</x:v>
      </x:c>
      <x:c r="L65" s="40" t="n">
        <x:v>16</x:v>
      </x:c>
      <x:c r="M65" s="60" t="n">
        <x:v>316.01</x:v>
      </x:c>
      <x:c r="N65" s="60" t="n">
        <x:v>313.9</x:v>
      </x:c>
      <x:c r="O65" s="60" t="n">
        <x:v>500</x:v>
      </x:c>
      <x:c r="P65" s="62" t="n">
        <x:v>77</x:v>
      </x:c>
      <x:c r="Q65" s="62" t="n">
        <x:v>66</x:v>
      </x:c>
      <x:c r="R65" s="62" t="n">
        <x:v>80</x:v>
      </x:c>
      <x:c r="S65" s="62" t="n">
        <x:v>74</x:v>
      </x:c>
      <x:c r="T65" s="62" t="n">
        <x:v>4</x:v>
      </x:c>
      <x:c r="U65" s="62" t="n">
        <x:v>1</x:v>
      </x:c>
      <x:c r="V65" s="60"/>
      <x:c r="W65" s="60" t="n">
        <x:f>IF(COUNT(P65:S65)&gt;=3,AVERAGE(P65:S65),"")</x:f>
        <x:v>74.25</x:v>
      </x:c>
      <x:c r="X65" s="60" t="n">
        <x:f>IF(V65&lt;&gt;"",V65,W65)</x:f>
        <x:v>74.25</x:v>
      </x:c>
      <x:c r="Y65" s="40" t="str">
        <x:f>IF(V65&lt;&gt;"","공식 70% 평균백분위",IF(W65&lt;&gt;"","파생 단순평균(참고)","비교불가"))</x:f>
        <x:v>파생 단순평균(참고)</x:v>
      </x:c>
      <x:c r="Z65" s="60" t="n">
        <x:f>'추천_테스트'!$B$8</x:f>
        <x:v>80</x:v>
      </x:c>
      <x:c r="AA65" s="60" t="n">
        <x:f>IF(X65="","",Z65-X65)</x:f>
        <x:v>5.75</x:v>
      </x:c>
      <x:c r="AB65" s="40" t="str">
        <x:f>IF(X65="","",IF(AA65&gt;='추천_테스트'!$B$10,"안정",IF(AA65&gt;='추천_테스트'!$B$11,"적정",IF(AA65&gt;='추천_테스트'!$B$12,"소신","상향"))))</x:f>
        <x:v>안정</x:v>
      </x:c>
      <x:c r="AC65" s="62" t="n">
        <x:v>32</x:v>
      </x:c>
      <x:c r="AD65" s="62" t="n">
        <x:v>68</x:v>
      </x:c>
      <x:c r="AE65" s="62" t="n">
        <x:v>0</x:v>
      </x:c>
      <x:c r="AF65" s="41" t="str">
        <x:v>B: 공식 과목별 70% 백분위 → 단순평균 파생</x:v>
      </x:c>
      <x:c r="AG65" s="41" t="str">
        <x:v>https://www.adiga.kr/ucp/uvt/uni/univDetailSelection.do?menuId=PCUVTINF2000&amp;searchSyr=2026&amp;unvCd=0000025</x:v>
      </x:c>
    </x:row>
    <x:row r="66">
      <x:c r="A66" s="40" t="n">
        <x:v>2025</x:v>
      </x:c>
      <x:c r="B66" s="40" t="str">
        <x:v>전북특별자치도</x:v>
      </x:c>
      <x:c r="C66" s="40" t="str">
        <x:v>국립</x:v>
      </x:c>
      <x:c r="D66" s="40" t="str">
        <x:v>전북대학교</x:v>
      </x:c>
      <x:c r="E66" s="40" t="str">
        <x:v>나</x:v>
      </x:c>
      <x:c r="F66" s="40" t="str">
        <x:v>일반전형</x:v>
      </x:c>
      <x:c r="G66" s="41" t="str">
        <x:v>융합자율전공학부2</x:v>
      </x:c>
      <x:c r="H66" s="40" t="n">
        <x:v>8</x:v>
      </x:c>
      <x:c r="I66" s="40" t="n">
        <x:v>1</x:v>
      </x:c>
      <x:c r="J66" s="40" t="n">
        <x:v>9</x:v>
      </x:c>
      <x:c r="K66" s="60" t="n">
        <x:v>7.1</x:v>
      </x:c>
      <x:c r="L66" s="40" t="n">
        <x:v>7</x:v>
      </x:c>
      <x:c r="M66" s="60" t="n">
        <x:v>308.93</x:v>
      </x:c>
      <x:c r="N66" s="60" t="n">
        <x:v>308.28</x:v>
      </x:c>
      <x:c r="O66" s="60" t="n">
        <x:v>500</x:v>
      </x:c>
      <x:c r="P66" s="62" t="n">
        <x:v>68</x:v>
      </x:c>
      <x:c r="Q66" s="62" t="n">
        <x:v>59</x:v>
      </x:c>
      <x:c r="R66" s="62" t="n">
        <x:v>64</x:v>
      </x:c>
      <x:c r="S66" s="62" t="n">
        <x:v>64</x:v>
      </x:c>
      <x:c r="T66" s="62" t="n">
        <x:v>2</x:v>
      </x:c>
      <x:c r="U66" s="62" t="n">
        <x:v>3</x:v>
      </x:c>
      <x:c r="V66" s="60"/>
      <x:c r="W66" s="60" t="n">
        <x:f>IF(COUNT(P66:S66)&gt;=3,AVERAGE(P66:S66),"")</x:f>
        <x:v>63.75</x:v>
      </x:c>
      <x:c r="X66" s="60" t="n">
        <x:f>IF(V66&lt;&gt;"",V66,W66)</x:f>
        <x:v>63.75</x:v>
      </x:c>
      <x:c r="Y66" s="40" t="str">
        <x:f>IF(V66&lt;&gt;"","공식 70% 평균백분위",IF(W66&lt;&gt;"","파생 단순평균(참고)","비교불가"))</x:f>
        <x:v>파생 단순평균(참고)</x:v>
      </x:c>
      <x:c r="Z66" s="60" t="n">
        <x:f>'추천_테스트'!$B$8</x:f>
        <x:v>80</x:v>
      </x:c>
      <x:c r="AA66" s="60" t="n">
        <x:f>IF(X66="","",Z66-X66)</x:f>
        <x:v>16.25</x:v>
      </x:c>
      <x:c r="AB66" s="40" t="str">
        <x:f>IF(X66="","",IF(AA66&gt;='추천_테스트'!$B$10,"안정",IF(AA66&gt;='추천_테스트'!$B$11,"적정",IF(AA66&gt;='추천_테스트'!$B$12,"소신","상향"))))</x:f>
        <x:v>안정</x:v>
      </x:c>
      <x:c r="AC66" s="62" t="n">
        <x:v>56</x:v>
      </x:c>
      <x:c r="AD66" s="62" t="n">
        <x:v>44</x:v>
      </x:c>
      <x:c r="AE66" s="62" t="n">
        <x:v>0</x:v>
      </x:c>
      <x:c r="AF66" s="41" t="str">
        <x:v>B: 공식 과목별 70% 백분위 → 단순평균 파생</x:v>
      </x:c>
      <x:c r="AG66" s="41" t="str">
        <x:v>https://www.adiga.kr/ucp/uvt/uni/univDetailSelection.do?menuId=PCUVTINF2000&amp;searchSyr=2026&amp;unvCd=0000025</x:v>
      </x:c>
    </x:row>
    <x:row r="67">
      <x:c r="A67" s="40" t="n">
        <x:v>2025</x:v>
      </x:c>
      <x:c r="B67" s="40" t="str">
        <x:v>경기도</x:v>
      </x:c>
      <x:c r="C67" s="40" t="str">
        <x:v>사립</x:v>
      </x:c>
      <x:c r="D67" s="40" t="str">
        <x:v>한세대학교</x:v>
      </x:c>
      <x:c r="E67" s="40" t="str">
        <x:v>가</x:v>
      </x:c>
      <x:c r="F67" s="40" t="str">
        <x:v>일반전형</x:v>
      </x:c>
      <x:c r="G67" s="41" t="str">
        <x:v>자유전공학부</x:v>
      </x:c>
      <x:c r="H67" s="40"/>
      <x:c r="I67" s="40"/>
      <x:c r="J67" s="40" t="n">
        <x:v>17</x:v>
      </x:c>
      <x:c r="K67" s="60" t="n">
        <x:v>6.41</x:v>
      </x:c>
      <x:c r="L67" s="40" t="n">
        <x:v>24</x:v>
      </x:c>
      <x:c r="M67" s="60"/>
      <x:c r="N67" s="60" t="n">
        <x:v>785.8</x:v>
      </x:c>
      <x:c r="O67" s="60" t="n">
        <x:v>1000</x:v>
      </x:c>
      <x:c r="P67" s="62"/>
      <x:c r="Q67" s="62"/>
      <x:c r="R67" s="62"/>
      <x:c r="S67" s="62"/>
      <x:c r="T67" s="62"/>
      <x:c r="U67" s="62"/>
      <x:c r="V67" s="60" t="n">
        <x:v>76.33</x:v>
      </x:c>
      <x:c r="W67" s="60" t="str">
        <x:f>IF(COUNT(P67:S67)&gt;=3,AVERAGE(P67:S67),"")</x:f>
      </x:c>
      <x:c r="X67" s="60" t="n">
        <x:f>IF(V67&lt;&gt;"",V67,W67)</x:f>
        <x:v>76.33</x:v>
      </x:c>
      <x:c r="Y67" s="40" t="str">
        <x:f>IF(V67&lt;&gt;"","공식 70% 평균백분위",IF(W67&lt;&gt;"","파생 단순평균(참고)","비교불가"))</x:f>
        <x:v>공식 70% 평균백분위</x:v>
      </x:c>
      <x:c r="Z67" s="60" t="n">
        <x:f>'추천_테스트'!$B$8</x:f>
        <x:v>80</x:v>
      </x:c>
      <x:c r="AA67" s="60" t="n">
        <x:f>IF(X67="","",Z67-X67)</x:f>
        <x:v>3.6700000000000017</x:v>
      </x:c>
      <x:c r="AB67" s="40" t="str">
        <x:f>IF(X67="","",IF(AA67&gt;='추천_테스트'!$B$10,"안정",IF(AA67&gt;='추천_테스트'!$B$11,"적정",IF(AA67&gt;='추천_테스트'!$B$12,"소신","상향"))))</x:f>
        <x:v>적정</x:v>
      </x:c>
      <x:c r="AC67" s="62"/>
      <x:c r="AD67" s="62"/>
      <x:c r="AE67" s="62"/>
      <x:c r="AF67" s="41" t="str">
        <x:v>A: 공식 70% 평균백분위 제공</x:v>
      </x:c>
      <x:c r="AG67" s="41" t="str">
        <x:v>https://www.adiga.kr/ucp/uvt/uni/univDetailSelection.do?menuId=PCUVTINF2000&amp;searchSyr=2026&amp;unvCd=0000201</x:v>
      </x:c>
    </x:row>
    <x:row r="68">
      <x:c r="A68" s="40" t="n">
        <x:v>2025</x:v>
      </x:c>
      <x:c r="B68" s="40" t="str">
        <x:v>경기도</x:v>
      </x:c>
      <x:c r="C68" s="40" t="str">
        <x:v>사립</x:v>
      </x:c>
      <x:c r="D68" s="40" t="str">
        <x:v>한세대학교</x:v>
      </x:c>
      <x:c r="E68" s="40" t="str">
        <x:v>가</x:v>
      </x:c>
      <x:c r="F68" s="40" t="str">
        <x:v>일반전형</x:v>
      </x:c>
      <x:c r="G68" s="41" t="str">
        <x:v>신학과</x:v>
      </x:c>
      <x:c r="H68" s="40"/>
      <x:c r="I68" s="40"/>
      <x:c r="J68" s="40" t="n">
        <x:v>7</x:v>
      </x:c>
      <x:c r="K68" s="60" t="n">
        <x:v>8.29</x:v>
      </x:c>
      <x:c r="L68" s="40" t="n">
        <x:v>3</x:v>
      </x:c>
      <x:c r="M68" s="60"/>
      <x:c r="N68" s="60" t="n">
        <x:v>750</x:v>
      </x:c>
      <x:c r="O68" s="60" t="n">
        <x:v>1000</x:v>
      </x:c>
      <x:c r="P68" s="62"/>
      <x:c r="Q68" s="62"/>
      <x:c r="R68" s="62"/>
      <x:c r="S68" s="62"/>
      <x:c r="T68" s="62"/>
      <x:c r="U68" s="62"/>
      <x:c r="V68" s="60" t="n">
        <x:v>75.67</x:v>
      </x:c>
      <x:c r="W68" s="60" t="str">
        <x:f>IF(COUNT(P68:S68)&gt;=3,AVERAGE(P68:S68),"")</x:f>
      </x:c>
      <x:c r="X68" s="60" t="n">
        <x:f>IF(V68&lt;&gt;"",V68,W68)</x:f>
        <x:v>75.67</x:v>
      </x:c>
      <x:c r="Y68" s="40" t="str">
        <x:f>IF(V68&lt;&gt;"","공식 70% 평균백분위",IF(W68&lt;&gt;"","파생 단순평균(참고)","비교불가"))</x:f>
        <x:v>공식 70% 평균백분위</x:v>
      </x:c>
      <x:c r="Z68" s="60" t="n">
        <x:f>'추천_테스트'!$B$8</x:f>
        <x:v>80</x:v>
      </x:c>
      <x:c r="AA68" s="60" t="n">
        <x:f>IF(X68="","",Z68-X68)</x:f>
        <x:v>4.329999999999998</x:v>
      </x:c>
      <x:c r="AB68" s="40" t="str">
        <x:f>IF(X68="","",IF(AA68&gt;='추천_테스트'!$B$10,"안정",IF(AA68&gt;='추천_테스트'!$B$11,"적정",IF(AA68&gt;='추천_테스트'!$B$12,"소신","상향"))))</x:f>
        <x:v>적정</x:v>
      </x:c>
      <x:c r="AC68" s="62"/>
      <x:c r="AD68" s="62"/>
      <x:c r="AE68" s="62"/>
      <x:c r="AF68" s="41" t="str">
        <x:v>A: 공식 70% 평균백분위 제공</x:v>
      </x:c>
      <x:c r="AG68" s="41" t="str">
        <x:v>https://www.adiga.kr/ucp/uvt/uni/univDetailSelection.do?menuId=PCUVTINF2000&amp;searchSyr=2026&amp;unvCd=0000201</x:v>
      </x:c>
    </x:row>
    <x:row r="69">
      <x:c r="A69" s="40" t="n">
        <x:v>2025</x:v>
      </x:c>
      <x:c r="B69" s="40" t="str">
        <x:v>경기도</x:v>
      </x:c>
      <x:c r="C69" s="40" t="str">
        <x:v>사립</x:v>
      </x:c>
      <x:c r="D69" s="40" t="str">
        <x:v>한세대학교</x:v>
      </x:c>
      <x:c r="E69" s="40" t="str">
        <x:v>가</x:v>
      </x:c>
      <x:c r="F69" s="40" t="str">
        <x:v>일반전형</x:v>
      </x:c>
      <x:c r="G69" s="41" t="str">
        <x:v>미디어영상광고학과</x:v>
      </x:c>
      <x:c r="H69" s="40"/>
      <x:c r="I69" s="40"/>
      <x:c r="J69" s="40" t="n">
        <x:v>8</x:v>
      </x:c>
      <x:c r="K69" s="60" t="n">
        <x:v>5.88</x:v>
      </x:c>
      <x:c r="L69" s="40" t="n">
        <x:v>23</x:v>
      </x:c>
      <x:c r="M69" s="60"/>
      <x:c r="N69" s="60" t="n">
        <x:v>799</x:v>
      </x:c>
      <x:c r="O69" s="60" t="n">
        <x:v>1000</x:v>
      </x:c>
      <x:c r="P69" s="62"/>
      <x:c r="Q69" s="62"/>
      <x:c r="R69" s="62"/>
      <x:c r="S69" s="62"/>
      <x:c r="T69" s="62"/>
      <x:c r="U69" s="62"/>
      <x:c r="V69" s="60" t="n">
        <x:v>79.33</x:v>
      </x:c>
      <x:c r="W69" s="60" t="str">
        <x:f>IF(COUNT(P69:S69)&gt;=3,AVERAGE(P69:S69),"")</x:f>
      </x:c>
      <x:c r="X69" s="60" t="n">
        <x:f>IF(V69&lt;&gt;"",V69,W69)</x:f>
        <x:v>79.33</x:v>
      </x:c>
      <x:c r="Y69" s="40" t="str">
        <x:f>IF(V69&lt;&gt;"","공식 70% 평균백분위",IF(W69&lt;&gt;"","파생 단순평균(참고)","비교불가"))</x:f>
        <x:v>공식 70% 평균백분위</x:v>
      </x:c>
      <x:c r="Z69" s="60" t="n">
        <x:f>'추천_테스트'!$B$8</x:f>
        <x:v>80</x:v>
      </x:c>
      <x:c r="AA69" s="60" t="n">
        <x:f>IF(X69="","",Z69-X69)</x:f>
        <x:v>0.6700000000000017</x:v>
      </x:c>
      <x:c r="AB69" s="40" t="str">
        <x:f>IF(X69="","",IF(AA69&gt;='추천_테스트'!$B$10,"안정",IF(AA69&gt;='추천_테스트'!$B$11,"적정",IF(AA69&gt;='추천_테스트'!$B$12,"소신","상향"))))</x:f>
        <x:v>소신</x:v>
      </x:c>
      <x:c r="AC69" s="62"/>
      <x:c r="AD69" s="62"/>
      <x:c r="AE69" s="62"/>
      <x:c r="AF69" s="41" t="str">
        <x:v>A: 공식 70% 평균백분위 제공</x:v>
      </x:c>
      <x:c r="AG69" s="41" t="str">
        <x:v>https://www.adiga.kr/ucp/uvt/uni/univDetailSelection.do?menuId=PCUVTINF2000&amp;searchSyr=2026&amp;unvCd=0000201</x:v>
      </x:c>
    </x:row>
    <x:row r="70">
      <x:c r="A70" s="40" t="n">
        <x:v>2025</x:v>
      </x:c>
      <x:c r="B70" s="40" t="str">
        <x:v>경기도</x:v>
      </x:c>
      <x:c r="C70" s="40" t="str">
        <x:v>사립</x:v>
      </x:c>
      <x:c r="D70" s="40" t="str">
        <x:v>한세대학교</x:v>
      </x:c>
      <x:c r="E70" s="40" t="str">
        <x:v>가</x:v>
      </x:c>
      <x:c r="F70" s="40" t="str">
        <x:v>일반전형</x:v>
      </x:c>
      <x:c r="G70" s="41" t="str">
        <x:v>경영학과</x:v>
      </x:c>
      <x:c r="H70" s="40"/>
      <x:c r="I70" s="40"/>
      <x:c r="J70" s="40" t="n">
        <x:v>11</x:v>
      </x:c>
      <x:c r="K70" s="60" t="n">
        <x:v>6.27</x:v>
      </x:c>
      <x:c r="L70" s="40" t="n">
        <x:v>19</x:v>
      </x:c>
      <x:c r="M70" s="60"/>
      <x:c r="N70" s="60" t="n">
        <x:v>764</x:v>
      </x:c>
      <x:c r="O70" s="60" t="n">
        <x:v>1000</x:v>
      </x:c>
      <x:c r="P70" s="62"/>
      <x:c r="Q70" s="62"/>
      <x:c r="R70" s="62"/>
      <x:c r="S70" s="62"/>
      <x:c r="T70" s="62"/>
      <x:c r="U70" s="62"/>
      <x:c r="V70" s="60" t="n">
        <x:v>77.33</x:v>
      </x:c>
      <x:c r="W70" s="60" t="str">
        <x:f>IF(COUNT(P70:S70)&gt;=3,AVERAGE(P70:S70),"")</x:f>
      </x:c>
      <x:c r="X70" s="60" t="n">
        <x:f>IF(V70&lt;&gt;"",V70,W70)</x:f>
        <x:v>77.33</x:v>
      </x:c>
      <x:c r="Y70" s="40" t="str">
        <x:f>IF(V70&lt;&gt;"","공식 70% 평균백분위",IF(W70&lt;&gt;"","파생 단순평균(참고)","비교불가"))</x:f>
        <x:v>공식 70% 평균백분위</x:v>
      </x:c>
      <x:c r="Z70" s="60" t="n">
        <x:f>'추천_테스트'!$B$8</x:f>
        <x:v>80</x:v>
      </x:c>
      <x:c r="AA70" s="60" t="n">
        <x:f>IF(X70="","",Z70-X70)</x:f>
        <x:v>2.6700000000000017</x:v>
      </x:c>
      <x:c r="AB70" s="40" t="str">
        <x:f>IF(X70="","",IF(AA70&gt;='추천_테스트'!$B$10,"안정",IF(AA70&gt;='추천_테스트'!$B$11,"적정",IF(AA70&gt;='추천_테스트'!$B$12,"소신","상향"))))</x:f>
        <x:v>적정</x:v>
      </x:c>
      <x:c r="AC70" s="62"/>
      <x:c r="AD70" s="62"/>
      <x:c r="AE70" s="62"/>
      <x:c r="AF70" s="41" t="str">
        <x:v>A: 공식 70% 평균백분위 제공</x:v>
      </x:c>
      <x:c r="AG70" s="41" t="str">
        <x:v>https://www.adiga.kr/ucp/uvt/uni/univDetailSelection.do?menuId=PCUVTINF2000&amp;searchSyr=2026&amp;unvCd=0000201</x:v>
      </x:c>
    </x:row>
    <x:row r="71">
      <x:c r="A71" s="40" t="n">
        <x:v>2025</x:v>
      </x:c>
      <x:c r="B71" s="40" t="str">
        <x:v>경기도</x:v>
      </x:c>
      <x:c r="C71" s="40" t="str">
        <x:v>사립</x:v>
      </x:c>
      <x:c r="D71" s="40" t="str">
        <x:v>한세대학교</x:v>
      </x:c>
      <x:c r="E71" s="40" t="str">
        <x:v>가</x:v>
      </x:c>
      <x:c r="F71" s="40" t="str">
        <x:v>일반전형</x:v>
      </x:c>
      <x:c r="G71" s="41" t="str">
        <x:v>관광경영학과</x:v>
      </x:c>
      <x:c r="H71" s="40"/>
      <x:c r="I71" s="40"/>
      <x:c r="J71" s="40" t="n">
        <x:v>5</x:v>
      </x:c>
      <x:c r="K71" s="60" t="n">
        <x:v>6.6</x:v>
      </x:c>
      <x:c r="L71" s="40" t="n">
        <x:v>8</x:v>
      </x:c>
      <x:c r="M71" s="60"/>
      <x:c r="N71" s="60" t="n">
        <x:v>781</x:v>
      </x:c>
      <x:c r="O71" s="60" t="n">
        <x:v>1000</x:v>
      </x:c>
      <x:c r="P71" s="62"/>
      <x:c r="Q71" s="62"/>
      <x:c r="R71" s="62"/>
      <x:c r="S71" s="62"/>
      <x:c r="T71" s="62"/>
      <x:c r="U71" s="62"/>
      <x:c r="V71" s="60" t="n">
        <x:v>77.33</x:v>
      </x:c>
      <x:c r="W71" s="60" t="str">
        <x:f>IF(COUNT(P71:S71)&gt;=3,AVERAGE(P71:S71),"")</x:f>
      </x:c>
      <x:c r="X71" s="60" t="n">
        <x:f>IF(V71&lt;&gt;"",V71,W71)</x:f>
        <x:v>77.33</x:v>
      </x:c>
      <x:c r="Y71" s="40" t="str">
        <x:f>IF(V71&lt;&gt;"","공식 70% 평균백분위",IF(W71&lt;&gt;"","파생 단순평균(참고)","비교불가"))</x:f>
        <x:v>공식 70% 평균백분위</x:v>
      </x:c>
      <x:c r="Z71" s="60" t="n">
        <x:f>'추천_테스트'!$B$8</x:f>
        <x:v>80</x:v>
      </x:c>
      <x:c r="AA71" s="60" t="n">
        <x:f>IF(X71="","",Z71-X71)</x:f>
        <x:v>2.6700000000000017</x:v>
      </x:c>
      <x:c r="AB71" s="40" t="str">
        <x:f>IF(X71="","",IF(AA71&gt;='추천_테스트'!$B$10,"안정",IF(AA71&gt;='추천_테스트'!$B$11,"적정",IF(AA71&gt;='추천_테스트'!$B$12,"소신","상향"))))</x:f>
        <x:v>적정</x:v>
      </x:c>
      <x:c r="AC71" s="62"/>
      <x:c r="AD71" s="62"/>
      <x:c r="AE71" s="62"/>
      <x:c r="AF71" s="41" t="str">
        <x:v>A: 공식 70% 평균백분위 제공</x:v>
      </x:c>
      <x:c r="AG71" s="41" t="str">
        <x:v>https://www.adiga.kr/ucp/uvt/uni/univDetailSelection.do?menuId=PCUVTINF2000&amp;searchSyr=2026&amp;unvCd=0000201</x:v>
      </x:c>
    </x:row>
    <x:row r="72">
      <x:c r="A72" s="40" t="n">
        <x:v>2025</x:v>
      </x:c>
      <x:c r="B72" s="40" t="str">
        <x:v>경기도</x:v>
      </x:c>
      <x:c r="C72" s="40" t="str">
        <x:v>사립</x:v>
      </x:c>
      <x:c r="D72" s="40" t="str">
        <x:v>한세대학교</x:v>
      </x:c>
      <x:c r="E72" s="40" t="str">
        <x:v>가</x:v>
      </x:c>
      <x:c r="F72" s="40" t="str">
        <x:v>일반전형</x:v>
      </x:c>
      <x:c r="G72" s="41" t="str">
        <x:v>경찰행정학과</x:v>
      </x:c>
      <x:c r="H72" s="40"/>
      <x:c r="I72" s="40"/>
      <x:c r="J72" s="40" t="n">
        <x:v>6</x:v>
      </x:c>
      <x:c r="K72" s="60" t="n">
        <x:v>5.5</x:v>
      </x:c>
      <x:c r="L72" s="40" t="n">
        <x:v>9</x:v>
      </x:c>
      <x:c r="M72" s="60"/>
      <x:c r="N72" s="60" t="n">
        <x:v>816.6</x:v>
      </x:c>
      <x:c r="O72" s="60" t="n">
        <x:v>1000</x:v>
      </x:c>
      <x:c r="P72" s="62"/>
      <x:c r="Q72" s="62"/>
      <x:c r="R72" s="62"/>
      <x:c r="S72" s="62"/>
      <x:c r="T72" s="62"/>
      <x:c r="U72" s="62"/>
      <x:c r="V72" s="60" t="n">
        <x:v>80.67</x:v>
      </x:c>
      <x:c r="W72" s="60" t="str">
        <x:f>IF(COUNT(P72:S72)&gt;=3,AVERAGE(P72:S72),"")</x:f>
      </x:c>
      <x:c r="X72" s="60" t="n">
        <x:f>IF(V72&lt;&gt;"",V72,W72)</x:f>
        <x:v>80.67</x:v>
      </x:c>
      <x:c r="Y72" s="40" t="str">
        <x:f>IF(V72&lt;&gt;"","공식 70% 평균백분위",IF(W72&lt;&gt;"","파생 단순평균(참고)","비교불가"))</x:f>
        <x:v>공식 70% 평균백분위</x:v>
      </x:c>
      <x:c r="Z72" s="60" t="n">
        <x:f>'추천_테스트'!$B$8</x:f>
        <x:v>80</x:v>
      </x:c>
      <x:c r="AA72" s="60" t="n">
        <x:f>IF(X72="","",Z72-X72)</x:f>
        <x:v>-0.6700000000000017</x:v>
      </x:c>
      <x:c r="AB72" s="40" t="str">
        <x:f>IF(X72="","",IF(AA72&gt;='추천_테스트'!$B$10,"안정",IF(AA72&gt;='추천_테스트'!$B$11,"적정",IF(AA72&gt;='추천_테스트'!$B$12,"소신","상향"))))</x:f>
        <x:v>소신</x:v>
      </x:c>
      <x:c r="AC72" s="62"/>
      <x:c r="AD72" s="62"/>
      <x:c r="AE72" s="62"/>
      <x:c r="AF72" s="41" t="str">
        <x:v>A: 공식 70% 평균백분위 제공</x:v>
      </x:c>
      <x:c r="AG72" s="41" t="str">
        <x:v>https://www.adiga.kr/ucp/uvt/uni/univDetailSelection.do?menuId=PCUVTINF2000&amp;searchSyr=2026&amp;unvCd=0000201</x:v>
      </x:c>
    </x:row>
    <x:row r="73">
      <x:c r="A73" s="40" t="n">
        <x:v>2025</x:v>
      </x:c>
      <x:c r="B73" s="40" t="str">
        <x:v>경기도</x:v>
      </x:c>
      <x:c r="C73" s="40" t="str">
        <x:v>사립</x:v>
      </x:c>
      <x:c r="D73" s="40" t="str">
        <x:v>한세대학교</x:v>
      </x:c>
      <x:c r="E73" s="40" t="str">
        <x:v>가</x:v>
      </x:c>
      <x:c r="F73" s="40" t="str">
        <x:v>일반전형</x:v>
      </x:c>
      <x:c r="G73" s="41" t="str">
        <x:v>사회복지학과</x:v>
      </x:c>
      <x:c r="H73" s="40"/>
      <x:c r="I73" s="40"/>
      <x:c r="J73" s="40" t="n">
        <x:v>6</x:v>
      </x:c>
      <x:c r="K73" s="60" t="n">
        <x:v>15</x:v>
      </x:c>
      <x:c r="L73" s="40" t="n">
        <x:v>5</x:v>
      </x:c>
      <x:c r="M73" s="60"/>
      <x:c r="N73" s="60" t="n">
        <x:v>773.8</x:v>
      </x:c>
      <x:c r="O73" s="60" t="n">
        <x:v>1000</x:v>
      </x:c>
      <x:c r="P73" s="62"/>
      <x:c r="Q73" s="62"/>
      <x:c r="R73" s="62"/>
      <x:c r="S73" s="62"/>
      <x:c r="T73" s="62"/>
      <x:c r="U73" s="62"/>
      <x:c r="V73" s="60" t="n">
        <x:v>75</x:v>
      </x:c>
      <x:c r="W73" s="60" t="str">
        <x:f>IF(COUNT(P73:S73)&gt;=3,AVERAGE(P73:S73),"")</x:f>
      </x:c>
      <x:c r="X73" s="60" t="n">
        <x:f>IF(V73&lt;&gt;"",V73,W73)</x:f>
        <x:v>75</x:v>
      </x:c>
      <x:c r="Y73" s="40" t="str">
        <x:f>IF(V73&lt;&gt;"","공식 70% 평균백분위",IF(W73&lt;&gt;"","파생 단순평균(참고)","비교불가"))</x:f>
        <x:v>공식 70% 평균백분위</x:v>
      </x:c>
      <x:c r="Z73" s="60" t="n">
        <x:f>'추천_테스트'!$B$8</x:f>
        <x:v>80</x:v>
      </x:c>
      <x:c r="AA73" s="60" t="n">
        <x:f>IF(X73="","",Z73-X73)</x:f>
        <x:v>5</x:v>
      </x:c>
      <x:c r="AB73" s="40" t="str">
        <x:f>IF(X73="","",IF(AA73&gt;='추천_테스트'!$B$10,"안정",IF(AA73&gt;='추천_테스트'!$B$11,"적정",IF(AA73&gt;='추천_테스트'!$B$12,"소신","상향"))))</x:f>
        <x:v>안정</x:v>
      </x:c>
      <x:c r="AC73" s="62"/>
      <x:c r="AD73" s="62"/>
      <x:c r="AE73" s="62"/>
      <x:c r="AF73" s="41" t="str">
        <x:v>A: 공식 70% 평균백분위 제공</x:v>
      </x:c>
      <x:c r="AG73" s="41" t="str">
        <x:v>https://www.adiga.kr/ucp/uvt/uni/univDetailSelection.do?menuId=PCUVTINF2000&amp;searchSyr=2026&amp;unvCd=0000201</x:v>
      </x:c>
    </x:row>
    <x:row r="74">
      <x:c r="A74" s="40" t="n">
        <x:v>2025</x:v>
      </x:c>
      <x:c r="B74" s="40" t="str">
        <x:v>경기도</x:v>
      </x:c>
      <x:c r="C74" s="40" t="str">
        <x:v>사립</x:v>
      </x:c>
      <x:c r="D74" s="40" t="str">
        <x:v>한세대학교</x:v>
      </x:c>
      <x:c r="E74" s="40" t="str">
        <x:v>가</x:v>
      </x:c>
      <x:c r="F74" s="40" t="str">
        <x:v>일반전형</x:v>
      </x:c>
      <x:c r="G74" s="41" t="str">
        <x:v>영어학과</x:v>
      </x:c>
      <x:c r="H74" s="40"/>
      <x:c r="I74" s="40"/>
      <x:c r="J74" s="40" t="n">
        <x:v>4</x:v>
      </x:c>
      <x:c r="K74" s="60" t="n">
        <x:v>5.5</x:v>
      </x:c>
      <x:c r="L74" s="40" t="n">
        <x:v>14</x:v>
      </x:c>
      <x:c r="M74" s="60"/>
      <x:c r="N74" s="60" t="n">
        <x:v>759</x:v>
      </x:c>
      <x:c r="O74" s="60" t="n">
        <x:v>1000</x:v>
      </x:c>
      <x:c r="P74" s="62"/>
      <x:c r="Q74" s="62"/>
      <x:c r="R74" s="62"/>
      <x:c r="S74" s="62"/>
      <x:c r="T74" s="62"/>
      <x:c r="U74" s="62"/>
      <x:c r="V74" s="60" t="n">
        <x:v>73</x:v>
      </x:c>
      <x:c r="W74" s="60" t="str">
        <x:f>IF(COUNT(P74:S74)&gt;=3,AVERAGE(P74:S74),"")</x:f>
      </x:c>
      <x:c r="X74" s="60" t="n">
        <x:f>IF(V74&lt;&gt;"",V74,W74)</x:f>
        <x:v>73</x:v>
      </x:c>
      <x:c r="Y74" s="40" t="str">
        <x:f>IF(V74&lt;&gt;"","공식 70% 평균백분위",IF(W74&lt;&gt;"","파생 단순평균(참고)","비교불가"))</x:f>
        <x:v>공식 70% 평균백분위</x:v>
      </x:c>
      <x:c r="Z74" s="60" t="n">
        <x:f>'추천_테스트'!$B$8</x:f>
        <x:v>80</x:v>
      </x:c>
      <x:c r="AA74" s="60" t="n">
        <x:f>IF(X74="","",Z74-X74)</x:f>
        <x:v>7</x:v>
      </x:c>
      <x:c r="AB74" s="40" t="str">
        <x:f>IF(X74="","",IF(AA74&gt;='추천_테스트'!$B$10,"안정",IF(AA74&gt;='추천_테스트'!$B$11,"적정",IF(AA74&gt;='추천_테스트'!$B$12,"소신","상향"))))</x:f>
        <x:v>안정</x:v>
      </x:c>
      <x:c r="AC74" s="62"/>
      <x:c r="AD74" s="62"/>
      <x:c r="AE74" s="62"/>
      <x:c r="AF74" s="41" t="str">
        <x:v>A: 공식 70% 평균백분위 제공</x:v>
      </x:c>
      <x:c r="AG74" s="41" t="str">
        <x:v>https://www.adiga.kr/ucp/uvt/uni/univDetailSelection.do?menuId=PCUVTINF2000&amp;searchSyr=2026&amp;unvCd=0000201</x:v>
      </x:c>
    </x:row>
    <x:row r="75">
      <x:c r="A75" s="40" t="n">
        <x:v>2025</x:v>
      </x:c>
      <x:c r="B75" s="40" t="str">
        <x:v>경기도</x:v>
      </x:c>
      <x:c r="C75" s="40" t="str">
        <x:v>사립</x:v>
      </x:c>
      <x:c r="D75" s="40" t="str">
        <x:v>한세대학교</x:v>
      </x:c>
      <x:c r="E75" s="40" t="str">
        <x:v>가</x:v>
      </x:c>
      <x:c r="F75" s="40" t="str">
        <x:v>일반전형</x:v>
      </x:c>
      <x:c r="G75" s="41" t="str">
        <x:v>중국어학과</x:v>
      </x:c>
      <x:c r="H75" s="40"/>
      <x:c r="I75" s="40"/>
      <x:c r="J75" s="40" t="n">
        <x:v>5</x:v>
      </x:c>
      <x:c r="K75" s="60" t="n">
        <x:v>6.4</x:v>
      </x:c>
      <x:c r="L75" s="40" t="n">
        <x:v>4</x:v>
      </x:c>
      <x:c r="M75" s="60"/>
      <x:c r="N75" s="60" t="n">
        <x:v>785</x:v>
      </x:c>
      <x:c r="O75" s="60" t="n">
        <x:v>1000</x:v>
      </x:c>
      <x:c r="P75" s="62"/>
      <x:c r="Q75" s="62"/>
      <x:c r="R75" s="62"/>
      <x:c r="S75" s="62"/>
      <x:c r="T75" s="62"/>
      <x:c r="U75" s="62"/>
      <x:c r="V75" s="60" t="n">
        <x:v>77.33</x:v>
      </x:c>
      <x:c r="W75" s="60" t="str">
        <x:f>IF(COUNT(P75:S75)&gt;=3,AVERAGE(P75:S75),"")</x:f>
      </x:c>
      <x:c r="X75" s="60" t="n">
        <x:f>IF(V75&lt;&gt;"",V75,W75)</x:f>
        <x:v>77.33</x:v>
      </x:c>
      <x:c r="Y75" s="40" t="str">
        <x:f>IF(V75&lt;&gt;"","공식 70% 평균백분위",IF(W75&lt;&gt;"","파생 단순평균(참고)","비교불가"))</x:f>
        <x:v>공식 70% 평균백분위</x:v>
      </x:c>
      <x:c r="Z75" s="60" t="n">
        <x:f>'추천_테스트'!$B$8</x:f>
        <x:v>80</x:v>
      </x:c>
      <x:c r="AA75" s="60" t="n">
        <x:f>IF(X75="","",Z75-X75)</x:f>
        <x:v>2.6700000000000017</x:v>
      </x:c>
      <x:c r="AB75" s="40" t="str">
        <x:f>IF(X75="","",IF(AA75&gt;='추천_테스트'!$B$10,"안정",IF(AA75&gt;='추천_테스트'!$B$11,"적정",IF(AA75&gt;='추천_테스트'!$B$12,"소신","상향"))))</x:f>
        <x:v>적정</x:v>
      </x:c>
      <x:c r="AC75" s="62"/>
      <x:c r="AD75" s="62"/>
      <x:c r="AE75" s="62"/>
      <x:c r="AF75" s="41" t="str">
        <x:v>A: 공식 70% 평균백분위 제공</x:v>
      </x:c>
      <x:c r="AG75" s="41" t="str">
        <x:v>https://www.adiga.kr/ucp/uvt/uni/univDetailSelection.do?menuId=PCUVTINF2000&amp;searchSyr=2026&amp;unvCd=0000201</x:v>
      </x:c>
    </x:row>
    <x:row r="76">
      <x:c r="A76" s="40" t="n">
        <x:v>2025</x:v>
      </x:c>
      <x:c r="B76" s="40" t="str">
        <x:v>경기도</x:v>
      </x:c>
      <x:c r="C76" s="40" t="str">
        <x:v>사립</x:v>
      </x:c>
      <x:c r="D76" s="40" t="str">
        <x:v>한세대학교</x:v>
      </x:c>
      <x:c r="E76" s="40" t="str">
        <x:v>가</x:v>
      </x:c>
      <x:c r="F76" s="40" t="str">
        <x:v>일반전형</x:v>
      </x:c>
      <x:c r="G76" s="41" t="str">
        <x:v>IT학부</x:v>
      </x:c>
      <x:c r="H76" s="40"/>
      <x:c r="I76" s="40"/>
      <x:c r="J76" s="40" t="n">
        <x:v>15</x:v>
      </x:c>
      <x:c r="K76" s="60" t="n">
        <x:v>4.33</x:v>
      </x:c>
      <x:c r="L76" s="40" t="n">
        <x:v>16</x:v>
      </x:c>
      <x:c r="M76" s="60"/>
      <x:c r="N76" s="60" t="n">
        <x:v>789</x:v>
      </x:c>
      <x:c r="O76" s="60" t="n">
        <x:v>1000</x:v>
      </x:c>
      <x:c r="P76" s="62"/>
      <x:c r="Q76" s="62"/>
      <x:c r="R76" s="62"/>
      <x:c r="S76" s="62"/>
      <x:c r="T76" s="62"/>
      <x:c r="U76" s="62"/>
      <x:c r="V76" s="60" t="n">
        <x:v>80</x:v>
      </x:c>
      <x:c r="W76" s="60" t="str">
        <x:f>IF(COUNT(P76:S76)&gt;=3,AVERAGE(P76:S76),"")</x:f>
      </x:c>
      <x:c r="X76" s="60" t="n">
        <x:f>IF(V76&lt;&gt;"",V76,W76)</x:f>
        <x:v>80</x:v>
      </x:c>
      <x:c r="Y76" s="40" t="str">
        <x:f>IF(V76&lt;&gt;"","공식 70% 평균백분위",IF(W76&lt;&gt;"","파생 단순평균(참고)","비교불가"))</x:f>
        <x:v>공식 70% 평균백분위</x:v>
      </x:c>
      <x:c r="Z76" s="60" t="n">
        <x:f>'추천_테스트'!$B$8</x:f>
        <x:v>80</x:v>
      </x:c>
      <x:c r="AA76" s="60" t="n">
        <x:f>IF(X76="","",Z76-X76)</x:f>
        <x:v>0</x:v>
      </x:c>
      <x:c r="AB76" s="40" t="str">
        <x:f>IF(X76="","",IF(AA76&gt;='추천_테스트'!$B$10,"안정",IF(AA76&gt;='추천_테스트'!$B$11,"적정",IF(AA76&gt;='추천_테스트'!$B$12,"소신","상향"))))</x:f>
        <x:v>소신</x:v>
      </x:c>
      <x:c r="AC76" s="62"/>
      <x:c r="AD76" s="62"/>
      <x:c r="AE76" s="62"/>
      <x:c r="AF76" s="41" t="str">
        <x:v>A: 공식 70% 평균백분위 제공</x:v>
      </x:c>
      <x:c r="AG76" s="41" t="str">
        <x:v>https://www.adiga.kr/ucp/uvt/uni/univDetailSelection.do?menuId=PCUVTINF2000&amp;searchSyr=2026&amp;unvCd=0000201</x:v>
      </x:c>
    </x:row>
    <x:row r="77">
      <x:c r="A77" s="40" t="n">
        <x:v>2025</x:v>
      </x:c>
      <x:c r="B77" s="40" t="str">
        <x:v>경기도</x:v>
      </x:c>
      <x:c r="C77" s="40" t="str">
        <x:v>사립</x:v>
      </x:c>
      <x:c r="D77" s="40" t="str">
        <x:v>한세대학교</x:v>
      </x:c>
      <x:c r="E77" s="40" t="str">
        <x:v>가</x:v>
      </x:c>
      <x:c r="F77" s="40" t="str">
        <x:v>일반전형</x:v>
      </x:c>
      <x:c r="G77" s="41" t="str">
        <x:v>간호학과</x:v>
      </x:c>
      <x:c r="H77" s="40"/>
      <x:c r="I77" s="40"/>
      <x:c r="J77" s="40" t="n">
        <x:v>13</x:v>
      </x:c>
      <x:c r="K77" s="60" t="n">
        <x:v>4.23</x:v>
      </x:c>
      <x:c r="L77" s="40" t="n">
        <x:v>19</x:v>
      </x:c>
      <x:c r="M77" s="60"/>
      <x:c r="N77" s="60" t="n">
        <x:v>837</x:v>
      </x:c>
      <x:c r="O77" s="60" t="n">
        <x:v>1000</x:v>
      </x:c>
      <x:c r="P77" s="62"/>
      <x:c r="Q77" s="62"/>
      <x:c r="R77" s="62"/>
      <x:c r="S77" s="62"/>
      <x:c r="T77" s="62"/>
      <x:c r="U77" s="62"/>
      <x:c r="V77" s="60" t="n">
        <x:v>84.33</x:v>
      </x:c>
      <x:c r="W77" s="60" t="str">
        <x:f>IF(COUNT(P77:S77)&gt;=3,AVERAGE(P77:S77),"")</x:f>
      </x:c>
      <x:c r="X77" s="60" t="n">
        <x:f>IF(V77&lt;&gt;"",V77,W77)</x:f>
        <x:v>84.33</x:v>
      </x:c>
      <x:c r="Y77" s="40" t="str">
        <x:f>IF(V77&lt;&gt;"","공식 70% 평균백분위",IF(W77&lt;&gt;"","파생 단순평균(참고)","비교불가"))</x:f>
        <x:v>공식 70% 평균백분위</x:v>
      </x:c>
      <x:c r="Z77" s="60" t="n">
        <x:f>'추천_테스트'!$B$8</x:f>
        <x:v>80</x:v>
      </x:c>
      <x:c r="AA77" s="60" t="n">
        <x:f>IF(X77="","",Z77-X77)</x:f>
        <x:v>-4.329999999999998</x:v>
      </x:c>
      <x:c r="AB77" s="40" t="str">
        <x:f>IF(X77="","",IF(AA77&gt;='추천_테스트'!$B$10,"안정",IF(AA77&gt;='추천_테스트'!$B$11,"적정",IF(AA77&gt;='추천_테스트'!$B$12,"소신","상향"))))</x:f>
        <x:v>상향</x:v>
      </x:c>
      <x:c r="AC77" s="62"/>
      <x:c r="AD77" s="62"/>
      <x:c r="AE77" s="62"/>
      <x:c r="AF77" s="41" t="str">
        <x:v>A: 공식 70% 평균백분위 제공</x:v>
      </x:c>
      <x:c r="AG77" s="41" t="str">
        <x:v>https://www.adiga.kr/ucp/uvt/uni/univDetailSelection.do?menuId=PCUVTINF2000&amp;searchSyr=2026&amp;unvCd=0000201</x:v>
      </x:c>
    </x:row>
    <x:row r="78">
      <x:c r="A78" s="40" t="n">
        <x:v>2025</x:v>
      </x:c>
      <x:c r="B78" s="40" t="str">
        <x:v>경기도</x:v>
      </x:c>
      <x:c r="C78" s="40" t="str">
        <x:v>사립</x:v>
      </x:c>
      <x:c r="D78" s="40" t="str">
        <x:v>한세대학교</x:v>
      </x:c>
      <x:c r="E78" s="40" t="str">
        <x:v>가</x:v>
      </x:c>
      <x:c r="F78" s="40" t="str">
        <x:v>일반전형</x:v>
      </x:c>
      <x:c r="G78" s="41" t="str">
        <x:v>디자인학부</x:v>
      </x:c>
      <x:c r="H78" s="40"/>
      <x:c r="I78" s="40"/>
      <x:c r="J78" s="40" t="n">
        <x:v>30</x:v>
      </x:c>
      <x:c r="K78" s="60" t="n">
        <x:v>4.67</x:v>
      </x:c>
      <x:c r="L78" s="40" t="n">
        <x:v>27</x:v>
      </x:c>
      <x:c r="M78" s="60"/>
      <x:c r="N78" s="60" t="n">
        <x:v>762</x:v>
      </x:c>
      <x:c r="O78" s="60" t="n">
        <x:v>1000</x:v>
      </x:c>
      <x:c r="P78" s="62"/>
      <x:c r="Q78" s="62"/>
      <x:c r="R78" s="62"/>
      <x:c r="S78" s="62"/>
      <x:c r="T78" s="62"/>
      <x:c r="U78" s="62"/>
      <x:c r="V78" s="60" t="n">
        <x:v>76.33</x:v>
      </x:c>
      <x:c r="W78" s="60" t="str">
        <x:f>IF(COUNT(P78:S78)&gt;=3,AVERAGE(P78:S78),"")</x:f>
      </x:c>
      <x:c r="X78" s="60" t="n">
        <x:f>IF(V78&lt;&gt;"",V78,W78)</x:f>
        <x:v>76.33</x:v>
      </x:c>
      <x:c r="Y78" s="40" t="str">
        <x:f>IF(V78&lt;&gt;"","공식 70% 평균백분위",IF(W78&lt;&gt;"","파생 단순평균(참고)","비교불가"))</x:f>
        <x:v>공식 70% 평균백분위</x:v>
      </x:c>
      <x:c r="Z78" s="60" t="n">
        <x:f>'추천_테스트'!$B$8</x:f>
        <x:v>80</x:v>
      </x:c>
      <x:c r="AA78" s="60" t="n">
        <x:f>IF(X78="","",Z78-X78)</x:f>
        <x:v>3.6700000000000017</x:v>
      </x:c>
      <x:c r="AB78" s="40" t="str">
        <x:f>IF(X78="","",IF(AA78&gt;='추천_테스트'!$B$10,"안정",IF(AA78&gt;='추천_테스트'!$B$11,"적정",IF(AA78&gt;='추천_테스트'!$B$12,"소신","상향"))))</x:f>
        <x:v>적정</x:v>
      </x:c>
      <x:c r="AC78" s="62"/>
      <x:c r="AD78" s="62"/>
      <x:c r="AE78" s="62"/>
      <x:c r="AF78" s="41" t="str">
        <x:v>A: 공식 70% 평균백분위 제공</x:v>
      </x:c>
      <x:c r="AG78" s="41" t="str">
        <x:v>https://www.adiga.kr/ucp/uvt/uni/univDetailSelection.do?menuId=PCUVTINF2000&amp;searchSyr=2026&amp;unvCd=0000201</x:v>
      </x:c>
    </x:row>
    <x:row r="79">
      <x:c r="A79" s="40" t="n">
        <x:v>2025</x:v>
      </x:c>
      <x:c r="B79" s="40" t="str">
        <x:v>강원특별자치도</x:v>
      </x:c>
      <x:c r="C79" s="40" t="str">
        <x:v>국립</x:v>
      </x:c>
      <x:c r="D79" s="40" t="str">
        <x:v>춘천교육대학교</x:v>
      </x:c>
      <x:c r="E79" s="40" t="str">
        <x:v>나</x:v>
      </x:c>
      <x:c r="F79" s="40" t="str">
        <x:v>(수능)일반학생</x:v>
      </x:c>
      <x:c r="G79" s="41" t="str">
        <x:v>초등교육과</x:v>
      </x:c>
      <x:c r="H79" s="40" t="n">
        <x:v>116</x:v>
      </x:c>
      <x:c r="I79" s="40" t="n">
        <x:v>55</x:v>
      </x:c>
      <x:c r="J79" s="40" t="n">
        <x:v>171</x:v>
      </x:c>
      <x:c r="K79" s="60" t="n">
        <x:v>2.5</x:v>
      </x:c>
      <x:c r="L79" s="40" t="n">
        <x:v>74</x:v>
      </x:c>
      <x:c r="M79" s="60" t="n">
        <x:v>460.8</x:v>
      </x:c>
      <x:c r="N79" s="60" t="n">
        <x:v>451</x:v>
      </x:c>
      <x:c r="O79" s="60" t="n">
        <x:v>700</x:v>
      </x:c>
      <x:c r="P79" s="62" t="n">
        <x:v>75</x:v>
      </x:c>
      <x:c r="Q79" s="62" t="n">
        <x:v>66</x:v>
      </x:c>
      <x:c r="R79" s="62" t="n">
        <x:v>72</x:v>
      </x:c>
      <x:c r="S79" s="62" t="n">
        <x:v>73</x:v>
      </x:c>
      <x:c r="T79" s="62" t="n">
        <x:v>3</x:v>
      </x:c>
      <x:c r="U79" s="62" t="n">
        <x:v>2</x:v>
      </x:c>
      <x:c r="V79" s="60"/>
      <x:c r="W79" s="60" t="n">
        <x:f>IF(COUNT(P79:S79)&gt;=3,AVERAGE(P79:S79),"")</x:f>
        <x:v>71.5</x:v>
      </x:c>
      <x:c r="X79" s="60" t="n">
        <x:f>IF(V79&lt;&gt;"",V79,W79)</x:f>
        <x:v>71.5</x:v>
      </x:c>
      <x:c r="Y79" s="40" t="str">
        <x:f>IF(V79&lt;&gt;"","공식 70% 평균백분위",IF(W79&lt;&gt;"","파생 단순평균(참고)","비교불가"))</x:f>
        <x:v>파생 단순평균(참고)</x:v>
      </x:c>
      <x:c r="Z79" s="60" t="n">
        <x:f>'추천_테스트'!$B$8</x:f>
        <x:v>80</x:v>
      </x:c>
      <x:c r="AA79" s="60" t="n">
        <x:f>IF(X79="","",Z79-X79)</x:f>
        <x:v>8.5</x:v>
      </x:c>
      <x:c r="AB79" s="40" t="str">
        <x:f>IF(X79="","",IF(AA79&gt;='추천_테스트'!$B$10,"안정",IF(AA79&gt;='추천_테스트'!$B$11,"적정",IF(AA79&gt;='추천_테스트'!$B$12,"소신","상향"))))</x:f>
        <x:v>안정</x:v>
      </x:c>
      <x:c r="AC79" s="62" t="n">
        <x:v>53.8</x:v>
      </x:c>
      <x:c r="AD79" s="62" t="n">
        <x:v>42.7</x:v>
      </x:c>
      <x:c r="AE79" s="62" t="n">
        <x:v>3.5</x:v>
      </x:c>
      <x:c r="AF79" s="41" t="str">
        <x:v>B: 공식 과목별 70% 백분위 → 단순평균 파생</x:v>
      </x:c>
      <x:c r="AG79" s="41" t="str">
        <x:v>https://www.adiga.kr/ucp/uvt/uni/univDetailSelection.do?menuId=PCUVTINF2000&amp;searchSyr=2026&amp;unvCd=0000262</x:v>
      </x:c>
    </x:row>
    <x:row r="80">
      <x:c r="A80" s="40" t="n">
        <x:v>2025</x:v>
      </x:c>
      <x:c r="B80" s="40" t="str">
        <x:v>광주광역시</x:v>
      </x:c>
      <x:c r="C80" s="40" t="str">
        <x:v>국립</x:v>
      </x:c>
      <x:c r="D80" s="40" t="str">
        <x:v>광주교육대학교</x:v>
      </x:c>
      <x:c r="E80" s="40" t="str">
        <x:v>나</x:v>
      </x:c>
      <x:c r="F80" s="40" t="str">
        <x:v>수능위주(일반전형)</x:v>
      </x:c>
      <x:c r="G80" s="41" t="str">
        <x:v>초등교육과</x:v>
      </x:c>
      <x:c r="H80" s="40" t="n">
        <x:v>95</x:v>
      </x:c>
      <x:c r="I80" s="40" t="n">
        <x:v>10</x:v>
      </x:c>
      <x:c r="J80" s="40" t="n">
        <x:v>105</x:v>
      </x:c>
      <x:c r="K80" s="60" t="n">
        <x:v>2.66</x:v>
      </x:c>
      <x:c r="L80" s="40" t="n">
        <x:v>58</x:v>
      </x:c>
      <x:c r="M80" s="60" t="n">
        <x:v>830.25</x:v>
      </x:c>
      <x:c r="N80" s="60" t="n">
        <x:v>800.25</x:v>
      </x:c>
      <x:c r="O80" s="60" t="n">
        <x:v>1000</x:v>
      </x:c>
      <x:c r="P80" s="62" t="n">
        <x:v>70</x:v>
      </x:c>
      <x:c r="Q80" s="62" t="n">
        <x:v>78</x:v>
      </x:c>
      <x:c r="R80" s="62" t="n">
        <x:v>80</x:v>
      </x:c>
      <x:c r="S80" s="62" t="n">
        <x:v>79</x:v>
      </x:c>
      <x:c r="T80" s="62" t="n">
        <x:v>3</x:v>
      </x:c>
      <x:c r="U80" s="62" t="n">
        <x:v>3</x:v>
      </x:c>
      <x:c r="V80" s="60"/>
      <x:c r="W80" s="60" t="n">
        <x:f>IF(COUNT(P80:S80)&gt;=3,AVERAGE(P80:S80),"")</x:f>
        <x:v>76.75</x:v>
      </x:c>
      <x:c r="X80" s="60" t="n">
        <x:f>IF(V80&lt;&gt;"",V80,W80)</x:f>
        <x:v>76.75</x:v>
      </x:c>
      <x:c r="Y80" s="40" t="str">
        <x:f>IF(V80&lt;&gt;"","공식 70% 평균백분위",IF(W80&lt;&gt;"","파생 단순평균(참고)","비교불가"))</x:f>
        <x:v>파생 단순평균(참고)</x:v>
      </x:c>
      <x:c r="Z80" s="60" t="n">
        <x:f>'추천_테스트'!$B$8</x:f>
        <x:v>80</x:v>
      </x:c>
      <x:c r="AA80" s="60" t="n">
        <x:f>IF(X80="","",Z80-X80)</x:f>
        <x:v>3.25</x:v>
      </x:c>
      <x:c r="AB80" s="40" t="str">
        <x:f>IF(X80="","",IF(AA80&gt;='추천_테스트'!$B$10,"안정",IF(AA80&gt;='추천_테스트'!$B$11,"적정",IF(AA80&gt;='추천_테스트'!$B$12,"소신","상향"))))</x:f>
        <x:v>적정</x:v>
      </x:c>
      <x:c r="AC80" s="62" t="n">
        <x:v>44.2</x:v>
      </x:c>
      <x:c r="AD80" s="62" t="n">
        <x:v>51</x:v>
      </x:c>
      <x:c r="AE80" s="62" t="n">
        <x:v>4.8</x:v>
      </x:c>
      <x:c r="AF80" s="41" t="str">
        <x:v>B: 공식 과목별 70% 백분위 → 단순평균 파생</x:v>
      </x:c>
      <x:c r="AG80" s="41" t="str">
        <x:v>https://www.adiga.kr/ucp/uvt/uni/univDetailSelection.do?menuId=PCUVTINF2000&amp;searchSyr=2026&amp;unvCd=0000252</x:v>
      </x:c>
    </x:row>
    <x:row r="81">
      <x:c r="A81" s="40" t="n">
        <x:v>2025</x:v>
      </x:c>
      <x:c r="B81" s="40" t="str">
        <x:v>인천광역시</x:v>
      </x:c>
      <x:c r="C81" s="40" t="str">
        <x:v>사립</x:v>
      </x:c>
      <x:c r="D81" s="40" t="str">
        <x:v>인하대학교</x:v>
      </x:c>
      <x:c r="E81" s="40" t="str">
        <x:v>가</x:v>
      </x:c>
      <x:c r="F81" s="40" t="str">
        <x:v>일반전형</x:v>
      </x:c>
      <x:c r="G81" s="41" t="str">
        <x:v>조선해양공학과</x:v>
      </x:c>
      <x:c r="H81" s="40" t="n">
        <x:v>7</x:v>
      </x:c>
      <x:c r="I81" s="40" t="n">
        <x:v>0</x:v>
      </x:c>
      <x:c r="J81" s="40" t="n">
        <x:v>7</x:v>
      </x:c>
      <x:c r="K81" s="60" t="n">
        <x:v>6</x:v>
      </x:c>
      <x:c r="L81" s="40" t="n">
        <x:v>3</x:v>
      </x:c>
      <x:c r="M81" s="60" t="n">
        <x:v>890.8</x:v>
      </x:c>
      <x:c r="N81" s="60" t="n">
        <x:v>890.6</x:v>
      </x:c>
      <x:c r="O81" s="60" t="n">
        <x:v>1000</x:v>
      </x:c>
      <x:c r="P81" s="62" t="n">
        <x:v>72</x:v>
      </x:c>
      <x:c r="Q81" s="62" t="n">
        <x:v>81</x:v>
      </x:c>
      <x:c r="R81" s="62" t="n">
        <x:v>90</x:v>
      </x:c>
      <x:c r="S81" s="62" t="n">
        <x:v>97</x:v>
      </x:c>
      <x:c r="T81" s="62" t="n">
        <x:v>2</x:v>
      </x:c>
      <x:c r="U81" s="62" t="n">
        <x:v>1</x:v>
      </x:c>
      <x:c r="V81" s="60"/>
      <x:c r="W81" s="60" t="n">
        <x:f>IF(COUNT(P81:S81)&gt;=3,AVERAGE(P81:S81),"")</x:f>
        <x:v>85</x:v>
      </x:c>
      <x:c r="X81" s="60" t="n">
        <x:f>IF(V81&lt;&gt;"",V81,W81)</x:f>
        <x:v>85</x:v>
      </x:c>
      <x:c r="Y81" s="40" t="str">
        <x:f>IF(V81&lt;&gt;"","공식 70% 평균백분위",IF(W81&lt;&gt;"","파생 단순평균(참고)","비교불가"))</x:f>
        <x:v>파생 단순평균(참고)</x:v>
      </x:c>
      <x:c r="Z81" s="60" t="n">
        <x:f>'추천_테스트'!$B$8</x:f>
        <x:v>80</x:v>
      </x:c>
      <x:c r="AA81" s="60" t="n">
        <x:f>IF(X81="","",Z81-X81)</x:f>
        <x:v>-5</x:v>
      </x:c>
      <x:c r="AB81" s="40" t="str">
        <x:f>IF(X81="","",IF(AA81&gt;='추천_테스트'!$B$10,"안정",IF(AA81&gt;='추천_테스트'!$B$11,"적정",IF(AA81&gt;='추천_테스트'!$B$12,"소신","상향"))))</x:f>
        <x:v>상향</x:v>
      </x:c>
      <x:c r="AC81" s="62"/>
      <x:c r="AD81" s="62" t="n">
        <x:v>71</x:v>
      </x:c>
      <x:c r="AE81" s="62" t="n">
        <x:v>29</x:v>
      </x:c>
      <x:c r="AF81" s="41" t="str">
        <x:v>B: 공식 과목별 70% 백분위 → 단순평균 파생</x:v>
      </x:c>
      <x:c r="AG81" s="41" t="str">
        <x:v>https://www.adiga.kr/ucp/uvt/uni/univDetailSelection.do?menuId=PCUVTINF2000&amp;searchSyr=2026&amp;unvCd=0000169</x:v>
      </x:c>
    </x:row>
    <x:row r="82">
      <x:c r="A82" s="40" t="n">
        <x:v>2025</x:v>
      </x:c>
      <x:c r="B82" s="40" t="str">
        <x:v>인천광역시</x:v>
      </x:c>
      <x:c r="C82" s="40" t="str">
        <x:v>사립</x:v>
      </x:c>
      <x:c r="D82" s="40" t="str">
        <x:v>인하대학교</x:v>
      </x:c>
      <x:c r="E82" s="40" t="str">
        <x:v>가</x:v>
      </x:c>
      <x:c r="F82" s="40" t="str">
        <x:v>일반전형</x:v>
      </x:c>
      <x:c r="G82" s="41" t="str">
        <x:v>산업경영공학과</x:v>
      </x:c>
      <x:c r="H82" s="40" t="n">
        <x:v>5</x:v>
      </x:c>
      <x:c r="I82" s="40" t="n">
        <x:v>0</x:v>
      </x:c>
      <x:c r="J82" s="40" t="n">
        <x:v>5</x:v>
      </x:c>
      <x:c r="K82" s="60" t="n">
        <x:v>6.2</x:v>
      </x:c>
      <x:c r="L82" s="40" t="n">
        <x:v>5</x:v>
      </x:c>
      <x:c r="M82" s="60" t="n">
        <x:v>891.7</x:v>
      </x:c>
      <x:c r="N82" s="60" t="n">
        <x:v>891.3</x:v>
      </x:c>
      <x:c r="O82" s="60" t="n">
        <x:v>1000</x:v>
      </x:c>
      <x:c r="P82" s="62" t="n">
        <x:v>82</x:v>
      </x:c>
      <x:c r="Q82" s="62" t="n">
        <x:v>87</x:v>
      </x:c>
      <x:c r="R82" s="62" t="n">
        <x:v>81</x:v>
      </x:c>
      <x:c r="S82" s="62" t="n">
        <x:v>83</x:v>
      </x:c>
      <x:c r="T82" s="62" t="n">
        <x:v>3</x:v>
      </x:c>
      <x:c r="U82" s="62" t="n">
        <x:v>3</x:v>
      </x:c>
      <x:c r="V82" s="60"/>
      <x:c r="W82" s="60" t="n">
        <x:f>IF(COUNT(P82:S82)&gt;=3,AVERAGE(P82:S82),"")</x:f>
        <x:v>83.25</x:v>
      </x:c>
      <x:c r="X82" s="60" t="n">
        <x:f>IF(V82&lt;&gt;"",V82,W82)</x:f>
        <x:v>83.25</x:v>
      </x:c>
      <x:c r="Y82" s="40" t="str">
        <x:f>IF(V82&lt;&gt;"","공식 70% 평균백분위",IF(W82&lt;&gt;"","파생 단순평균(참고)","비교불가"))</x:f>
        <x:v>파생 단순평균(참고)</x:v>
      </x:c>
      <x:c r="Z82" s="60" t="n">
        <x:f>'추천_테스트'!$B$8</x:f>
        <x:v>80</x:v>
      </x:c>
      <x:c r="AA82" s="60" t="n">
        <x:f>IF(X82="","",Z82-X82)</x:f>
        <x:v>-3.25</x:v>
      </x:c>
      <x:c r="AB82" s="40" t="str">
        <x:f>IF(X82="","",IF(AA82&gt;='추천_테스트'!$B$10,"안정",IF(AA82&gt;='추천_테스트'!$B$11,"적정",IF(AA82&gt;='추천_테스트'!$B$12,"소신","상향"))))</x:f>
        <x:v>상향</x:v>
      </x:c>
      <x:c r="AC82" s="62"/>
      <x:c r="AD82" s="62" t="n">
        <x:v>100</x:v>
      </x:c>
      <x:c r="AE82" s="62"/>
      <x:c r="AF82" s="41" t="str">
        <x:v>B: 공식 과목별 70% 백분위 → 단순평균 파생</x:v>
      </x:c>
      <x:c r="AG82" s="41" t="str">
        <x:v>https://www.adiga.kr/ucp/uvt/uni/univDetailSelection.do?menuId=PCUVTINF2000&amp;searchSyr=2026&amp;unvCd=0000169</x:v>
      </x:c>
    </x:row>
    <x:row r="83">
      <x:c r="A83" s="40" t="n">
        <x:v>2025</x:v>
      </x:c>
      <x:c r="B83" s="40" t="str">
        <x:v>인천광역시</x:v>
      </x:c>
      <x:c r="C83" s="40" t="str">
        <x:v>사립</x:v>
      </x:c>
      <x:c r="D83" s="40" t="str">
        <x:v>인하대학교</x:v>
      </x:c>
      <x:c r="E83" s="40" t="str">
        <x:v>가</x:v>
      </x:c>
      <x:c r="F83" s="40" t="str">
        <x:v>일반전형</x:v>
      </x:c>
      <x:c r="G83" s="41" t="str">
        <x:v>환경공학과</x:v>
      </x:c>
      <x:c r="H83" s="40" t="n">
        <x:v>6</x:v>
      </x:c>
      <x:c r="I83" s="40" t="n">
        <x:v>0</x:v>
      </x:c>
      <x:c r="J83" s="40" t="n">
        <x:v>6</x:v>
      </x:c>
      <x:c r="K83" s="60" t="n">
        <x:v>6</x:v>
      </x:c>
      <x:c r="L83" s="40" t="n">
        <x:v>5</x:v>
      </x:c>
      <x:c r="M83" s="60" t="n">
        <x:v>888</x:v>
      </x:c>
      <x:c r="N83" s="60" t="n">
        <x:v>887.3</x:v>
      </x:c>
      <x:c r="O83" s="60" t="n">
        <x:v>1000</x:v>
      </x:c>
      <x:c r="P83" s="62" t="n">
        <x:v>77</x:v>
      </x:c>
      <x:c r="Q83" s="62" t="n">
        <x:v>90</x:v>
      </x:c>
      <x:c r="R83" s="62" t="n">
        <x:v>87</x:v>
      </x:c>
      <x:c r="S83" s="62" t="n">
        <x:v>75</x:v>
      </x:c>
      <x:c r="T83" s="62" t="n">
        <x:v>4</x:v>
      </x:c>
      <x:c r="U83" s="62" t="n">
        <x:v>4</x:v>
      </x:c>
      <x:c r="V83" s="60"/>
      <x:c r="W83" s="60" t="n">
        <x:f>IF(COUNT(P83:S83)&gt;=3,AVERAGE(P83:S83),"")</x:f>
        <x:v>82.25</x:v>
      </x:c>
      <x:c r="X83" s="60" t="n">
        <x:f>IF(V83&lt;&gt;"",V83,W83)</x:f>
        <x:v>82.25</x:v>
      </x:c>
      <x:c r="Y83" s="40" t="str">
        <x:f>IF(V83&lt;&gt;"","공식 70% 평균백분위",IF(W83&lt;&gt;"","파생 단순평균(참고)","비교불가"))</x:f>
        <x:v>파생 단순평균(참고)</x:v>
      </x:c>
      <x:c r="Z83" s="60" t="n">
        <x:f>'추천_테스트'!$B$8</x:f>
        <x:v>80</x:v>
      </x:c>
      <x:c r="AA83" s="60" t="n">
        <x:f>IF(X83="","",Z83-X83)</x:f>
        <x:v>-2.25</x:v>
      </x:c>
      <x:c r="AB83" s="40" t="str">
        <x:f>IF(X83="","",IF(AA83&gt;='추천_테스트'!$B$10,"안정",IF(AA83&gt;='추천_테스트'!$B$11,"적정",IF(AA83&gt;='추천_테스트'!$B$12,"소신","상향"))))</x:f>
        <x:v>상향</x:v>
      </x:c>
      <x:c r="AC83" s="62"/>
      <x:c r="AD83" s="62" t="n">
        <x:v>100</x:v>
      </x:c>
      <x:c r="AE83" s="62"/>
      <x:c r="AF83" s="41" t="str">
        <x:v>B: 공식 과목별 70% 백분위 → 단순평균 파생</x:v>
      </x:c>
      <x:c r="AG83" s="41" t="str">
        <x:v>https://www.adiga.kr/ucp/uvt/uni/univDetailSelection.do?menuId=PCUVTINF2000&amp;searchSyr=2026&amp;unvCd=0000169</x:v>
      </x:c>
    </x:row>
    <x:row r="84">
      <x:c r="A84" s="40" t="n">
        <x:v>2025</x:v>
      </x:c>
      <x:c r="B84" s="40" t="str">
        <x:v>인천광역시</x:v>
      </x:c>
      <x:c r="C84" s="40" t="str">
        <x:v>사립</x:v>
      </x:c>
      <x:c r="D84" s="40" t="str">
        <x:v>인하대학교</x:v>
      </x:c>
      <x:c r="E84" s="40" t="str">
        <x:v>가</x:v>
      </x:c>
      <x:c r="F84" s="40" t="str">
        <x:v>일반전형</x:v>
      </x:c>
      <x:c r="G84" s="41" t="str">
        <x:v>건축학부</x:v>
      </x:c>
      <x:c r="H84" s="40" t="n">
        <x:v>17</x:v>
      </x:c>
      <x:c r="I84" s="40" t="n">
        <x:v>1</x:v>
      </x:c>
      <x:c r="J84" s="40" t="n">
        <x:v>18</x:v>
      </x:c>
      <x:c r="K84" s="60" t="n">
        <x:v>4.8</x:v>
      </x:c>
      <x:c r="L84" s="40" t="n">
        <x:v>20</x:v>
      </x:c>
      <x:c r="M84" s="60" t="n">
        <x:v>890.8</x:v>
      </x:c>
      <x:c r="N84" s="60" t="n">
        <x:v>889.3</x:v>
      </x:c>
      <x:c r="O84" s="60" t="n">
        <x:v>1000</x:v>
      </x:c>
      <x:c r="P84" s="62" t="n">
        <x:v>79</x:v>
      </x:c>
      <x:c r="Q84" s="62" t="n">
        <x:v>85</x:v>
      </x:c>
      <x:c r="R84" s="62" t="n">
        <x:v>84</x:v>
      </x:c>
      <x:c r="S84" s="62" t="n">
        <x:v>88</x:v>
      </x:c>
      <x:c r="T84" s="62" t="n">
        <x:v>4</x:v>
      </x:c>
      <x:c r="U84" s="62" t="n">
        <x:v>2</x:v>
      </x:c>
      <x:c r="V84" s="60"/>
      <x:c r="W84" s="60" t="n">
        <x:f>IF(COUNT(P84:S84)&gt;=3,AVERAGE(P84:S84),"")</x:f>
        <x:v>84</x:v>
      </x:c>
      <x:c r="X84" s="60" t="n">
        <x:f>IF(V84&lt;&gt;"",V84,W84)</x:f>
        <x:v>84</x:v>
      </x:c>
      <x:c r="Y84" s="40" t="str">
        <x:f>IF(V84&lt;&gt;"","공식 70% 평균백분위",IF(W84&lt;&gt;"","파생 단순평균(참고)","비교불가"))</x:f>
        <x:v>파생 단순평균(참고)</x:v>
      </x:c>
      <x:c r="Z84" s="60" t="n">
        <x:f>'추천_테스트'!$B$8</x:f>
        <x:v>80</x:v>
      </x:c>
      <x:c r="AA84" s="60" t="n">
        <x:f>IF(X84="","",Z84-X84)</x:f>
        <x:v>-4</x:v>
      </x:c>
      <x:c r="AB84" s="40" t="str">
        <x:f>IF(X84="","",IF(AA84&gt;='추천_테스트'!$B$10,"안정",IF(AA84&gt;='추천_테스트'!$B$11,"적정",IF(AA84&gt;='추천_테스트'!$B$12,"소신","상향"))))</x:f>
        <x:v>상향</x:v>
      </x:c>
      <x:c r="AC84" s="62"/>
      <x:c r="AD84" s="62" t="n">
        <x:v>95</x:v>
      </x:c>
      <x:c r="AE84" s="62" t="n">
        <x:v>5</x:v>
      </x:c>
      <x:c r="AF84" s="41" t="str">
        <x:v>B: 공식 과목별 70% 백분위 → 단순평균 파생</x:v>
      </x:c>
      <x:c r="AG84" s="41" t="str">
        <x:v>https://www.adiga.kr/ucp/uvt/uni/univDetailSelection.do?menuId=PCUVTINF2000&amp;searchSyr=2026&amp;unvCd=0000169</x:v>
      </x:c>
    </x:row>
    <x:row r="85">
      <x:c r="A85" s="40" t="n">
        <x:v>2025</x:v>
      </x:c>
      <x:c r="B85" s="40" t="str">
        <x:v>인천광역시</x:v>
      </x:c>
      <x:c r="C85" s="40" t="str">
        <x:v>사립</x:v>
      </x:c>
      <x:c r="D85" s="40" t="str">
        <x:v>인하대학교</x:v>
      </x:c>
      <x:c r="E85" s="40" t="str">
        <x:v>가</x:v>
      </x:c>
      <x:c r="F85" s="40" t="str">
        <x:v>일반전형</x:v>
      </x:c>
      <x:c r="G85" s="41" t="str">
        <x:v>반도체시스템공학과</x:v>
      </x:c>
      <x:c r="H85" s="40" t="n">
        <x:v>32</x:v>
      </x:c>
      <x:c r="I85" s="40" t="n">
        <x:v>1</x:v>
      </x:c>
      <x:c r="J85" s="40" t="n">
        <x:v>33</x:v>
      </x:c>
      <x:c r="K85" s="60" t="n">
        <x:v>4.7</x:v>
      </x:c>
      <x:c r="L85" s="40" t="n">
        <x:v>22</x:v>
      </x:c>
      <x:c r="M85" s="60" t="n">
        <x:v>906.3</x:v>
      </x:c>
      <x:c r="N85" s="60" t="n">
        <x:v>904.6</x:v>
      </x:c>
      <x:c r="O85" s="60" t="n">
        <x:v>1000</x:v>
      </x:c>
      <x:c r="P85" s="62" t="n">
        <x:v>86</x:v>
      </x:c>
      <x:c r="Q85" s="62" t="n">
        <x:v>81</x:v>
      </x:c>
      <x:c r="R85" s="62" t="n">
        <x:v>98</x:v>
      </x:c>
      <x:c r="S85" s="62" t="n">
        <x:v>77</x:v>
      </x:c>
      <x:c r="T85" s="62" t="n">
        <x:v>3</x:v>
      </x:c>
      <x:c r="U85" s="62" t="n">
        <x:v>1</x:v>
      </x:c>
      <x:c r="V85" s="60"/>
      <x:c r="W85" s="60" t="n">
        <x:f>IF(COUNT(P85:S85)&gt;=3,AVERAGE(P85:S85),"")</x:f>
        <x:v>85.5</x:v>
      </x:c>
      <x:c r="X85" s="60" t="n">
        <x:f>IF(V85&lt;&gt;"",V85,W85)</x:f>
        <x:v>85.5</x:v>
      </x:c>
      <x:c r="Y85" s="40" t="str">
        <x:f>IF(V85&lt;&gt;"","공식 70% 평균백분위",IF(W85&lt;&gt;"","파생 단순평균(참고)","비교불가"))</x:f>
        <x:v>파생 단순평균(참고)</x:v>
      </x:c>
      <x:c r="Z85" s="60" t="n">
        <x:f>'추천_테스트'!$B$8</x:f>
        <x:v>80</x:v>
      </x:c>
      <x:c r="AA85" s="60" t="n">
        <x:f>IF(X85="","",Z85-X85)</x:f>
        <x:v>-5.5</x:v>
      </x:c>
      <x:c r="AB85" s="40" t="str">
        <x:f>IF(X85="","",IF(AA85&gt;='추천_테스트'!$B$10,"안정",IF(AA85&gt;='추천_테스트'!$B$11,"적정",IF(AA85&gt;='추천_테스트'!$B$12,"소신","상향"))))</x:f>
        <x:v>상향</x:v>
      </x:c>
      <x:c r="AC85" s="62" t="n">
        <x:v>3</x:v>
      </x:c>
      <x:c r="AD85" s="62" t="n">
        <x:v>91</x:v>
      </x:c>
      <x:c r="AE85" s="62" t="n">
        <x:v>6</x:v>
      </x:c>
      <x:c r="AF85" s="41" t="str">
        <x:v>B: 공식 과목별 70% 백분위 → 단순평균 파생</x:v>
      </x:c>
      <x:c r="AG85" s="41" t="str">
        <x:v>https://www.adiga.kr/ucp/uvt/uni/univDetailSelection.do?menuId=PCUVTINF2000&amp;searchSyr=2026&amp;unvCd=0000169</x:v>
      </x:c>
    </x:row>
    <x:row r="86">
      <x:c r="A86" s="40" t="n">
        <x:v>2025</x:v>
      </x:c>
      <x:c r="B86" s="40" t="str">
        <x:v>인천광역시</x:v>
      </x:c>
      <x:c r="C86" s="40" t="str">
        <x:v>사립</x:v>
      </x:c>
      <x:c r="D86" s="40" t="str">
        <x:v>인하대학교</x:v>
      </x:c>
      <x:c r="E86" s="40" t="str">
        <x:v>가</x:v>
      </x:c>
      <x:c r="F86" s="40" t="str">
        <x:v>일반전형</x:v>
      </x:c>
      <x:c r="G86" s="41" t="str">
        <x:v>수학과</x:v>
      </x:c>
      <x:c r="H86" s="40" t="n">
        <x:v>2</x:v>
      </x:c>
      <x:c r="I86" s="40" t="n">
        <x:v>0</x:v>
      </x:c>
      <x:c r="J86" s="40" t="n">
        <x:v>2</x:v>
      </x:c>
      <x:c r="K86" s="60" t="n">
        <x:v>11</x:v>
      </x:c>
      <x:c r="L86" s="40"/>
      <x:c r="M86" s="60" t="n">
        <x:v>895.9</x:v>
      </x:c>
      <x:c r="N86" s="60" t="n">
        <x:v>895.9</x:v>
      </x:c>
      <x:c r="O86" s="60" t="n">
        <x:v>1000</x:v>
      </x:c>
      <x:c r="P86" s="62" t="n">
        <x:v>86</x:v>
      </x:c>
      <x:c r="Q86" s="62" t="n">
        <x:v>92</x:v>
      </x:c>
      <x:c r="R86" s="62" t="n">
        <x:v>56</x:v>
      </x:c>
      <x:c r="S86" s="62" t="n">
        <x:v>90</x:v>
      </x:c>
      <x:c r="T86" s="62" t="n">
        <x:v>2</x:v>
      </x:c>
      <x:c r="U86" s="62" t="n">
        <x:v>3</x:v>
      </x:c>
      <x:c r="V86" s="60"/>
      <x:c r="W86" s="60" t="n">
        <x:f>IF(COUNT(P86:S86)&gt;=3,AVERAGE(P86:S86),"")</x:f>
        <x:v>81</x:v>
      </x:c>
      <x:c r="X86" s="60" t="n">
        <x:f>IF(V86&lt;&gt;"",V86,W86)</x:f>
        <x:v>81</x:v>
      </x:c>
      <x:c r="Y86" s="40" t="str">
        <x:f>IF(V86&lt;&gt;"","공식 70% 평균백분위",IF(W86&lt;&gt;"","파생 단순평균(참고)","비교불가"))</x:f>
        <x:v>파생 단순평균(참고)</x:v>
      </x:c>
      <x:c r="Z86" s="60" t="n">
        <x:f>'추천_테스트'!$B$8</x:f>
        <x:v>80</x:v>
      </x:c>
      <x:c r="AA86" s="60" t="n">
        <x:f>IF(X86="","",Z86-X86)</x:f>
        <x:v>-1</x:v>
      </x:c>
      <x:c r="AB86" s="40" t="str">
        <x:f>IF(X86="","",IF(AA86&gt;='추천_테스트'!$B$10,"안정",IF(AA86&gt;='추천_테스트'!$B$11,"적정",IF(AA86&gt;='추천_테스트'!$B$12,"소신","상향"))))</x:f>
        <x:v>소신</x:v>
      </x:c>
      <x:c r="AC86" s="62"/>
      <x:c r="AD86" s="62" t="n">
        <x:v>100</x:v>
      </x:c>
      <x:c r="AE86" s="62"/>
      <x:c r="AF86" s="41" t="str">
        <x:v>B: 공식 과목별 70% 백분위 → 단순평균 파생</x:v>
      </x:c>
      <x:c r="AG86" s="41" t="str">
        <x:v>https://www.adiga.kr/ucp/uvt/uni/univDetailSelection.do?menuId=PCUVTINF2000&amp;searchSyr=2026&amp;unvCd=0000169</x:v>
      </x:c>
    </x:row>
    <x:row r="87">
      <x:c r="A87" s="40" t="n">
        <x:v>2025</x:v>
      </x:c>
      <x:c r="B87" s="40" t="str">
        <x:v>인천광역시</x:v>
      </x:c>
      <x:c r="C87" s="40" t="str">
        <x:v>사립</x:v>
      </x:c>
      <x:c r="D87" s="40" t="str">
        <x:v>인하대학교</x:v>
      </x:c>
      <x:c r="E87" s="40" t="str">
        <x:v>가</x:v>
      </x:c>
      <x:c r="F87" s="40" t="str">
        <x:v>일반전형</x:v>
      </x:c>
      <x:c r="G87" s="41" t="str">
        <x:v>화학과</x:v>
      </x:c>
      <x:c r="H87" s="40" t="n">
        <x:v>5</x:v>
      </x:c>
      <x:c r="I87" s="40" t="n">
        <x:v>0</x:v>
      </x:c>
      <x:c r="J87" s="40" t="n">
        <x:v>5</x:v>
      </x:c>
      <x:c r="K87" s="60" t="n">
        <x:v>10.8</x:v>
      </x:c>
      <x:c r="L87" s="40" t="n">
        <x:v>5</x:v>
      </x:c>
      <x:c r="M87" s="60" t="n">
        <x:v>889.8</x:v>
      </x:c>
      <x:c r="N87" s="60" t="n">
        <x:v>889.4</x:v>
      </x:c>
      <x:c r="O87" s="60" t="n">
        <x:v>1000</x:v>
      </x:c>
      <x:c r="P87" s="62" t="n">
        <x:v>97</x:v>
      </x:c>
      <x:c r="Q87" s="62" t="n">
        <x:v>74</x:v>
      </x:c>
      <x:c r="R87" s="62" t="n">
        <x:v>66</x:v>
      </x:c>
      <x:c r="S87" s="62" t="n">
        <x:v>83</x:v>
      </x:c>
      <x:c r="T87" s="62" t="n">
        <x:v>3</x:v>
      </x:c>
      <x:c r="U87" s="62" t="n">
        <x:v>1</x:v>
      </x:c>
      <x:c r="V87" s="60"/>
      <x:c r="W87" s="60" t="n">
        <x:f>IF(COUNT(P87:S87)&gt;=3,AVERAGE(P87:S87),"")</x:f>
        <x:v>80</x:v>
      </x:c>
      <x:c r="X87" s="60" t="n">
        <x:f>IF(V87&lt;&gt;"",V87,W87)</x:f>
        <x:v>80</x:v>
      </x:c>
      <x:c r="Y87" s="40" t="str">
        <x:f>IF(V87&lt;&gt;"","공식 70% 평균백분위",IF(W87&lt;&gt;"","파생 단순평균(참고)","비교불가"))</x:f>
        <x:v>파생 단순평균(참고)</x:v>
      </x:c>
      <x:c r="Z87" s="60" t="n">
        <x:f>'추천_테스트'!$B$8</x:f>
        <x:v>80</x:v>
      </x:c>
      <x:c r="AA87" s="60" t="n">
        <x:f>IF(X87="","",Z87-X87)</x:f>
        <x:v>0</x:v>
      </x:c>
      <x:c r="AB87" s="40" t="str">
        <x:f>IF(X87="","",IF(AA87&gt;='추천_테스트'!$B$10,"안정",IF(AA87&gt;='추천_테스트'!$B$11,"적정",IF(AA87&gt;='추천_테스트'!$B$12,"소신","상향"))))</x:f>
        <x:v>소신</x:v>
      </x:c>
      <x:c r="AC87" s="62"/>
      <x:c r="AD87" s="62" t="n">
        <x:v>83</x:v>
      </x:c>
      <x:c r="AE87" s="62" t="n">
        <x:v>17</x:v>
      </x:c>
      <x:c r="AF87" s="41" t="str">
        <x:v>B: 공식 과목별 70% 백분위 → 단순평균 파생</x:v>
      </x:c>
      <x:c r="AG87" s="41" t="str">
        <x:v>https://www.adiga.kr/ucp/uvt/uni/univDetailSelection.do?menuId=PCUVTINF2000&amp;searchSyr=2026&amp;unvCd=0000169</x:v>
      </x:c>
    </x:row>
    <x:row r="88">
      <x:c r="A88" s="40" t="n">
        <x:v>2025</x:v>
      </x:c>
      <x:c r="B88" s="40" t="str">
        <x:v>인천광역시</x:v>
      </x:c>
      <x:c r="C88" s="40" t="str">
        <x:v>사립</x:v>
      </x:c>
      <x:c r="D88" s="40" t="str">
        <x:v>인하대학교</x:v>
      </x:c>
      <x:c r="E88" s="40" t="str">
        <x:v>가</x:v>
      </x:c>
      <x:c r="F88" s="40" t="str">
        <x:v>일반전형</x:v>
      </x:c>
      <x:c r="G88" s="41" t="str">
        <x:v>경영학과</x:v>
      </x:c>
      <x:c r="H88" s="40" t="n">
        <x:v>13</x:v>
      </x:c>
      <x:c r="I88" s="40" t="n">
        <x:v>0</x:v>
      </x:c>
      <x:c r="J88" s="40" t="n">
        <x:v>13</x:v>
      </x:c>
      <x:c r="K88" s="60" t="n">
        <x:v>6.2</x:v>
      </x:c>
      <x:c r="L88" s="40" t="n">
        <x:v>12</x:v>
      </x:c>
      <x:c r="M88" s="60" t="n">
        <x:v>884.1</x:v>
      </x:c>
      <x:c r="N88" s="60" t="n">
        <x:v>883.8</x:v>
      </x:c>
      <x:c r="O88" s="60" t="n">
        <x:v>1000</x:v>
      </x:c>
      <x:c r="P88" s="62" t="n">
        <x:v>89</x:v>
      </x:c>
      <x:c r="Q88" s="62" t="n">
        <x:v>78</x:v>
      </x:c>
      <x:c r="R88" s="62" t="n">
        <x:v>72</x:v>
      </x:c>
      <x:c r="S88" s="62" t="n">
        <x:v>85</x:v>
      </x:c>
      <x:c r="T88" s="62" t="n">
        <x:v>3</x:v>
      </x:c>
      <x:c r="U88" s="62" t="n">
        <x:v>1</x:v>
      </x:c>
      <x:c r="V88" s="60"/>
      <x:c r="W88" s="60" t="n">
        <x:f>IF(COUNT(P88:S88)&gt;=3,AVERAGE(P88:S88),"")</x:f>
        <x:v>81</x:v>
      </x:c>
      <x:c r="X88" s="60" t="n">
        <x:f>IF(V88&lt;&gt;"",V88,W88)</x:f>
        <x:v>81</x:v>
      </x:c>
      <x:c r="Y88" s="40" t="str">
        <x:f>IF(V88&lt;&gt;"","공식 70% 평균백분위",IF(W88&lt;&gt;"","파생 단순평균(참고)","비교불가"))</x:f>
        <x:v>파생 단순평균(참고)</x:v>
      </x:c>
      <x:c r="Z88" s="60" t="n">
        <x:f>'추천_테스트'!$B$8</x:f>
        <x:v>80</x:v>
      </x:c>
      <x:c r="AA88" s="60" t="n">
        <x:f>IF(X88="","",Z88-X88)</x:f>
        <x:v>-1</x:v>
      </x:c>
      <x:c r="AB88" s="40" t="str">
        <x:f>IF(X88="","",IF(AA88&gt;='추천_테스트'!$B$10,"안정",IF(AA88&gt;='추천_테스트'!$B$11,"적정",IF(AA88&gt;='추천_테스트'!$B$12,"소신","상향"))))</x:f>
        <x:v>소신</x:v>
      </x:c>
      <x:c r="AC88" s="62" t="n">
        <x:v>50</x:v>
      </x:c>
      <x:c r="AD88" s="62" t="n">
        <x:v>50</x:v>
      </x:c>
      <x:c r="AE88" s="62"/>
      <x:c r="AF88" s="41" t="str">
        <x:v>B: 공식 과목별 70% 백분위 → 단순평균 파생</x:v>
      </x:c>
      <x:c r="AG88" s="41" t="str">
        <x:v>https://www.adiga.kr/ucp/uvt/uni/univDetailSelection.do?menuId=PCUVTINF2000&amp;searchSyr=2026&amp;unvCd=0000169</x:v>
      </x:c>
    </x:row>
    <x:row r="89">
      <x:c r="A89" s="40" t="n">
        <x:v>2025</x:v>
      </x:c>
      <x:c r="B89" s="40" t="str">
        <x:v>인천광역시</x:v>
      </x:c>
      <x:c r="C89" s="40" t="str">
        <x:v>사립</x:v>
      </x:c>
      <x:c r="D89" s="40" t="str">
        <x:v>인하대학교</x:v>
      </x:c>
      <x:c r="E89" s="40" t="str">
        <x:v>가</x:v>
      </x:c>
      <x:c r="F89" s="40" t="str">
        <x:v>일반전형</x:v>
      </x:c>
      <x:c r="G89" s="41" t="str">
        <x:v>국어교육과</x:v>
      </x:c>
      <x:c r="H89" s="40" t="n">
        <x:v>8</x:v>
      </x:c>
      <x:c r="I89" s="40" t="n">
        <x:v>0</x:v>
      </x:c>
      <x:c r="J89" s="40" t="n">
        <x:v>8</x:v>
      </x:c>
      <x:c r="K89" s="60" t="n">
        <x:v>5.9</x:v>
      </x:c>
      <x:c r="L89" s="40" t="n">
        <x:v>12</x:v>
      </x:c>
      <x:c r="M89" s="60" t="n">
        <x:v>888.9</x:v>
      </x:c>
      <x:c r="N89" s="60" t="n">
        <x:v>884.3</x:v>
      </x:c>
      <x:c r="O89" s="60" t="n">
        <x:v>1000</x:v>
      </x:c>
      <x:c r="P89" s="62" t="n">
        <x:v>82</x:v>
      </x:c>
      <x:c r="Q89" s="62" t="n">
        <x:v>59</x:v>
      </x:c>
      <x:c r="R89" s="62" t="n">
        <x:v>96</x:v>
      </x:c>
      <x:c r="S89" s="62" t="n">
        <x:v>98</x:v>
      </x:c>
      <x:c r="T89" s="62" t="n">
        <x:v>3</x:v>
      </x:c>
      <x:c r="U89" s="62" t="n">
        <x:v>1</x:v>
      </x:c>
      <x:c r="V89" s="60"/>
      <x:c r="W89" s="60" t="n">
        <x:f>IF(COUNT(P89:S89)&gt;=3,AVERAGE(P89:S89),"")</x:f>
        <x:v>83.75</x:v>
      </x:c>
      <x:c r="X89" s="60" t="n">
        <x:f>IF(V89&lt;&gt;"",V89,W89)</x:f>
        <x:v>83.75</x:v>
      </x:c>
      <x:c r="Y89" s="40" t="str">
        <x:f>IF(V89&lt;&gt;"","공식 70% 평균백분위",IF(W89&lt;&gt;"","파생 단순평균(참고)","비교불가"))</x:f>
        <x:v>파생 단순평균(참고)</x:v>
      </x:c>
      <x:c r="Z89" s="60" t="n">
        <x:f>'추천_테스트'!$B$8</x:f>
        <x:v>80</x:v>
      </x:c>
      <x:c r="AA89" s="60" t="n">
        <x:f>IF(X89="","",Z89-X89)</x:f>
        <x:v>-3.75</x:v>
      </x:c>
      <x:c r="AB89" s="40" t="str">
        <x:f>IF(X89="","",IF(AA89&gt;='추천_테스트'!$B$10,"안정",IF(AA89&gt;='추천_테스트'!$B$11,"적정",IF(AA89&gt;='추천_테스트'!$B$12,"소신","상향"))))</x:f>
        <x:v>상향</x:v>
      </x:c>
      <x:c r="AC89" s="62" t="n">
        <x:v>63</x:v>
      </x:c>
      <x:c r="AD89" s="62" t="n">
        <x:v>38</x:v>
      </x:c>
      <x:c r="AE89" s="62"/>
      <x:c r="AF89" s="41" t="str">
        <x:v>B: 공식 과목별 70% 백분위 → 단순평균 파생</x:v>
      </x:c>
      <x:c r="AG89" s="41" t="str">
        <x:v>https://www.adiga.kr/ucp/uvt/uni/univDetailSelection.do?menuId=PCUVTINF2000&amp;searchSyr=2026&amp;unvCd=0000169</x:v>
      </x:c>
    </x:row>
    <x:row r="90">
      <x:c r="A90" s="40" t="n">
        <x:v>2025</x:v>
      </x:c>
      <x:c r="B90" s="40" t="str">
        <x:v>인천광역시</x:v>
      </x:c>
      <x:c r="C90" s="40" t="str">
        <x:v>사립</x:v>
      </x:c>
      <x:c r="D90" s="40" t="str">
        <x:v>인하대학교</x:v>
      </x:c>
      <x:c r="E90" s="40" t="str">
        <x:v>가</x:v>
      </x:c>
      <x:c r="F90" s="40" t="str">
        <x:v>일반전형</x:v>
      </x:c>
      <x:c r="G90" s="41" t="str">
        <x:v>교육학과</x:v>
      </x:c>
      <x:c r="H90" s="40" t="n">
        <x:v>13</x:v>
      </x:c>
      <x:c r="I90" s="40" t="n">
        <x:v>0</x:v>
      </x:c>
      <x:c r="J90" s="40" t="n">
        <x:v>13</x:v>
      </x:c>
      <x:c r="K90" s="60" t="n">
        <x:v>5.8</x:v>
      </x:c>
      <x:c r="L90" s="40" t="n">
        <x:v>9</x:v>
      </x:c>
      <x:c r="M90" s="60" t="n">
        <x:v>882.3</x:v>
      </x:c>
      <x:c r="N90" s="60" t="n">
        <x:v>881.2</x:v>
      </x:c>
      <x:c r="O90" s="60" t="n">
        <x:v>1000</x:v>
      </x:c>
      <x:c r="P90" s="62" t="n">
        <x:v>82</x:v>
      </x:c>
      <x:c r="Q90" s="62" t="n">
        <x:v>76</x:v>
      </x:c>
      <x:c r="R90" s="62" t="n">
        <x:v>93</x:v>
      </x:c>
      <x:c r="S90" s="62" t="n">
        <x:v>82</x:v>
      </x:c>
      <x:c r="T90" s="62" t="n">
        <x:v>3</x:v>
      </x:c>
      <x:c r="U90" s="62" t="n">
        <x:v>3</x:v>
      </x:c>
      <x:c r="V90" s="60"/>
      <x:c r="W90" s="60" t="n">
        <x:f>IF(COUNT(P90:S90)&gt;=3,AVERAGE(P90:S90),"")</x:f>
        <x:v>83.25</x:v>
      </x:c>
      <x:c r="X90" s="60" t="n">
        <x:f>IF(V90&lt;&gt;"",V90,W90)</x:f>
        <x:v>83.25</x:v>
      </x:c>
      <x:c r="Y90" s="40" t="str">
        <x:f>IF(V90&lt;&gt;"","공식 70% 평균백분위",IF(W90&lt;&gt;"","파생 단순평균(참고)","비교불가"))</x:f>
        <x:v>파생 단순평균(참고)</x:v>
      </x:c>
      <x:c r="Z90" s="60" t="n">
        <x:f>'추천_테스트'!$B$8</x:f>
        <x:v>80</x:v>
      </x:c>
      <x:c r="AA90" s="60" t="n">
        <x:f>IF(X90="","",Z90-X90)</x:f>
        <x:v>-3.25</x:v>
      </x:c>
      <x:c r="AB90" s="40" t="str">
        <x:f>IF(X90="","",IF(AA90&gt;='추천_테스트'!$B$10,"안정",IF(AA90&gt;='추천_테스트'!$B$11,"적정",IF(AA90&gt;='추천_테스트'!$B$12,"소신","상향"))))</x:f>
        <x:v>상향</x:v>
      </x:c>
      <x:c r="AC90" s="62" t="n">
        <x:v>31</x:v>
      </x:c>
      <x:c r="AD90" s="62" t="n">
        <x:v>69</x:v>
      </x:c>
      <x:c r="AE90" s="62"/>
      <x:c r="AF90" s="41" t="str">
        <x:v>B: 공식 과목별 70% 백분위 → 단순평균 파생</x:v>
      </x:c>
      <x:c r="AG90" s="41" t="str">
        <x:v>https://www.adiga.kr/ucp/uvt/uni/univDetailSelection.do?menuId=PCUVTINF2000&amp;searchSyr=2026&amp;unvCd=0000169</x:v>
      </x:c>
    </x:row>
    <x:row r="91">
      <x:c r="A91" s="40" t="n">
        <x:v>2025</x:v>
      </x:c>
      <x:c r="B91" s="40" t="str">
        <x:v>인천광역시</x:v>
      </x:c>
      <x:c r="C91" s="40" t="str">
        <x:v>사립</x:v>
      </x:c>
      <x:c r="D91" s="40" t="str">
        <x:v>인하대학교</x:v>
      </x:c>
      <x:c r="E91" s="40" t="str">
        <x:v>가</x:v>
      </x:c>
      <x:c r="F91" s="40" t="str">
        <x:v>일반전형</x:v>
      </x:c>
      <x:c r="G91" s="41" t="str">
        <x:v>미디어커뮤니케이션학과</x:v>
      </x:c>
      <x:c r="H91" s="40" t="n">
        <x:v>2</x:v>
      </x:c>
      <x:c r="I91" s="40" t="n">
        <x:v>0</x:v>
      </x:c>
      <x:c r="J91" s="40" t="n">
        <x:v>2</x:v>
      </x:c>
      <x:c r="K91" s="60" t="n">
        <x:v>11.5</x:v>
      </x:c>
      <x:c r="L91" s="40"/>
      <x:c r="M91" s="60" t="n">
        <x:v>891.2</x:v>
      </x:c>
      <x:c r="N91" s="60" t="n">
        <x:v>891.2</x:v>
      </x:c>
      <x:c r="O91" s="60" t="n">
        <x:v>1000</x:v>
      </x:c>
      <x:c r="P91" s="62" t="n">
        <x:v>77</x:v>
      </x:c>
      <x:c r="Q91" s="62" t="n">
        <x:v>90</x:v>
      </x:c>
      <x:c r="R91" s="62" t="n">
        <x:v>90</x:v>
      </x:c>
      <x:c r="S91" s="62" t="n">
        <x:v>93</x:v>
      </x:c>
      <x:c r="T91" s="62" t="n">
        <x:v>3</x:v>
      </x:c>
      <x:c r="U91" s="62" t="n">
        <x:v>1</x:v>
      </x:c>
      <x:c r="V91" s="60"/>
      <x:c r="W91" s="60" t="n">
        <x:f>IF(COUNT(P91:S91)&gt;=3,AVERAGE(P91:S91),"")</x:f>
        <x:v>87.5</x:v>
      </x:c>
      <x:c r="X91" s="60" t="n">
        <x:f>IF(V91&lt;&gt;"",V91,W91)</x:f>
        <x:v>87.5</x:v>
      </x:c>
      <x:c r="Y91" s="40" t="str">
        <x:f>IF(V91&lt;&gt;"","공식 70% 평균백분위",IF(W91&lt;&gt;"","파생 단순평균(참고)","비교불가"))</x:f>
        <x:v>파생 단순평균(참고)</x:v>
      </x:c>
      <x:c r="Z91" s="60" t="n">
        <x:f>'추천_테스트'!$B$8</x:f>
        <x:v>80</x:v>
      </x:c>
      <x:c r="AA91" s="60" t="n">
        <x:f>IF(X91="","",Z91-X91)</x:f>
        <x:v>-7.5</x:v>
      </x:c>
      <x:c r="AB91" s="40" t="str">
        <x:f>IF(X91="","",IF(AA91&gt;='추천_테스트'!$B$10,"안정",IF(AA91&gt;='추천_테스트'!$B$11,"적정",IF(AA91&gt;='추천_테스트'!$B$12,"소신","상향"))))</x:f>
        <x:v>상향</x:v>
      </x:c>
      <x:c r="AC91" s="62" t="n">
        <x:v>100</x:v>
      </x:c>
      <x:c r="AD91" s="62"/>
      <x:c r="AE91" s="62"/>
      <x:c r="AF91" s="41" t="str">
        <x:v>B: 공식 과목별 70% 백분위 → 단순평균 파생</x:v>
      </x:c>
      <x:c r="AG91" s="41" t="str">
        <x:v>https://www.adiga.kr/ucp/uvt/uni/univDetailSelection.do?menuId=PCUVTINF2000&amp;searchSyr=2026&amp;unvCd=0000169</x:v>
      </x:c>
    </x:row>
    <x:row r="92">
      <x:c r="A92" s="40" t="n">
        <x:v>2025</x:v>
      </x:c>
      <x:c r="B92" s="40" t="str">
        <x:v>인천광역시</x:v>
      </x:c>
      <x:c r="C92" s="40" t="str">
        <x:v>사립</x:v>
      </x:c>
      <x:c r="D92" s="40" t="str">
        <x:v>인하대학교</x:v>
      </x:c>
      <x:c r="E92" s="40" t="str">
        <x:v>가</x:v>
      </x:c>
      <x:c r="F92" s="40" t="str">
        <x:v>일반전형</x:v>
      </x:c>
      <x:c r="G92" s="41" t="str">
        <x:v>사회복지학과</x:v>
      </x:c>
      <x:c r="H92" s="40" t="n">
        <x:v>3</x:v>
      </x:c>
      <x:c r="I92" s="40" t="n">
        <x:v>0</x:v>
      </x:c>
      <x:c r="J92" s="40" t="n">
        <x:v>3</x:v>
      </x:c>
      <x:c r="K92" s="60" t="n">
        <x:v>7.3</x:v>
      </x:c>
      <x:c r="L92" s="40" t="n">
        <x:v>6</x:v>
      </x:c>
      <x:c r="M92" s="60" t="n">
        <x:v>878.6</x:v>
      </x:c>
      <x:c r="N92" s="60" t="n">
        <x:v>878.6</x:v>
      </x:c>
      <x:c r="O92" s="60" t="n">
        <x:v>1000</x:v>
      </x:c>
      <x:c r="P92" s="62" t="n">
        <x:v>86</x:v>
      </x:c>
      <x:c r="Q92" s="62" t="n">
        <x:v>66</x:v>
      </x:c>
      <x:c r="R92" s="62" t="n">
        <x:v>88</x:v>
      </x:c>
      <x:c r="S92" s="62" t="n">
        <x:v>78</x:v>
      </x:c>
      <x:c r="T92" s="62" t="n">
        <x:v>2</x:v>
      </x:c>
      <x:c r="U92" s="62" t="n">
        <x:v>4</x:v>
      </x:c>
      <x:c r="V92" s="60"/>
      <x:c r="W92" s="60" t="n">
        <x:f>IF(COUNT(P92:S92)&gt;=3,AVERAGE(P92:S92),"")</x:f>
        <x:v>79.5</x:v>
      </x:c>
      <x:c r="X92" s="60" t="n">
        <x:f>IF(V92&lt;&gt;"",V92,W92)</x:f>
        <x:v>79.5</x:v>
      </x:c>
      <x:c r="Y92" s="40" t="str">
        <x:f>IF(V92&lt;&gt;"","공식 70% 평균백분위",IF(W92&lt;&gt;"","파생 단순평균(참고)","비교불가"))</x:f>
        <x:v>파생 단순평균(참고)</x:v>
      </x:c>
      <x:c r="Z92" s="60" t="n">
        <x:f>'추천_테스트'!$B$8</x:f>
        <x:v>80</x:v>
      </x:c>
      <x:c r="AA92" s="60" t="n">
        <x:f>IF(X92="","",Z92-X92)</x:f>
        <x:v>0.5</x:v>
      </x:c>
      <x:c r="AB92" s="40" t="str">
        <x:f>IF(X92="","",IF(AA92&gt;='추천_테스트'!$B$10,"안정",IF(AA92&gt;='추천_테스트'!$B$11,"적정",IF(AA92&gt;='추천_테스트'!$B$12,"소신","상향"))))</x:f>
        <x:v>소신</x:v>
      </x:c>
      <x:c r="AC92" s="62" t="n">
        <x:v>60</x:v>
      </x:c>
      <x:c r="AD92" s="62" t="n">
        <x:v>40</x:v>
      </x:c>
      <x:c r="AE92" s="62"/>
      <x:c r="AF92" s="41" t="str">
        <x:v>B: 공식 과목별 70% 백분위 → 단순평균 파생</x:v>
      </x:c>
      <x:c r="AG92" s="41" t="str">
        <x:v>https://www.adiga.kr/ucp/uvt/uni/univDetailSelection.do?menuId=PCUVTINF2000&amp;searchSyr=2026&amp;unvCd=0000169</x:v>
      </x:c>
    </x:row>
    <x:row r="93">
      <x:c r="A93" s="40" t="n">
        <x:v>2025</x:v>
      </x:c>
      <x:c r="B93" s="40" t="str">
        <x:v>인천광역시</x:v>
      </x:c>
      <x:c r="C93" s="40" t="str">
        <x:v>사립</x:v>
      </x:c>
      <x:c r="D93" s="40" t="str">
        <x:v>인하대학교</x:v>
      </x:c>
      <x:c r="E93" s="40" t="str">
        <x:v>가</x:v>
      </x:c>
      <x:c r="F93" s="40" t="str">
        <x:v>일반전형</x:v>
      </x:c>
      <x:c r="G93" s="41" t="str">
        <x:v>사학과</x:v>
      </x:c>
      <x:c r="H93" s="40" t="n">
        <x:v>4</x:v>
      </x:c>
      <x:c r="I93" s="40" t="n">
        <x:v>0</x:v>
      </x:c>
      <x:c r="J93" s="40" t="n">
        <x:v>4</x:v>
      </x:c>
      <x:c r="K93" s="60" t="n">
        <x:v>10.3</x:v>
      </x:c>
      <x:c r="L93" s="40" t="n">
        <x:v>2</x:v>
      </x:c>
      <x:c r="M93" s="60" t="n">
        <x:v>887.5</x:v>
      </x:c>
      <x:c r="N93" s="60" t="n">
        <x:v>887.5</x:v>
      </x:c>
      <x:c r="O93" s="60" t="n">
        <x:v>1000</x:v>
      </x:c>
      <x:c r="P93" s="62" t="n">
        <x:v>96</x:v>
      </x:c>
      <x:c r="Q93" s="62" t="n">
        <x:v>56</x:v>
      </x:c>
      <x:c r="R93" s="62" t="n">
        <x:v>83</x:v>
      </x:c>
      <x:c r="S93" s="62" t="n">
        <x:v>84</x:v>
      </x:c>
      <x:c r="T93" s="62" t="n">
        <x:v>3</x:v>
      </x:c>
      <x:c r="U93" s="62" t="n">
        <x:v>1</x:v>
      </x:c>
      <x:c r="V93" s="60"/>
      <x:c r="W93" s="60" t="n">
        <x:f>IF(COUNT(P93:S93)&gt;=3,AVERAGE(P93:S93),"")</x:f>
        <x:v>79.75</x:v>
      </x:c>
      <x:c r="X93" s="60" t="n">
        <x:f>IF(V93&lt;&gt;"",V93,W93)</x:f>
        <x:v>79.75</x:v>
      </x:c>
      <x:c r="Y93" s="40" t="str">
        <x:f>IF(V93&lt;&gt;"","공식 70% 평균백분위",IF(W93&lt;&gt;"","파생 단순평균(참고)","비교불가"))</x:f>
        <x:v>파생 단순평균(참고)</x:v>
      </x:c>
      <x:c r="Z93" s="60" t="n">
        <x:f>'추천_테스트'!$B$8</x:f>
        <x:v>80</x:v>
      </x:c>
      <x:c r="AA93" s="60" t="n">
        <x:f>IF(X93="","",Z93-X93)</x:f>
        <x:v>0.25</x:v>
      </x:c>
      <x:c r="AB93" s="40" t="str">
        <x:f>IF(X93="","",IF(AA93&gt;='추천_테스트'!$B$10,"안정",IF(AA93&gt;='추천_테스트'!$B$11,"적정",IF(AA93&gt;='추천_테스트'!$B$12,"소신","상향"))))</x:f>
        <x:v>소신</x:v>
      </x:c>
      <x:c r="AC93" s="62" t="n">
        <x:v>75</x:v>
      </x:c>
      <x:c r="AD93" s="62"/>
      <x:c r="AE93" s="62" t="n">
        <x:v>25</x:v>
      </x:c>
      <x:c r="AF93" s="41" t="str">
        <x:v>B: 공식 과목별 70% 백분위 → 단순평균 파생</x:v>
      </x:c>
      <x:c r="AG93" s="41" t="str">
        <x:v>https://www.adiga.kr/ucp/uvt/uni/univDetailSelection.do?menuId=PCUVTINF2000&amp;searchSyr=2026&amp;unvCd=0000169</x:v>
      </x:c>
    </x:row>
    <x:row r="94">
      <x:c r="A94" s="40" t="n">
        <x:v>2025</x:v>
      </x:c>
      <x:c r="B94" s="40" t="str">
        <x:v>부산광역시</x:v>
      </x:c>
      <x:c r="C94" s="40" t="str">
        <x:v>국립</x:v>
      </x:c>
      <x:c r="D94" s="40" t="str">
        <x:v>부산대학교</x:v>
      </x:c>
      <x:c r="E94" s="40" t="str">
        <x:v>가</x:v>
      </x:c>
      <x:c r="F94" s="40" t="str">
        <x:v>일반전형</x:v>
      </x:c>
      <x:c r="G94" s="41" t="str">
        <x:v>중어중문학과</x:v>
      </x:c>
      <x:c r="H94" s="40" t="n">
        <x:v>9</x:v>
      </x:c>
      <x:c r="I94" s="40" t="n">
        <x:v>4</x:v>
      </x:c>
      <x:c r="J94" s="40" t="n">
        <x:v>13</x:v>
      </x:c>
      <x:c r="K94" s="60" t="n">
        <x:v>4</x:v>
      </x:c>
      <x:c r="L94" s="40" t="n">
        <x:v>6</x:v>
      </x:c>
      <x:c r="M94" s="60" t="n">
        <x:v>683</x:v>
      </x:c>
      <x:c r="N94" s="60" t="n">
        <x:v>681.75</x:v>
      </x:c>
      <x:c r="O94" s="60" t="n">
        <x:v>1000</x:v>
      </x:c>
      <x:c r="P94" s="62" t="n">
        <x:v>93</x:v>
      </x:c>
      <x:c r="Q94" s="62" t="n">
        <x:v>57</x:v>
      </x:c>
      <x:c r="R94" s="62" t="n">
        <x:v>95</x:v>
      </x:c>
      <x:c r="S94" s="62" t="n">
        <x:v>74</x:v>
      </x:c>
      <x:c r="T94" s="62" t="n">
        <x:v>3</x:v>
      </x:c>
      <x:c r="U94" s="62" t="n">
        <x:v>1</x:v>
      </x:c>
      <x:c r="V94" s="60"/>
      <x:c r="W94" s="60" t="n">
        <x:f>IF(COUNT(P94:S94)&gt;=3,AVERAGE(P94:S94),"")</x:f>
        <x:v>79.75</x:v>
      </x:c>
      <x:c r="X94" s="60" t="n">
        <x:f>IF(V94&lt;&gt;"",V94,W94)</x:f>
        <x:v>79.75</x:v>
      </x:c>
      <x:c r="Y94" s="40" t="str">
        <x:f>IF(V94&lt;&gt;"","공식 70% 평균백분위",IF(W94&lt;&gt;"","파생 단순평균(참고)","비교불가"))</x:f>
        <x:v>파생 단순평균(참고)</x:v>
      </x:c>
      <x:c r="Z94" s="60" t="n">
        <x:f>'추천_테스트'!$B$8</x:f>
        <x:v>80</x:v>
      </x:c>
      <x:c r="AA94" s="60" t="n">
        <x:f>IF(X94="","",Z94-X94)</x:f>
        <x:v>0.25</x:v>
      </x:c>
      <x:c r="AB94" s="40" t="str">
        <x:f>IF(X94="","",IF(AA94&gt;='추천_테스트'!$B$10,"안정",IF(AA94&gt;='추천_테스트'!$B$11,"적정",IF(AA94&gt;='추천_테스트'!$B$12,"소신","상향"))))</x:f>
        <x:v>소신</x:v>
      </x:c>
      <x:c r="AC94" s="62"/>
      <x:c r="AD94" s="62"/>
      <x:c r="AE94" s="62"/>
      <x:c r="AF94" s="41" t="str">
        <x:v>B: 공식 과목별 70% 백분위 → 단순평균 파생</x:v>
      </x:c>
      <x:c r="AG94" s="41" t="str">
        <x:v>https://www.adiga.kr/ucp/uvt/uni/univDetailSelection.do?menuId=PCUVTINF2000&amp;searchSyr=2026&amp;unvCd=0000014</x:v>
      </x:c>
    </x:row>
    <x:row r="95">
      <x:c r="A95" s="40" t="n">
        <x:v>2025</x:v>
      </x:c>
      <x:c r="B95" s="40" t="str">
        <x:v>부산광역시</x:v>
      </x:c>
      <x:c r="C95" s="40" t="str">
        <x:v>국립</x:v>
      </x:c>
      <x:c r="D95" s="40" t="str">
        <x:v>부산대학교</x:v>
      </x:c>
      <x:c r="E95" s="40" t="str">
        <x:v>가</x:v>
      </x:c>
      <x:c r="F95" s="40" t="str">
        <x:v>일반전형</x:v>
      </x:c>
      <x:c r="G95" s="41" t="str">
        <x:v>일어일문학과</x:v>
      </x:c>
      <x:c r="H95" s="40" t="n">
        <x:v>8</x:v>
      </x:c>
      <x:c r="I95" s="40" t="n">
        <x:v>4</x:v>
      </x:c>
      <x:c r="J95" s="40" t="n">
        <x:v>12</x:v>
      </x:c>
      <x:c r="K95" s="60" t="n">
        <x:v>5.7</x:v>
      </x:c>
      <x:c r="L95" s="40" t="n">
        <x:v>3</x:v>
      </x:c>
      <x:c r="M95" s="60" t="n">
        <x:v>684.25</x:v>
      </x:c>
      <x:c r="N95" s="60" t="n">
        <x:v>683.75</x:v>
      </x:c>
      <x:c r="O95" s="60" t="n">
        <x:v>1000</x:v>
      </x:c>
      <x:c r="P95" s="62" t="n">
        <x:v>85</x:v>
      </x:c>
      <x:c r="Q95" s="62" t="n">
        <x:v>68</x:v>
      </x:c>
      <x:c r="R95" s="62" t="n">
        <x:v>75</x:v>
      </x:c>
      <x:c r="S95" s="62" t="n">
        <x:v>91</x:v>
      </x:c>
      <x:c r="T95" s="62" t="n">
        <x:v>3</x:v>
      </x:c>
      <x:c r="U95" s="62" t="n">
        <x:v>5</x:v>
      </x:c>
      <x:c r="V95" s="60"/>
      <x:c r="W95" s="60" t="n">
        <x:f>IF(COUNT(P95:S95)&gt;=3,AVERAGE(P95:S95),"")</x:f>
        <x:v>79.75</x:v>
      </x:c>
      <x:c r="X95" s="60" t="n">
        <x:f>IF(V95&lt;&gt;"",V95,W95)</x:f>
        <x:v>79.75</x:v>
      </x:c>
      <x:c r="Y95" s="40" t="str">
        <x:f>IF(V95&lt;&gt;"","공식 70% 평균백분위",IF(W95&lt;&gt;"","파생 단순평균(참고)","비교불가"))</x:f>
        <x:v>파생 단순평균(참고)</x:v>
      </x:c>
      <x:c r="Z95" s="60" t="n">
        <x:f>'추천_테스트'!$B$8</x:f>
        <x:v>80</x:v>
      </x:c>
      <x:c r="AA95" s="60" t="n">
        <x:f>IF(X95="","",Z95-X95)</x:f>
        <x:v>0.25</x:v>
      </x:c>
      <x:c r="AB95" s="40" t="str">
        <x:f>IF(X95="","",IF(AA95&gt;='추천_테스트'!$B$10,"안정",IF(AA95&gt;='추천_테스트'!$B$11,"적정",IF(AA95&gt;='추천_테스트'!$B$12,"소신","상향"))))</x:f>
        <x:v>소신</x:v>
      </x:c>
      <x:c r="AC95" s="62"/>
      <x:c r="AD95" s="62"/>
      <x:c r="AE95" s="62"/>
      <x:c r="AF95" s="41" t="str">
        <x:v>B: 공식 과목별 70% 백분위 → 단순평균 파생</x:v>
      </x:c>
      <x:c r="AG95" s="41" t="str">
        <x:v>https://www.adiga.kr/ucp/uvt/uni/univDetailSelection.do?menuId=PCUVTINF2000&amp;searchSyr=2026&amp;unvCd=0000014</x:v>
      </x:c>
    </x:row>
    <x:row r="96">
      <x:c r="A96" s="40" t="n">
        <x:v>2025</x:v>
      </x:c>
      <x:c r="B96" s="40" t="str">
        <x:v>부산광역시</x:v>
      </x:c>
      <x:c r="C96" s="40" t="str">
        <x:v>국립</x:v>
      </x:c>
      <x:c r="D96" s="40" t="str">
        <x:v>부산대학교</x:v>
      </x:c>
      <x:c r="E96" s="40" t="str">
        <x:v>가</x:v>
      </x:c>
      <x:c r="F96" s="40" t="str">
        <x:v>일반전형</x:v>
      </x:c>
      <x:c r="G96" s="41" t="str">
        <x:v>불어불문학과</x:v>
      </x:c>
      <x:c r="H96" s="40" t="n">
        <x:v>10</x:v>
      </x:c>
      <x:c r="I96" s="40" t="n">
        <x:v>1</x:v>
      </x:c>
      <x:c r="J96" s="40" t="n">
        <x:v>11</x:v>
      </x:c>
      <x:c r="K96" s="60" t="n">
        <x:v>4.6</x:v>
      </x:c>
      <x:c r="L96" s="40" t="n">
        <x:v>15</x:v>
      </x:c>
      <x:c r="M96" s="60" t="n">
        <x:v>682.75</x:v>
      </x:c>
      <x:c r="N96" s="60" t="n">
        <x:v>682</x:v>
      </x:c>
      <x:c r="O96" s="60" t="n">
        <x:v>1000</x:v>
      </x:c>
      <x:c r="P96" s="62" t="n">
        <x:v>83</x:v>
      </x:c>
      <x:c r="Q96" s="62" t="n">
        <x:v>70</x:v>
      </x:c>
      <x:c r="R96" s="62" t="n">
        <x:v>80</x:v>
      </x:c>
      <x:c r="S96" s="62" t="n">
        <x:v>78</x:v>
      </x:c>
      <x:c r="T96" s="62" t="n">
        <x:v>2</x:v>
      </x:c>
      <x:c r="U96" s="62" t="n">
        <x:v>2</x:v>
      </x:c>
      <x:c r="V96" s="60"/>
      <x:c r="W96" s="60" t="n">
        <x:f>IF(COUNT(P96:S96)&gt;=3,AVERAGE(P96:S96),"")</x:f>
        <x:v>77.75</x:v>
      </x:c>
      <x:c r="X96" s="60" t="n">
        <x:f>IF(V96&lt;&gt;"",V96,W96)</x:f>
        <x:v>77.75</x:v>
      </x:c>
      <x:c r="Y96" s="40" t="str">
        <x:f>IF(V96&lt;&gt;"","공식 70% 평균백분위",IF(W96&lt;&gt;"","파생 단순평균(참고)","비교불가"))</x:f>
        <x:v>파생 단순평균(참고)</x:v>
      </x:c>
      <x:c r="Z96" s="60" t="n">
        <x:f>'추천_테스트'!$B$8</x:f>
        <x:v>80</x:v>
      </x:c>
      <x:c r="AA96" s="60" t="n">
        <x:f>IF(X96="","",Z96-X96)</x:f>
        <x:v>2.25</x:v>
      </x:c>
      <x:c r="AB96" s="40" t="str">
        <x:f>IF(X96="","",IF(AA96&gt;='추천_테스트'!$B$10,"안정",IF(AA96&gt;='추천_테스트'!$B$11,"적정",IF(AA96&gt;='추천_테스트'!$B$12,"소신","상향"))))</x:f>
        <x:v>적정</x:v>
      </x:c>
      <x:c r="AC96" s="62"/>
      <x:c r="AD96" s="62"/>
      <x:c r="AE96" s="62"/>
      <x:c r="AF96" s="41" t="str">
        <x:v>B: 공식 과목별 70% 백분위 → 단순평균 파생</x:v>
      </x:c>
      <x:c r="AG96" s="41" t="str">
        <x:v>https://www.adiga.kr/ucp/uvt/uni/univDetailSelection.do?menuId=PCUVTINF2000&amp;searchSyr=2026&amp;unvCd=0000014</x:v>
      </x:c>
    </x:row>
    <x:row r="97">
      <x:c r="A97" s="40" t="n">
        <x:v>2025</x:v>
      </x:c>
      <x:c r="B97" s="40" t="str">
        <x:v>부산광역시</x:v>
      </x:c>
      <x:c r="C97" s="40" t="str">
        <x:v>국립</x:v>
      </x:c>
      <x:c r="D97" s="40" t="str">
        <x:v>부산대학교</x:v>
      </x:c>
      <x:c r="E97" s="40" t="str">
        <x:v>가</x:v>
      </x:c>
      <x:c r="F97" s="40" t="str">
        <x:v>일반전형</x:v>
      </x:c>
      <x:c r="G97" s="41" t="str">
        <x:v>독어독문학과</x:v>
      </x:c>
      <x:c r="H97" s="40" t="n">
        <x:v>8</x:v>
      </x:c>
      <x:c r="I97" s="40" t="n">
        <x:v>2</x:v>
      </x:c>
      <x:c r="J97" s="40" t="n">
        <x:v>10</x:v>
      </x:c>
      <x:c r="K97" s="60" t="n">
        <x:v>5.2</x:v>
      </x:c>
      <x:c r="L97" s="40" t="n">
        <x:v>3</x:v>
      </x:c>
      <x:c r="M97" s="60" t="n">
        <x:v>678.25</x:v>
      </x:c>
      <x:c r="N97" s="60" t="n">
        <x:v>677</x:v>
      </x:c>
      <x:c r="O97" s="60" t="n">
        <x:v>1000</x:v>
      </x:c>
      <x:c r="P97" s="62" t="n">
        <x:v>63</x:v>
      </x:c>
      <x:c r="Q97" s="62" t="n">
        <x:v>70</x:v>
      </x:c>
      <x:c r="R97" s="62" t="n">
        <x:v>97</x:v>
      </x:c>
      <x:c r="S97" s="62" t="n">
        <x:v>95</x:v>
      </x:c>
      <x:c r="T97" s="62" t="n">
        <x:v>3</x:v>
      </x:c>
      <x:c r="U97" s="62" t="n">
        <x:v>5</x:v>
      </x:c>
      <x:c r="V97" s="60"/>
      <x:c r="W97" s="60" t="n">
        <x:f>IF(COUNT(P97:S97)&gt;=3,AVERAGE(P97:S97),"")</x:f>
        <x:v>81.25</x:v>
      </x:c>
      <x:c r="X97" s="60" t="n">
        <x:f>IF(V97&lt;&gt;"",V97,W97)</x:f>
        <x:v>81.25</x:v>
      </x:c>
      <x:c r="Y97" s="40" t="str">
        <x:f>IF(V97&lt;&gt;"","공식 70% 평균백분위",IF(W97&lt;&gt;"","파생 단순평균(참고)","비교불가"))</x:f>
        <x:v>파생 단순평균(참고)</x:v>
      </x:c>
      <x:c r="Z97" s="60" t="n">
        <x:f>'추천_테스트'!$B$8</x:f>
        <x:v>80</x:v>
      </x:c>
      <x:c r="AA97" s="60" t="n">
        <x:f>IF(X97="","",Z97-X97)</x:f>
        <x:v>-1.25</x:v>
      </x:c>
      <x:c r="AB97" s="40" t="str">
        <x:f>IF(X97="","",IF(AA97&gt;='추천_테스트'!$B$10,"안정",IF(AA97&gt;='추천_테스트'!$B$11,"적정",IF(AA97&gt;='추천_테스트'!$B$12,"소신","상향"))))</x:f>
        <x:v>소신</x:v>
      </x:c>
      <x:c r="AC97" s="62"/>
      <x:c r="AD97" s="62"/>
      <x:c r="AE97" s="62"/>
      <x:c r="AF97" s="41" t="str">
        <x:v>B: 공식 과목별 70% 백분위 → 단순평균 파생</x:v>
      </x:c>
      <x:c r="AG97" s="41" t="str">
        <x:v>https://www.adiga.kr/ucp/uvt/uni/univDetailSelection.do?menuId=PCUVTINF2000&amp;searchSyr=2026&amp;unvCd=0000014</x:v>
      </x:c>
    </x:row>
    <x:row r="98">
      <x:c r="A98" s="40" t="n">
        <x:v>2025</x:v>
      </x:c>
      <x:c r="B98" s="40" t="str">
        <x:v>부산광역시</x:v>
      </x:c>
      <x:c r="C98" s="40" t="str">
        <x:v>국립</x:v>
      </x:c>
      <x:c r="D98" s="40" t="str">
        <x:v>부산대학교</x:v>
      </x:c>
      <x:c r="E98" s="40" t="str">
        <x:v>가</x:v>
      </x:c>
      <x:c r="F98" s="40" t="str">
        <x:v>일반전형</x:v>
      </x:c>
      <x:c r="G98" s="41" t="str">
        <x:v>노어노문학과</x:v>
      </x:c>
      <x:c r="H98" s="40" t="n">
        <x:v>8</x:v>
      </x:c>
      <x:c r="I98" s="40" t="n">
        <x:v>2</x:v>
      </x:c>
      <x:c r="J98" s="40" t="n">
        <x:v>10</x:v>
      </x:c>
      <x:c r="K98" s="60" t="n">
        <x:v>4.7</x:v>
      </x:c>
      <x:c r="L98" s="40" t="n">
        <x:v>7</x:v>
      </x:c>
      <x:c r="M98" s="60" t="n">
        <x:v>680.75</x:v>
      </x:c>
      <x:c r="N98" s="60" t="n">
        <x:v>680.25</x:v>
      </x:c>
      <x:c r="O98" s="60" t="n">
        <x:v>1000</x:v>
      </x:c>
      <x:c r="P98" s="62" t="n">
        <x:v>72</x:v>
      </x:c>
      <x:c r="Q98" s="62" t="n">
        <x:v>57</x:v>
      </x:c>
      <x:c r="R98" s="62" t="n">
        <x:v>99</x:v>
      </x:c>
      <x:c r="S98" s="62" t="n">
        <x:v>95</x:v>
      </x:c>
      <x:c r="T98" s="62" t="n">
        <x:v>3</x:v>
      </x:c>
      <x:c r="U98" s="62" t="n">
        <x:v>1</x:v>
      </x:c>
      <x:c r="V98" s="60"/>
      <x:c r="W98" s="60" t="n">
        <x:f>IF(COUNT(P98:S98)&gt;=3,AVERAGE(P98:S98),"")</x:f>
        <x:v>80.75</x:v>
      </x:c>
      <x:c r="X98" s="60" t="n">
        <x:f>IF(V98&lt;&gt;"",V98,W98)</x:f>
        <x:v>80.75</x:v>
      </x:c>
      <x:c r="Y98" s="40" t="str">
        <x:f>IF(V98&lt;&gt;"","공식 70% 평균백분위",IF(W98&lt;&gt;"","파생 단순평균(참고)","비교불가"))</x:f>
        <x:v>파생 단순평균(참고)</x:v>
      </x:c>
      <x:c r="Z98" s="60" t="n">
        <x:f>'추천_테스트'!$B$8</x:f>
        <x:v>80</x:v>
      </x:c>
      <x:c r="AA98" s="60" t="n">
        <x:f>IF(X98="","",Z98-X98)</x:f>
        <x:v>-0.75</x:v>
      </x:c>
      <x:c r="AB98" s="40" t="str">
        <x:f>IF(X98="","",IF(AA98&gt;='추천_테스트'!$B$10,"안정",IF(AA98&gt;='추천_테스트'!$B$11,"적정",IF(AA98&gt;='추천_테스트'!$B$12,"소신","상향"))))</x:f>
        <x:v>소신</x:v>
      </x:c>
      <x:c r="AC98" s="62"/>
      <x:c r="AD98" s="62"/>
      <x:c r="AE98" s="62"/>
      <x:c r="AF98" s="41" t="str">
        <x:v>B: 공식 과목별 70% 백분위 → 단순평균 파생</x:v>
      </x:c>
      <x:c r="AG98" s="41" t="str">
        <x:v>https://www.adiga.kr/ucp/uvt/uni/univDetailSelection.do?menuId=PCUVTINF2000&amp;searchSyr=2026&amp;unvCd=0000014</x:v>
      </x:c>
    </x:row>
    <x:row r="99">
      <x:c r="A99" s="40" t="n">
        <x:v>2025</x:v>
      </x:c>
      <x:c r="B99" s="40" t="str">
        <x:v>부산광역시</x:v>
      </x:c>
      <x:c r="C99" s="40" t="str">
        <x:v>국립</x:v>
      </x:c>
      <x:c r="D99" s="40" t="str">
        <x:v>부산대학교</x:v>
      </x:c>
      <x:c r="E99" s="40" t="str">
        <x:v>가</x:v>
      </x:c>
      <x:c r="F99" s="40" t="str">
        <x:v>일반전형</x:v>
      </x:c>
      <x:c r="G99" s="41" t="str">
        <x:v>언어정보학과</x:v>
      </x:c>
      <x:c r="H99" s="40" t="n">
        <x:v>10</x:v>
      </x:c>
      <x:c r="I99" s="40" t="n">
        <x:v>1</x:v>
      </x:c>
      <x:c r="J99" s="40" t="n">
        <x:v>11</x:v>
      </x:c>
      <x:c r="K99" s="60" t="n">
        <x:v>8.5</x:v>
      </x:c>
      <x:c r="L99" s="40" t="n">
        <x:v>12</x:v>
      </x:c>
      <x:c r="M99" s="60" t="n">
        <x:v>686</x:v>
      </x:c>
      <x:c r="N99" s="60" t="n">
        <x:v>684.25</x:v>
      </x:c>
      <x:c r="O99" s="60" t="n">
        <x:v>1000</x:v>
      </x:c>
      <x:c r="P99" s="62" t="n">
        <x:v>82</x:v>
      </x:c>
      <x:c r="Q99" s="62" t="n">
        <x:v>78</x:v>
      </x:c>
      <x:c r="R99" s="62" t="n">
        <x:v>92</x:v>
      </x:c>
      <x:c r="S99" s="62" t="n">
        <x:v>60</x:v>
      </x:c>
      <x:c r="T99" s="62" t="n">
        <x:v>2</x:v>
      </x:c>
      <x:c r="U99" s="62" t="n">
        <x:v>1</x:v>
      </x:c>
      <x:c r="V99" s="60"/>
      <x:c r="W99" s="60" t="n">
        <x:f>IF(COUNT(P99:S99)&gt;=3,AVERAGE(P99:S99),"")</x:f>
        <x:v>78</x:v>
      </x:c>
      <x:c r="X99" s="60" t="n">
        <x:f>IF(V99&lt;&gt;"",V99,W99)</x:f>
        <x:v>78</x:v>
      </x:c>
      <x:c r="Y99" s="40" t="str">
        <x:f>IF(V99&lt;&gt;"","공식 70% 평균백분위",IF(W99&lt;&gt;"","파생 단순평균(참고)","비교불가"))</x:f>
        <x:v>파생 단순평균(참고)</x:v>
      </x:c>
      <x:c r="Z99" s="60" t="n">
        <x:f>'추천_테스트'!$B$8</x:f>
        <x:v>80</x:v>
      </x:c>
      <x:c r="AA99" s="60" t="n">
        <x:f>IF(X99="","",Z99-X99)</x:f>
        <x:v>2</x:v>
      </x:c>
      <x:c r="AB99" s="40" t="str">
        <x:f>IF(X99="","",IF(AA99&gt;='추천_테스트'!$B$10,"안정",IF(AA99&gt;='추천_테스트'!$B$11,"적정",IF(AA99&gt;='추천_테스트'!$B$12,"소신","상향"))))</x:f>
        <x:v>적정</x:v>
      </x:c>
      <x:c r="AC99" s="62"/>
      <x:c r="AD99" s="62"/>
      <x:c r="AE99" s="62"/>
      <x:c r="AF99" s="41" t="str">
        <x:v>B: 공식 과목별 70% 백분위 → 단순평균 파생</x:v>
      </x:c>
      <x:c r="AG99" s="41" t="str">
        <x:v>https://www.adiga.kr/ucp/uvt/uni/univDetailSelection.do?menuId=PCUVTINF2000&amp;searchSyr=2026&amp;unvCd=0000014</x:v>
      </x:c>
    </x:row>
    <x:row r="100">
      <x:c r="A100" s="40" t="n">
        <x:v>2025</x:v>
      </x:c>
      <x:c r="B100" s="40" t="str">
        <x:v>부산광역시</x:v>
      </x:c>
      <x:c r="C100" s="40" t="str">
        <x:v>국립</x:v>
      </x:c>
      <x:c r="D100" s="40" t="str">
        <x:v>부산대학교</x:v>
      </x:c>
      <x:c r="E100" s="40" t="str">
        <x:v>가</x:v>
      </x:c>
      <x:c r="F100" s="40" t="str">
        <x:v>일반전형</x:v>
      </x:c>
      <x:c r="G100" s="41" t="str">
        <x:v>고고학과</x:v>
      </x:c>
      <x:c r="H100" s="40" t="n">
        <x:v>8</x:v>
      </x:c>
      <x:c r="I100" s="40" t="n">
        <x:v>0</x:v>
      </x:c>
      <x:c r="J100" s="40" t="n">
        <x:v>8</x:v>
      </x:c>
      <x:c r="K100" s="60" t="n">
        <x:v>6.8</x:v>
      </x:c>
      <x:c r="L100" s="40" t="n">
        <x:v>8</x:v>
      </x:c>
      <x:c r="M100" s="60" t="n">
        <x:v>681</x:v>
      </x:c>
      <x:c r="N100" s="60" t="n">
        <x:v>680.75</x:v>
      </x:c>
      <x:c r="O100" s="60" t="n">
        <x:v>1000</x:v>
      </x:c>
      <x:c r="P100" s="62" t="n">
        <x:v>85</x:v>
      </x:c>
      <x:c r="Q100" s="62" t="n">
        <x:v>78</x:v>
      </x:c>
      <x:c r="R100" s="62" t="n">
        <x:v>71</x:v>
      </x:c>
      <x:c r="S100" s="62" t="n">
        <x:v>75</x:v>
      </x:c>
      <x:c r="T100" s="62" t="n">
        <x:v>2</x:v>
      </x:c>
      <x:c r="U100" s="62" t="n">
        <x:v>2</x:v>
      </x:c>
      <x:c r="V100" s="60"/>
      <x:c r="W100" s="60" t="n">
        <x:f>IF(COUNT(P100:S100)&gt;=3,AVERAGE(P100:S100),"")</x:f>
        <x:v>77.25</x:v>
      </x:c>
      <x:c r="X100" s="60" t="n">
        <x:f>IF(V100&lt;&gt;"",V100,W100)</x:f>
        <x:v>77.25</x:v>
      </x:c>
      <x:c r="Y100" s="40" t="str">
        <x:f>IF(V100&lt;&gt;"","공식 70% 평균백분위",IF(W100&lt;&gt;"","파생 단순평균(참고)","비교불가"))</x:f>
        <x:v>파생 단순평균(참고)</x:v>
      </x:c>
      <x:c r="Z100" s="60" t="n">
        <x:f>'추천_테스트'!$B$8</x:f>
        <x:v>80</x:v>
      </x:c>
      <x:c r="AA100" s="60" t="n">
        <x:f>IF(X100="","",Z100-X100)</x:f>
        <x:v>2.75</x:v>
      </x:c>
      <x:c r="AB100" s="40" t="str">
        <x:f>IF(X100="","",IF(AA100&gt;='추천_테스트'!$B$10,"안정",IF(AA100&gt;='추천_테스트'!$B$11,"적정",IF(AA100&gt;='추천_테스트'!$B$12,"소신","상향"))))</x:f>
        <x:v>적정</x:v>
      </x:c>
      <x:c r="AC100" s="62"/>
      <x:c r="AD100" s="62"/>
      <x:c r="AE100" s="62"/>
      <x:c r="AF100" s="41" t="str">
        <x:v>B: 공식 과목별 70% 백분위 → 단순평균 파생</x:v>
      </x:c>
      <x:c r="AG100" s="41" t="str">
        <x:v>https://www.adiga.kr/ucp/uvt/uni/univDetailSelection.do?menuId=PCUVTINF2000&amp;searchSyr=2026&amp;unvCd=0000014</x:v>
      </x:c>
    </x:row>
    <x:row r="101">
      <x:c r="A101" s="40" t="n">
        <x:v>2025</x:v>
      </x:c>
      <x:c r="B101" s="40" t="str">
        <x:v>부산광역시</x:v>
      </x:c>
      <x:c r="C101" s="40" t="str">
        <x:v>국립</x:v>
      </x:c>
      <x:c r="D101" s="40" t="str">
        <x:v>부산대학교</x:v>
      </x:c>
      <x:c r="E101" s="40" t="str">
        <x:v>가</x:v>
      </x:c>
      <x:c r="F101" s="40" t="str">
        <x:v>일반전형</x:v>
      </x:c>
      <x:c r="G101" s="41" t="str">
        <x:v>간호학과</x:v>
      </x:c>
      <x:c r="H101" s="40" t="n">
        <x:v>9</x:v>
      </x:c>
      <x:c r="I101" s="40" t="n">
        <x:v>0</x:v>
      </x:c>
      <x:c r="J101" s="40" t="n">
        <x:v>9</x:v>
      </x:c>
      <x:c r="K101" s="60" t="n">
        <x:v>3.1</x:v>
      </x:c>
      <x:c r="L101" s="40" t="n">
        <x:v>2</x:v>
      </x:c>
      <x:c r="M101" s="60" t="n">
        <x:v>691.5</x:v>
      </x:c>
      <x:c r="N101" s="60" t="n">
        <x:v>686.5</x:v>
      </x:c>
      <x:c r="O101" s="60" t="n">
        <x:v>1000</x:v>
      </x:c>
      <x:c r="P101" s="62" t="n">
        <x:v>88</x:v>
      </x:c>
      <x:c r="Q101" s="62" t="n">
        <x:v>87</x:v>
      </x:c>
      <x:c r="R101" s="62" t="n">
        <x:v>68</x:v>
      </x:c>
      <x:c r="S101" s="62" t="n">
        <x:v>71</x:v>
      </x:c>
      <x:c r="T101" s="62" t="n">
        <x:v>3</x:v>
      </x:c>
      <x:c r="U101" s="62" t="n">
        <x:v>1</x:v>
      </x:c>
      <x:c r="V101" s="60"/>
      <x:c r="W101" s="60" t="n">
        <x:f>IF(COUNT(P101:S101)&gt;=3,AVERAGE(P101:S101),"")</x:f>
        <x:v>78.5</x:v>
      </x:c>
      <x:c r="X101" s="60" t="n">
        <x:f>IF(V101&lt;&gt;"",V101,W101)</x:f>
        <x:v>78.5</x:v>
      </x:c>
      <x:c r="Y101" s="40" t="str">
        <x:f>IF(V101&lt;&gt;"","공식 70% 평균백분위",IF(W101&lt;&gt;"","파생 단순평균(참고)","비교불가"))</x:f>
        <x:v>파생 단순평균(참고)</x:v>
      </x:c>
      <x:c r="Z101" s="60" t="n">
        <x:f>'추천_테스트'!$B$8</x:f>
        <x:v>80</x:v>
      </x:c>
      <x:c r="AA101" s="60" t="n">
        <x:f>IF(X101="","",Z101-X101)</x:f>
        <x:v>1.5</x:v>
      </x:c>
      <x:c r="AB101" s="40" t="str">
        <x:f>IF(X101="","",IF(AA101&gt;='추천_테스트'!$B$10,"안정",IF(AA101&gt;='추천_테스트'!$B$11,"적정",IF(AA101&gt;='추천_테스트'!$B$12,"소신","상향"))))</x:f>
        <x:v>적정</x:v>
      </x:c>
      <x:c r="AC101" s="62"/>
      <x:c r="AD101" s="62"/>
      <x:c r="AE101" s="62"/>
      <x:c r="AF101" s="41" t="str">
        <x:v>B: 공식 과목별 70% 백분위 → 단순평균 파생</x:v>
      </x:c>
      <x:c r="AG101" s="41" t="str">
        <x:v>https://www.adiga.kr/ucp/uvt/uni/univDetailSelection.do?menuId=PCUVTINF2000&amp;searchSyr=2026&amp;unvCd=0000014</x:v>
      </x:c>
    </x:row>
    <x:row r="102">
      <x:c r="A102" s="40" t="n">
        <x:v>2025</x:v>
      </x:c>
      <x:c r="B102" s="40" t="str">
        <x:v>부산광역시</x:v>
      </x:c>
      <x:c r="C102" s="40" t="str">
        <x:v>국립</x:v>
      </x:c>
      <x:c r="D102" s="40" t="str">
        <x:v>부산대학교</x:v>
      </x:c>
      <x:c r="E102" s="40" t="str">
        <x:v>나</x:v>
      </x:c>
      <x:c r="F102" s="40" t="str">
        <x:v>일반전형</x:v>
      </x:c>
      <x:c r="G102" s="41" t="str">
        <x:v>약학부</x:v>
      </x:c>
      <x:c r="H102" s="40" t="n">
        <x:v>12</x:v>
      </x:c>
      <x:c r="I102" s="40" t="n">
        <x:v>10</x:v>
      </x:c>
      <x:c r="J102" s="40" t="n">
        <x:v>22</x:v>
      </x:c>
      <x:c r="K102" s="60" t="n">
        <x:v>6.2</x:v>
      </x:c>
      <x:c r="L102" s="40" t="n">
        <x:v>24</x:v>
      </x:c>
      <x:c r="M102" s="60" t="n">
        <x:v>736.5</x:v>
      </x:c>
      <x:c r="N102" s="60" t="n">
        <x:v>735.5</x:v>
      </x:c>
      <x:c r="O102" s="60" t="n">
        <x:v>1000</x:v>
      </x:c>
      <x:c r="P102" s="62" t="n">
        <x:v>99</x:v>
      </x:c>
      <x:c r="Q102" s="62" t="n">
        <x:v>97</x:v>
      </x:c>
      <x:c r="R102" s="62" t="n">
        <x:v>100</x:v>
      </x:c>
      <x:c r="S102" s="62" t="n">
        <x:v>75</x:v>
      </x:c>
      <x:c r="T102" s="62" t="n">
        <x:v>2</x:v>
      </x:c>
      <x:c r="U102" s="62" t="n">
        <x:v>1</x:v>
      </x:c>
      <x:c r="V102" s="60"/>
      <x:c r="W102" s="60" t="n">
        <x:f>IF(COUNT(P102:S102)&gt;=3,AVERAGE(P102:S102),"")</x:f>
        <x:v>92.75</x:v>
      </x:c>
      <x:c r="X102" s="60" t="n">
        <x:f>IF(V102&lt;&gt;"",V102,W102)</x:f>
        <x:v>92.75</x:v>
      </x:c>
      <x:c r="Y102" s="40" t="str">
        <x:f>IF(V102&lt;&gt;"","공식 70% 평균백분위",IF(W102&lt;&gt;"","파생 단순평균(참고)","비교불가"))</x:f>
        <x:v>파생 단순평균(참고)</x:v>
      </x:c>
      <x:c r="Z102" s="60" t="n">
        <x:f>'추천_테스트'!$B$8</x:f>
        <x:v>80</x:v>
      </x:c>
      <x:c r="AA102" s="60" t="n">
        <x:f>IF(X102="","",Z102-X102)</x:f>
        <x:v>-12.75</x:v>
      </x:c>
      <x:c r="AB102" s="40" t="str">
        <x:f>IF(X102="","",IF(AA102&gt;='추천_테스트'!$B$10,"안정",IF(AA102&gt;='추천_테스트'!$B$11,"적정",IF(AA102&gt;='추천_테스트'!$B$12,"소신","상향"))))</x:f>
        <x:v>상향</x:v>
      </x:c>
      <x:c r="AC102" s="62"/>
      <x:c r="AD102" s="62"/>
      <x:c r="AE102" s="62"/>
      <x:c r="AF102" s="41" t="str">
        <x:v>B: 공식 과목별 70% 백분위 → 단순평균 파생</x:v>
      </x:c>
      <x:c r="AG102" s="41" t="str">
        <x:v>https://www.adiga.kr/ucp/uvt/uni/univDetailSelection.do?menuId=PCUVTINF2000&amp;searchSyr=2026&amp;unvCd=0000014</x:v>
      </x:c>
    </x:row>
    <x:row r="103">
      <x:c r="A103" s="40" t="n">
        <x:v>2025</x:v>
      </x:c>
      <x:c r="B103" s="40" t="str">
        <x:v>부산광역시</x:v>
      </x:c>
      <x:c r="C103" s="40" t="str">
        <x:v>국립</x:v>
      </x:c>
      <x:c r="D103" s="40" t="str">
        <x:v>부산대학교</x:v>
      </x:c>
      <x:c r="E103" s="40" t="str">
        <x:v>나</x:v>
      </x:c>
      <x:c r="F103" s="40" t="str">
        <x:v>일반전형</x:v>
      </x:c>
      <x:c r="G103" s="41" t="str">
        <x:v>의예과</x:v>
      </x:c>
      <x:c r="H103" s="40" t="n">
        <x:v>26</x:v>
      </x:c>
      <x:c r="I103" s="40" t="n">
        <x:v>10</x:v>
      </x:c>
      <x:c r="J103" s="40" t="n">
        <x:v>36</x:v>
      </x:c>
      <x:c r="K103" s="60" t="n">
        <x:v>3.8</x:v>
      </x:c>
      <x:c r="L103" s="40" t="n">
        <x:v>11</x:v>
      </x:c>
      <x:c r="M103" s="60" t="n">
        <x:v>600.4</x:v>
      </x:c>
      <x:c r="N103" s="60" t="n">
        <x:v>599.6</x:v>
      </x:c>
      <x:c r="O103" s="60" t="n">
        <x:v>800</x:v>
      </x:c>
      <x:c r="P103" s="62" t="n">
        <x:v>100</x:v>
      </x:c>
      <x:c r="Q103" s="62" t="n">
        <x:v>99</x:v>
      </x:c>
      <x:c r="R103" s="62" t="n">
        <x:v>87</x:v>
      </x:c>
      <x:c r="S103" s="62" t="n">
        <x:v>99</x:v>
      </x:c>
      <x:c r="T103" s="62" t="n">
        <x:v>2</x:v>
      </x:c>
      <x:c r="U103" s="62" t="n">
        <x:v>1</x:v>
      </x:c>
      <x:c r="V103" s="60"/>
      <x:c r="W103" s="60" t="n">
        <x:f>IF(COUNT(P103:S103)&gt;=3,AVERAGE(P103:S103),"")</x:f>
        <x:v>96.25</x:v>
      </x:c>
      <x:c r="X103" s="60" t="n">
        <x:f>IF(V103&lt;&gt;"",V103,W103)</x:f>
        <x:v>96.25</x:v>
      </x:c>
      <x:c r="Y103" s="40" t="str">
        <x:f>IF(V103&lt;&gt;"","공식 70% 평균백분위",IF(W103&lt;&gt;"","파생 단순평균(참고)","비교불가"))</x:f>
        <x:v>파생 단순평균(참고)</x:v>
      </x:c>
      <x:c r="Z103" s="60" t="n">
        <x:f>'추천_테스트'!$B$8</x:f>
        <x:v>80</x:v>
      </x:c>
      <x:c r="AA103" s="60" t="n">
        <x:f>IF(X103="","",Z103-X103)</x:f>
        <x:v>-16.25</x:v>
      </x:c>
      <x:c r="AB103" s="40" t="str">
        <x:f>IF(X103="","",IF(AA103&gt;='추천_테스트'!$B$10,"안정",IF(AA103&gt;='추천_테스트'!$B$11,"적정",IF(AA103&gt;='추천_테스트'!$B$12,"소신","상향"))))</x:f>
        <x:v>상향</x:v>
      </x:c>
      <x:c r="AC103" s="62"/>
      <x:c r="AD103" s="62"/>
      <x:c r="AE103" s="62"/>
      <x:c r="AF103" s="41" t="str">
        <x:v>B: 공식 과목별 70% 백분위 → 단순평균 파생</x:v>
      </x:c>
      <x:c r="AG103" s="41" t="str">
        <x:v>https://www.adiga.kr/ucp/uvt/uni/univDetailSelection.do?menuId=PCUVTINF2000&amp;searchSyr=2026&amp;unvCd=0000014</x:v>
      </x:c>
    </x:row>
    <x:row r="104">
      <x:c r="A104" s="40" t="n">
        <x:v>2025</x:v>
      </x:c>
      <x:c r="B104" s="40" t="str">
        <x:v>제주특별자치도</x:v>
      </x:c>
      <x:c r="C104" s="40" t="str">
        <x:v>국립</x:v>
      </x:c>
      <x:c r="D104" s="40" t="str">
        <x:v>제주대학교</x:v>
      </x:c>
      <x:c r="E104" s="40" t="str">
        <x:v>나</x:v>
      </x:c>
      <x:c r="F104" s="40" t="str">
        <x:v>일반학생</x:v>
      </x:c>
      <x:c r="G104" s="41" t="str">
        <x:v>영어영문학과</x:v>
      </x:c>
      <x:c r="H104" s="40" t="n">
        <x:v>9</x:v>
      </x:c>
      <x:c r="I104" s="40" t="n">
        <x:v>0</x:v>
      </x:c>
      <x:c r="J104" s="40" t="n">
        <x:v>9</x:v>
      </x:c>
      <x:c r="K104" s="60" t="n">
        <x:v>5.67</x:v>
      </x:c>
      <x:c r="L104" s="40" t="n">
        <x:v>12</x:v>
      </x:c>
      <x:c r="M104" s="60" t="n">
        <x:v>701</x:v>
      </x:c>
      <x:c r="N104" s="60" t="n">
        <x:v>695.62</x:v>
      </x:c>
      <x:c r="O104" s="60" t="n">
        <x:v>1000</x:v>
      </x:c>
      <x:c r="P104" s="62" t="n">
        <x:v>68</x:v>
      </x:c>
      <x:c r="Q104" s="62" t="n">
        <x:v>45</x:v>
      </x:c>
      <x:c r="R104" s="62" t="n">
        <x:v>71</x:v>
      </x:c>
      <x:c r="S104" s="62" t="n">
        <x:v>56.6</x:v>
      </x:c>
      <x:c r="T104" s="62" t="n">
        <x:v>4</x:v>
      </x:c>
      <x:c r="U104" s="62" t="n">
        <x:v>3</x:v>
      </x:c>
      <x:c r="V104" s="60"/>
      <x:c r="W104" s="60" t="n">
        <x:f>IF(COUNT(P104:S104)&gt;=3,AVERAGE(P104:S104),"")</x:f>
        <x:v>60.15</x:v>
      </x:c>
      <x:c r="X104" s="60" t="n">
        <x:f>IF(V104&lt;&gt;"",V104,W104)</x:f>
        <x:v>60.15</x:v>
      </x:c>
      <x:c r="Y104" s="40" t="str">
        <x:f>IF(V104&lt;&gt;"","공식 70% 평균백분위",IF(W104&lt;&gt;"","파생 단순평균(참고)","비교불가"))</x:f>
        <x:v>파생 단순평균(참고)</x:v>
      </x:c>
      <x:c r="Z104" s="60" t="n">
        <x:f>'추천_테스트'!$B$8</x:f>
        <x:v>80</x:v>
      </x:c>
      <x:c r="AA104" s="60" t="n">
        <x:f>IF(X104="","",Z104-X104)</x:f>
        <x:v>19.85</x:v>
      </x:c>
      <x:c r="AB104" s="40" t="str">
        <x:f>IF(X104="","",IF(AA104&gt;='추천_테스트'!$B$10,"안정",IF(AA104&gt;='추천_테스트'!$B$11,"적정",IF(AA104&gt;='추천_테스트'!$B$12,"소신","상향"))))</x:f>
        <x:v>안정</x:v>
      </x:c>
      <x:c r="AC104" s="62" t="n">
        <x:v>100</x:v>
      </x:c>
      <x:c r="AD104" s="62"/>
      <x:c r="AE104" s="62"/>
      <x:c r="AF104" s="41" t="str">
        <x:v>B: 공식 과목별 70% 백분위 → 단순평균 파생</x:v>
      </x:c>
      <x:c r="AG104" s="41" t="str">
        <x:v>https://www.adiga.kr/ucp/uvt/uni/univDetailSelection.do?menuId=PCUVTINF2000&amp;searchSyr=2026&amp;unvCd=0000027</x:v>
      </x:c>
    </x:row>
    <x:row r="105">
      <x:c r="A105" s="40" t="n">
        <x:v>2025</x:v>
      </x:c>
      <x:c r="B105" s="40" t="str">
        <x:v>제주특별자치도</x:v>
      </x:c>
      <x:c r="C105" s="40" t="str">
        <x:v>국립</x:v>
      </x:c>
      <x:c r="D105" s="40" t="str">
        <x:v>제주대학교</x:v>
      </x:c>
      <x:c r="E105" s="40" t="str">
        <x:v>나</x:v>
      </x:c>
      <x:c r="F105" s="40" t="str">
        <x:v>일반학생</x:v>
      </x:c>
      <x:c r="G105" s="41" t="str">
        <x:v>중어중문학과</x:v>
      </x:c>
      <x:c r="H105" s="40" t="n">
        <x:v>9</x:v>
      </x:c>
      <x:c r="I105" s="40" t="n">
        <x:v>2</x:v>
      </x:c>
      <x:c r="J105" s="40" t="n">
        <x:v>11</x:v>
      </x:c>
      <x:c r="K105" s="60" t="n">
        <x:v>4.36</x:v>
      </x:c>
      <x:c r="L105" s="40" t="n">
        <x:v>14</x:v>
      </x:c>
      <x:c r="M105" s="60" t="n">
        <x:v>651.5</x:v>
      </x:c>
      <x:c r="N105" s="60" t="n">
        <x:v>645</x:v>
      </x:c>
      <x:c r="O105" s="60" t="n">
        <x:v>1000</x:v>
      </x:c>
      <x:c r="P105" s="62" t="n">
        <x:v>54</x:v>
      </x:c>
      <x:c r="Q105" s="62" t="n">
        <x:v>41</x:v>
      </x:c>
      <x:c r="R105" s="62" t="n">
        <x:v>53</x:v>
      </x:c>
      <x:c r="S105" s="62" t="n">
        <x:v>59</x:v>
      </x:c>
      <x:c r="T105" s="62" t="n">
        <x:v>4</x:v>
      </x:c>
      <x:c r="U105" s="62" t="n">
        <x:v>3</x:v>
      </x:c>
      <x:c r="V105" s="60"/>
      <x:c r="W105" s="60" t="n">
        <x:f>IF(COUNT(P105:S105)&gt;=3,AVERAGE(P105:S105),"")</x:f>
        <x:v>51.75</x:v>
      </x:c>
      <x:c r="X105" s="60" t="n">
        <x:f>IF(V105&lt;&gt;"",V105,W105)</x:f>
        <x:v>51.75</x:v>
      </x:c>
      <x:c r="Y105" s="40" t="str">
        <x:f>IF(V105&lt;&gt;"","공식 70% 평균백분위",IF(W105&lt;&gt;"","파생 단순평균(참고)","비교불가"))</x:f>
        <x:v>파생 단순평균(참고)</x:v>
      </x:c>
      <x:c r="Z105" s="60" t="n">
        <x:f>'추천_테스트'!$B$8</x:f>
        <x:v>80</x:v>
      </x:c>
      <x:c r="AA105" s="60" t="n">
        <x:f>IF(X105="","",Z105-X105)</x:f>
        <x:v>28.25</x:v>
      </x:c>
      <x:c r="AB105" s="40" t="str">
        <x:f>IF(X105="","",IF(AA105&gt;='추천_테스트'!$B$10,"안정",IF(AA105&gt;='추천_테스트'!$B$11,"적정",IF(AA105&gt;='추천_테스트'!$B$12,"소신","상향"))))</x:f>
        <x:v>안정</x:v>
      </x:c>
      <x:c r="AC105" s="62" t="n">
        <x:v>90.9</x:v>
      </x:c>
      <x:c r="AD105" s="62" t="n">
        <x:v>9.1</x:v>
      </x:c>
      <x:c r="AE105" s="62"/>
      <x:c r="AF105" s="41" t="str">
        <x:v>B: 공식 과목별 70% 백분위 → 단순평균 파생</x:v>
      </x:c>
      <x:c r="AG105" s="41" t="str">
        <x:v>https://www.adiga.kr/ucp/uvt/uni/univDetailSelection.do?menuId=PCUVTINF2000&amp;searchSyr=2026&amp;unvCd=0000027</x:v>
      </x:c>
    </x:row>
    <x:row r="106">
      <x:c r="A106" s="40" t="n">
        <x:v>2025</x:v>
      </x:c>
      <x:c r="B106" s="40" t="str">
        <x:v>제주특별자치도</x:v>
      </x:c>
      <x:c r="C106" s="40" t="str">
        <x:v>국립</x:v>
      </x:c>
      <x:c r="D106" s="40" t="str">
        <x:v>제주대학교</x:v>
      </x:c>
      <x:c r="E106" s="40" t="str">
        <x:v>나</x:v>
      </x:c>
      <x:c r="F106" s="40" t="str">
        <x:v>일반학생</x:v>
      </x:c>
      <x:c r="G106" s="41" t="str">
        <x:v>사학과</x:v>
      </x:c>
      <x:c r="H106" s="40" t="n">
        <x:v>10</x:v>
      </x:c>
      <x:c r="I106" s="40" t="n">
        <x:v>0</x:v>
      </x:c>
      <x:c r="J106" s="40" t="n">
        <x:v>10</x:v>
      </x:c>
      <x:c r="K106" s="60" t="n">
        <x:v>4.6</x:v>
      </x:c>
      <x:c r="L106" s="40" t="n">
        <x:v>8</x:v>
      </x:c>
      <x:c r="M106" s="60" t="n">
        <x:v>685.5</x:v>
      </x:c>
      <x:c r="N106" s="60" t="n">
        <x:v>671.05</x:v>
      </x:c>
      <x:c r="O106" s="60" t="n">
        <x:v>1000</x:v>
      </x:c>
      <x:c r="P106" s="62" t="n">
        <x:v>59.7</x:v>
      </x:c>
      <x:c r="Q106" s="62" t="n">
        <x:v>45.1</x:v>
      </x:c>
      <x:c r="R106" s="62" t="n">
        <x:v>67.2</x:v>
      </x:c>
      <x:c r="S106" s="62" t="n">
        <x:v>69.8</x:v>
      </x:c>
      <x:c r="T106" s="62" t="n">
        <x:v>4.3</x:v>
      </x:c>
      <x:c r="U106" s="62" t="n">
        <x:v>2</x:v>
      </x:c>
      <x:c r="V106" s="60"/>
      <x:c r="W106" s="60" t="n">
        <x:f>IF(COUNT(P106:S106)&gt;=3,AVERAGE(P106:S106),"")</x:f>
        <x:v>60.45</x:v>
      </x:c>
      <x:c r="X106" s="60" t="n">
        <x:f>IF(V106&lt;&gt;"",V106,W106)</x:f>
        <x:v>60.45</x:v>
      </x:c>
      <x:c r="Y106" s="40" t="str">
        <x:f>IF(V106&lt;&gt;"","공식 70% 평균백분위",IF(W106&lt;&gt;"","파생 단순평균(참고)","비교불가"))</x:f>
        <x:v>파생 단순평균(참고)</x:v>
      </x:c>
      <x:c r="Z106" s="60" t="n">
        <x:f>'추천_테스트'!$B$8</x:f>
        <x:v>80</x:v>
      </x:c>
      <x:c r="AA106" s="60" t="n">
        <x:f>IF(X106="","",Z106-X106)</x:f>
        <x:v>19.549999999999997</x:v>
      </x:c>
      <x:c r="AB106" s="40" t="str">
        <x:f>IF(X106="","",IF(AA106&gt;='추천_테스트'!$B$10,"안정",IF(AA106&gt;='추천_테스트'!$B$11,"적정",IF(AA106&gt;='추천_테스트'!$B$12,"소신","상향"))))</x:f>
        <x:v>안정</x:v>
      </x:c>
      <x:c r="AC106" s="62" t="n">
        <x:v>100</x:v>
      </x:c>
      <x:c r="AD106" s="62"/>
      <x:c r="AE106" s="62"/>
      <x:c r="AF106" s="41" t="str">
        <x:v>B: 공식 과목별 70% 백분위 → 단순평균 파생</x:v>
      </x:c>
      <x:c r="AG106" s="41" t="str">
        <x:v>https://www.adiga.kr/ucp/uvt/uni/univDetailSelection.do?menuId=PCUVTINF2000&amp;searchSyr=2026&amp;unvCd=0000027</x:v>
      </x:c>
    </x:row>
    <x:row r="107">
      <x:c r="A107" s="40" t="n">
        <x:v>2025</x:v>
      </x:c>
      <x:c r="B107" s="40" t="str">
        <x:v>제주특별자치도</x:v>
      </x:c>
      <x:c r="C107" s="40" t="str">
        <x:v>국립</x:v>
      </x:c>
      <x:c r="D107" s="40" t="str">
        <x:v>제주대학교</x:v>
      </x:c>
      <x:c r="E107" s="40" t="str">
        <x:v>나</x:v>
      </x:c>
      <x:c r="F107" s="40" t="str">
        <x:v>일반학생</x:v>
      </x:c>
      <x:c r="G107" s="41" t="str">
        <x:v>철학과</x:v>
      </x:c>
      <x:c r="H107" s="40" t="n">
        <x:v>7</x:v>
      </x:c>
      <x:c r="I107" s="40" t="n">
        <x:v>2</x:v>
      </x:c>
      <x:c r="J107" s="40" t="n">
        <x:v>9</x:v>
      </x:c>
      <x:c r="K107" s="60" t="n">
        <x:v>5.33</x:v>
      </x:c>
      <x:c r="L107" s="40" t="n">
        <x:v>4</x:v>
      </x:c>
      <x:c r="M107" s="60" t="n">
        <x:v>640.5</x:v>
      </x:c>
      <x:c r="N107" s="60" t="n">
        <x:v>636.3</x:v>
      </x:c>
      <x:c r="O107" s="60" t="n">
        <x:v>1000</x:v>
      </x:c>
      <x:c r="P107" s="62" t="n">
        <x:v>62.6</x:v>
      </x:c>
      <x:c r="Q107" s="62" t="n">
        <x:v>30.8</x:v>
      </x:c>
      <x:c r="R107" s="62" t="n">
        <x:v>52</x:v>
      </x:c>
      <x:c r="S107" s="62" t="n">
        <x:v>55</x:v>
      </x:c>
      <x:c r="T107" s="62" t="n">
        <x:v>4</x:v>
      </x:c>
      <x:c r="U107" s="62" t="n">
        <x:v>3</x:v>
      </x:c>
      <x:c r="V107" s="60"/>
      <x:c r="W107" s="60" t="n">
        <x:f>IF(COUNT(P107:S107)&gt;=3,AVERAGE(P107:S107),"")</x:f>
        <x:v>50.1</x:v>
      </x:c>
      <x:c r="X107" s="60" t="n">
        <x:f>IF(V107&lt;&gt;"",V107,W107)</x:f>
        <x:v>50.1</x:v>
      </x:c>
      <x:c r="Y107" s="40" t="str">
        <x:f>IF(V107&lt;&gt;"","공식 70% 평균백분위",IF(W107&lt;&gt;"","파생 단순평균(참고)","비교불가"))</x:f>
        <x:v>파생 단순평균(참고)</x:v>
      </x:c>
      <x:c r="Z107" s="60" t="n">
        <x:f>'추천_테스트'!$B$8</x:f>
        <x:v>80</x:v>
      </x:c>
      <x:c r="AA107" s="60" t="n">
        <x:f>IF(X107="","",Z107-X107)</x:f>
        <x:v>29.9</x:v>
      </x:c>
      <x:c r="AB107" s="40" t="str">
        <x:f>IF(X107="","",IF(AA107&gt;='추천_테스트'!$B$10,"안정",IF(AA107&gt;='추천_테스트'!$B$11,"적정",IF(AA107&gt;='추천_테스트'!$B$12,"소신","상향"))))</x:f>
        <x:v>안정</x:v>
      </x:c>
      <x:c r="AC107" s="62" t="n">
        <x:v>77.8</x:v>
      </x:c>
      <x:c r="AD107" s="62" t="n">
        <x:v>22.2</x:v>
      </x:c>
      <x:c r="AE107" s="62"/>
      <x:c r="AF107" s="41" t="str">
        <x:v>B: 공식 과목별 70% 백분위 → 단순평균 파생</x:v>
      </x:c>
      <x:c r="AG107" s="41" t="str">
        <x:v>https://www.adiga.kr/ucp/uvt/uni/univDetailSelection.do?menuId=PCUVTINF2000&amp;searchSyr=2026&amp;unvCd=0000027</x:v>
      </x:c>
    </x:row>
    <x:row r="108">
      <x:c r="A108" s="40" t="n">
        <x:v>2025</x:v>
      </x:c>
      <x:c r="B108" s="40" t="str">
        <x:v>제주특별자치도</x:v>
      </x:c>
      <x:c r="C108" s="40" t="str">
        <x:v>국립</x:v>
      </x:c>
      <x:c r="D108" s="40" t="str">
        <x:v>제주대학교</x:v>
      </x:c>
      <x:c r="E108" s="40" t="str">
        <x:v>나</x:v>
      </x:c>
      <x:c r="F108" s="40" t="str">
        <x:v>일반학생</x:v>
      </x:c>
      <x:c r="G108" s="41" t="str">
        <x:v>행정학과</x:v>
      </x:c>
      <x:c r="H108" s="40" t="n">
        <x:v>14</x:v>
      </x:c>
      <x:c r="I108" s="40" t="n">
        <x:v>1</x:v>
      </x:c>
      <x:c r="J108" s="40" t="n">
        <x:v>15</x:v>
      </x:c>
      <x:c r="K108" s="60" t="n">
        <x:v>3.27</x:v>
      </x:c>
      <x:c r="L108" s="40" t="n">
        <x:v>10</x:v>
      </x:c>
      <x:c r="M108" s="60" t="n">
        <x:v>740.5</x:v>
      </x:c>
      <x:c r="N108" s="60" t="n">
        <x:v>709.56</x:v>
      </x:c>
      <x:c r="O108" s="60" t="n">
        <x:v>1000</x:v>
      </x:c>
      <x:c r="P108" s="62" t="n">
        <x:v>61</x:v>
      </x:c>
      <x:c r="Q108" s="62" t="n">
        <x:v>59</x:v>
      </x:c>
      <x:c r="R108" s="62" t="n">
        <x:v>67</x:v>
      </x:c>
      <x:c r="S108" s="62" t="n">
        <x:v>64</x:v>
      </x:c>
      <x:c r="T108" s="62" t="n">
        <x:v>4</x:v>
      </x:c>
      <x:c r="U108" s="62" t="n">
        <x:v>2</x:v>
      </x:c>
      <x:c r="V108" s="60"/>
      <x:c r="W108" s="60" t="n">
        <x:f>IF(COUNT(P108:S108)&gt;=3,AVERAGE(P108:S108),"")</x:f>
        <x:v>62.75</x:v>
      </x:c>
      <x:c r="X108" s="60" t="n">
        <x:f>IF(V108&lt;&gt;"",V108,W108)</x:f>
        <x:v>62.75</x:v>
      </x:c>
      <x:c r="Y108" s="40" t="str">
        <x:f>IF(V108&lt;&gt;"","공식 70% 평균백분위",IF(W108&lt;&gt;"","파생 단순평균(참고)","비교불가"))</x:f>
        <x:v>파생 단순평균(참고)</x:v>
      </x:c>
      <x:c r="Z108" s="60" t="n">
        <x:f>'추천_테스트'!$B$8</x:f>
        <x:v>80</x:v>
      </x:c>
      <x:c r="AA108" s="60" t="n">
        <x:f>IF(X108="","",Z108-X108)</x:f>
        <x:v>17.25</x:v>
      </x:c>
      <x:c r="AB108" s="40" t="str">
        <x:f>IF(X108="","",IF(AA108&gt;='추천_테스트'!$B$10,"안정",IF(AA108&gt;='추천_테스트'!$B$11,"적정",IF(AA108&gt;='추천_테스트'!$B$12,"소신","상향"))))</x:f>
        <x:v>안정</x:v>
      </x:c>
      <x:c r="AC108" s="62" t="n">
        <x:v>73.3</x:v>
      </x:c>
      <x:c r="AD108" s="62" t="n">
        <x:v>26.7</x:v>
      </x:c>
      <x:c r="AE108" s="62"/>
      <x:c r="AF108" s="41" t="str">
        <x:v>B: 공식 과목별 70% 백분위 → 단순평균 파생</x:v>
      </x:c>
      <x:c r="AG108" s="41" t="str">
        <x:v>https://www.adiga.kr/ucp/uvt/uni/univDetailSelection.do?menuId=PCUVTINF2000&amp;searchSyr=2026&amp;unvCd=0000027</x:v>
      </x:c>
    </x:row>
    <x:row r="109">
      <x:c r="A109" s="40" t="n">
        <x:v>2025</x:v>
      </x:c>
      <x:c r="B109" s="40" t="str">
        <x:v>제주특별자치도</x:v>
      </x:c>
      <x:c r="C109" s="40" t="str">
        <x:v>국립</x:v>
      </x:c>
      <x:c r="D109" s="40" t="str">
        <x:v>제주대학교</x:v>
      </x:c>
      <x:c r="E109" s="40" t="str">
        <x:v>나</x:v>
      </x:c>
      <x:c r="F109" s="40" t="str">
        <x:v>일반학생</x:v>
      </x:c>
      <x:c r="G109" s="41" t="str">
        <x:v>경제학과</x:v>
      </x:c>
      <x:c r="H109" s="40" t="n">
        <x:v>11</x:v>
      </x:c>
      <x:c r="I109" s="40" t="n">
        <x:v>2</x:v>
      </x:c>
      <x:c r="J109" s="40" t="n">
        <x:v>13</x:v>
      </x:c>
      <x:c r="K109" s="60" t="n">
        <x:v>3.31</x:v>
      </x:c>
      <x:c r="L109" s="40" t="n">
        <x:v>13</x:v>
      </x:c>
      <x:c r="M109" s="60" t="n">
        <x:v>694</x:v>
      </x:c>
      <x:c r="N109" s="60" t="n">
        <x:v>679.78</x:v>
      </x:c>
      <x:c r="O109" s="60" t="n">
        <x:v>1000</x:v>
      </x:c>
      <x:c r="P109" s="62" t="n">
        <x:v>61</x:v>
      </x:c>
      <x:c r="Q109" s="62" t="n">
        <x:v>55.2</x:v>
      </x:c>
      <x:c r="R109" s="62" t="n">
        <x:v>63.6</x:v>
      </x:c>
      <x:c r="S109" s="62" t="n">
        <x:v>53.4</x:v>
      </x:c>
      <x:c r="T109" s="62" t="n">
        <x:v>4</x:v>
      </x:c>
      <x:c r="U109" s="62" t="n">
        <x:v>4.4</x:v>
      </x:c>
      <x:c r="V109" s="60"/>
      <x:c r="W109" s="60" t="n">
        <x:f>IF(COUNT(P109:S109)&gt;=3,AVERAGE(P109:S109),"")</x:f>
        <x:v>58.300000000000004</x:v>
      </x:c>
      <x:c r="X109" s="60" t="n">
        <x:f>IF(V109&lt;&gt;"",V109,W109)</x:f>
        <x:v>58.300000000000004</x:v>
      </x:c>
      <x:c r="Y109" s="40" t="str">
        <x:f>IF(V109&lt;&gt;"","공식 70% 평균백분위",IF(W109&lt;&gt;"","파생 단순평균(참고)","비교불가"))</x:f>
        <x:v>파생 단순평균(참고)</x:v>
      </x:c>
      <x:c r="Z109" s="60" t="n">
        <x:f>'추천_테스트'!$B$8</x:f>
        <x:v>80</x:v>
      </x:c>
      <x:c r="AA109" s="60" t="n">
        <x:f>IF(X109="","",Z109-X109)</x:f>
        <x:v>21.699999999999996</x:v>
      </x:c>
      <x:c r="AB109" s="40" t="str">
        <x:f>IF(X109="","",IF(AA109&gt;='추천_테스트'!$B$10,"안정",IF(AA109&gt;='추천_테스트'!$B$11,"적정",IF(AA109&gt;='추천_테스트'!$B$12,"소신","상향"))))</x:f>
        <x:v>안정</x:v>
      </x:c>
      <x:c r="AC109" s="62" t="n">
        <x:v>76.9</x:v>
      </x:c>
      <x:c r="AD109" s="62" t="n">
        <x:v>15.4</x:v>
      </x:c>
      <x:c r="AE109" s="62" t="n">
        <x:v>7.7</x:v>
      </x:c>
      <x:c r="AF109" s="41" t="str">
        <x:v>B: 공식 과목별 70% 백분위 → 단순평균 파생</x:v>
      </x:c>
      <x:c r="AG109" s="41" t="str">
        <x:v>https://www.adiga.kr/ucp/uvt/uni/univDetailSelection.do?menuId=PCUVTINF2000&amp;searchSyr=2026&amp;unvCd=0000027</x:v>
      </x:c>
    </x:row>
    <x:row r="110">
      <x:c r="A110" s="40" t="n">
        <x:v>2025</x:v>
      </x:c>
      <x:c r="B110" s="40" t="str">
        <x:v>대전광역시</x:v>
      </x:c>
      <x:c r="C110" s="40" t="str">
        <x:v>국립</x:v>
      </x:c>
      <x:c r="D110" s="40" t="str">
        <x:v>충남대학교</x:v>
      </x:c>
      <x:c r="E110" s="40" t="str">
        <x:v>가</x:v>
      </x:c>
      <x:c r="F110" s="40" t="str">
        <x:v>일반전형</x:v>
      </x:c>
      <x:c r="G110" s="41" t="str">
        <x:v>사회학과</x:v>
      </x:c>
      <x:c r="H110" s="40" t="n">
        <x:v>3</x:v>
      </x:c>
      <x:c r="I110" s="40" t="n">
        <x:v>1</x:v>
      </x:c>
      <x:c r="J110" s="40" t="n">
        <x:v>4</x:v>
      </x:c>
      <x:c r="K110" s="60" t="n">
        <x:v>6.75</x:v>
      </x:c>
      <x:c r="L110" s="40" t="n">
        <x:v>3</x:v>
      </x:c>
      <x:c r="M110" s="60" t="n">
        <x:v>170.94</x:v>
      </x:c>
      <x:c r="N110" s="60" t="n">
        <x:v>170.72</x:v>
      </x:c>
      <x:c r="O110" s="60" t="n">
        <x:v>300</x:v>
      </x:c>
      <x:c r="P110" s="62" t="n">
        <x:v>77</x:v>
      </x:c>
      <x:c r="Q110" s="62" t="n">
        <x:v>63</x:v>
      </x:c>
      <x:c r="R110" s="62" t="n">
        <x:v>87</x:v>
      </x:c>
      <x:c r="S110" s="62" t="n">
        <x:v>64</x:v>
      </x:c>
      <x:c r="T110" s="62" t="n">
        <x:v>2</x:v>
      </x:c>
      <x:c r="U110" s="62" t="n">
        <x:v>6</x:v>
      </x:c>
      <x:c r="V110" s="60"/>
      <x:c r="W110" s="60" t="n">
        <x:f>IF(COUNT(P110:S110)&gt;=3,AVERAGE(P110:S110),"")</x:f>
        <x:v>72.75</x:v>
      </x:c>
      <x:c r="X110" s="60" t="n">
        <x:f>IF(V110&lt;&gt;"",V110,W110)</x:f>
        <x:v>72.75</x:v>
      </x:c>
      <x:c r="Y110" s="40" t="str">
        <x:f>IF(V110&lt;&gt;"","공식 70% 평균백분위",IF(W110&lt;&gt;"","파생 단순평균(참고)","비교불가"))</x:f>
        <x:v>파생 단순평균(참고)</x:v>
      </x:c>
      <x:c r="Z110" s="60" t="n">
        <x:f>'추천_테스트'!$B$8</x:f>
        <x:v>80</x:v>
      </x:c>
      <x:c r="AA110" s="60" t="n">
        <x:f>IF(X110="","",Z110-X110)</x:f>
        <x:v>7.25</x:v>
      </x:c>
      <x:c r="AB110" s="40" t="str">
        <x:f>IF(X110="","",IF(AA110&gt;='추천_테스트'!$B$10,"안정",IF(AA110&gt;='추천_테스트'!$B$11,"적정",IF(AA110&gt;='추천_테스트'!$B$12,"소신","상향"))))</x:f>
        <x:v>안정</x:v>
      </x:c>
      <x:c r="AC110" s="62" t="n">
        <x:v>75</x:v>
      </x:c>
      <x:c r="AD110" s="62" t="n">
        <x:v>25</x:v>
      </x:c>
      <x:c r="AE110" s="62" t="n">
        <x:v>0</x:v>
      </x:c>
      <x:c r="AF110" s="41" t="str">
        <x:v>B: 공식 과목별 70% 백분위 → 단순평균 파생</x:v>
      </x:c>
      <x:c r="AG110" s="41" t="str">
        <x:v>https://www.adiga.kr/ucp/uvt/uni/univDetailSelection.do?menuId=PCUVTINF2000&amp;searchSyr=2026&amp;unvCd=0000029</x:v>
      </x:c>
    </x:row>
    <x:row r="111">
      <x:c r="A111" s="40" t="n">
        <x:v>2025</x:v>
      </x:c>
      <x:c r="B111" s="40" t="str">
        <x:v>대전광역시</x:v>
      </x:c>
      <x:c r="C111" s="40" t="str">
        <x:v>국립</x:v>
      </x:c>
      <x:c r="D111" s="40" t="str">
        <x:v>충남대학교</x:v>
      </x:c>
      <x:c r="E111" s="40" t="str">
        <x:v>가</x:v>
      </x:c>
      <x:c r="F111" s="40" t="str">
        <x:v>일반전형</x:v>
      </x:c>
      <x:c r="G111" s="41" t="str">
        <x:v>문헌정보학과</x:v>
      </x:c>
      <x:c r="H111" s="40" t="n">
        <x:v>3</x:v>
      </x:c>
      <x:c r="I111" s="40" t="n">
        <x:v>0</x:v>
      </x:c>
      <x:c r="J111" s="40" t="n">
        <x:v>3</x:v>
      </x:c>
      <x:c r="K111" s="60" t="n">
        <x:v>12</x:v>
      </x:c>
      <x:c r="L111" s="40" t="n">
        <x:v>4</x:v>
      </x:c>
      <x:c r="M111" s="60" t="n">
        <x:v>174.58</x:v>
      </x:c>
      <x:c r="N111" s="60" t="n">
        <x:v>174</x:v>
      </x:c>
      <x:c r="O111" s="60" t="n">
        <x:v>300</x:v>
      </x:c>
      <x:c r="P111" s="62" t="n">
        <x:v>80</x:v>
      </x:c>
      <x:c r="Q111" s="62" t="n">
        <x:v>78</x:v>
      </x:c>
      <x:c r="R111" s="62" t="n">
        <x:v>92</x:v>
      </x:c>
      <x:c r="S111" s="62" t="n">
        <x:v>80</x:v>
      </x:c>
      <x:c r="T111" s="62" t="n">
        <x:v>3</x:v>
      </x:c>
      <x:c r="U111" s="62" t="n">
        <x:v>2</x:v>
      </x:c>
      <x:c r="V111" s="60"/>
      <x:c r="W111" s="60" t="n">
        <x:f>IF(COUNT(P111:S111)&gt;=3,AVERAGE(P111:S111),"")</x:f>
        <x:v>82.5</x:v>
      </x:c>
      <x:c r="X111" s="60" t="n">
        <x:f>IF(V111&lt;&gt;"",V111,W111)</x:f>
        <x:v>82.5</x:v>
      </x:c>
      <x:c r="Y111" s="40" t="str">
        <x:f>IF(V111&lt;&gt;"","공식 70% 평균백분위",IF(W111&lt;&gt;"","파생 단순평균(참고)","비교불가"))</x:f>
        <x:v>파생 단순평균(참고)</x:v>
      </x:c>
      <x:c r="Z111" s="60" t="n">
        <x:f>'추천_테스트'!$B$8</x:f>
        <x:v>80</x:v>
      </x:c>
      <x:c r="AA111" s="60" t="n">
        <x:f>IF(X111="","",Z111-X111)</x:f>
        <x:v>-2.5</x:v>
      </x:c>
      <x:c r="AB111" s="40" t="str">
        <x:f>IF(X111="","",IF(AA111&gt;='추천_테스트'!$B$10,"안정",IF(AA111&gt;='추천_테스트'!$B$11,"적정",IF(AA111&gt;='추천_테스트'!$B$12,"소신","상향"))))</x:f>
        <x:v>상향</x:v>
      </x:c>
      <x:c r="AC111" s="62" t="n">
        <x:v>66.7</x:v>
      </x:c>
      <x:c r="AD111" s="62" t="n">
        <x:v>33.3</x:v>
      </x:c>
      <x:c r="AE111" s="62" t="n">
        <x:v>0</x:v>
      </x:c>
      <x:c r="AF111" s="41" t="str">
        <x:v>B: 공식 과목별 70% 백분위 → 단순평균 파생</x:v>
      </x:c>
      <x:c r="AG111" s="41" t="str">
        <x:v>https://www.adiga.kr/ucp/uvt/uni/univDetailSelection.do?menuId=PCUVTINF2000&amp;searchSyr=2026&amp;unvCd=0000029</x:v>
      </x:c>
    </x:row>
    <x:row r="112">
      <x:c r="A112" s="40" t="n">
        <x:v>2025</x:v>
      </x:c>
      <x:c r="B112" s="40" t="str">
        <x:v>대전광역시</x:v>
      </x:c>
      <x:c r="C112" s="40" t="str">
        <x:v>국립</x:v>
      </x:c>
      <x:c r="D112" s="40" t="str">
        <x:v>충남대학교</x:v>
      </x:c>
      <x:c r="E112" s="40" t="str">
        <x:v>가</x:v>
      </x:c>
      <x:c r="F112" s="40" t="str">
        <x:v>일반전형</x:v>
      </x:c>
      <x:c r="G112" s="41" t="str">
        <x:v>심리학과</x:v>
      </x:c>
      <x:c r="H112" s="40" t="n">
        <x:v>2</x:v>
      </x:c>
      <x:c r="I112" s="40" t="n">
        <x:v>1</x:v>
      </x:c>
      <x:c r="J112" s="40" t="n">
        <x:v>3</x:v>
      </x:c>
      <x:c r="K112" s="60" t="n">
        <x:v>8.33</x:v>
      </x:c>
      <x:c r="L112" s="40" t="n">
        <x:v>4</x:v>
      </x:c>
      <x:c r="M112" s="60" t="n">
        <x:v>180.95</x:v>
      </x:c>
      <x:c r="N112" s="60" t="n">
        <x:v>179.91</x:v>
      </x:c>
      <x:c r="O112" s="60" t="n">
        <x:v>300</x:v>
      </x:c>
      <x:c r="P112" s="62" t="n">
        <x:v>92</x:v>
      </x:c>
      <x:c r="Q112" s="62" t="n">
        <x:v>57</x:v>
      </x:c>
      <x:c r="R112" s="62" t="n">
        <x:v>93</x:v>
      </x:c>
      <x:c r="S112" s="62" t="n">
        <x:v>95</x:v>
      </x:c>
      <x:c r="T112" s="62" t="n">
        <x:v>2</x:v>
      </x:c>
      <x:c r="U112" s="62" t="n">
        <x:v>1</x:v>
      </x:c>
      <x:c r="V112" s="60"/>
      <x:c r="W112" s="60" t="n">
        <x:f>IF(COUNT(P112:S112)&gt;=3,AVERAGE(P112:S112),"")</x:f>
        <x:v>84.25</x:v>
      </x:c>
      <x:c r="X112" s="60" t="n">
        <x:f>IF(V112&lt;&gt;"",V112,W112)</x:f>
        <x:v>84.25</x:v>
      </x:c>
      <x:c r="Y112" s="40" t="str">
        <x:f>IF(V112&lt;&gt;"","공식 70% 평균백분위",IF(W112&lt;&gt;"","파생 단순평균(참고)","비교불가"))</x:f>
        <x:v>파생 단순평균(참고)</x:v>
      </x:c>
      <x:c r="Z112" s="60" t="n">
        <x:f>'추천_테스트'!$B$8</x:f>
        <x:v>80</x:v>
      </x:c>
      <x:c r="AA112" s="60" t="n">
        <x:f>IF(X112="","",Z112-X112)</x:f>
        <x:v>-4.25</x:v>
      </x:c>
      <x:c r="AB112" s="40" t="str">
        <x:f>IF(X112="","",IF(AA112&gt;='추천_테스트'!$B$10,"안정",IF(AA112&gt;='추천_테스트'!$B$11,"적정",IF(AA112&gt;='추천_테스트'!$B$12,"소신","상향"))))</x:f>
        <x:v>상향</x:v>
      </x:c>
      <x:c r="AC112" s="62" t="n">
        <x:v>100</x:v>
      </x:c>
      <x:c r="AD112" s="62" t="n">
        <x:v>0</x:v>
      </x:c>
      <x:c r="AE112" s="62" t="n">
        <x:v>0</x:v>
      </x:c>
      <x:c r="AF112" s="41" t="str">
        <x:v>B: 공식 과목별 70% 백분위 → 단순평균 파생</x:v>
      </x:c>
      <x:c r="AG112" s="41" t="str">
        <x:v>https://www.adiga.kr/ucp/uvt/uni/univDetailSelection.do?menuId=PCUVTINF2000&amp;searchSyr=2026&amp;unvCd=0000029</x:v>
      </x:c>
    </x:row>
    <x:row r="113">
      <x:c r="A113" s="40" t="n">
        <x:v>2025</x:v>
      </x:c>
      <x:c r="B113" s="40" t="str">
        <x:v>대전광역시</x:v>
      </x:c>
      <x:c r="C113" s="40" t="str">
        <x:v>국립</x:v>
      </x:c>
      <x:c r="D113" s="40" t="str">
        <x:v>충남대학교</x:v>
      </x:c>
      <x:c r="E113" s="40" t="str">
        <x:v>가</x:v>
      </x:c>
      <x:c r="F113" s="40" t="str">
        <x:v>일반전형</x:v>
      </x:c>
      <x:c r="G113" s="41" t="str">
        <x:v>언론정보학과</x:v>
      </x:c>
      <x:c r="H113" s="40" t="n">
        <x:v>4</x:v>
      </x:c>
      <x:c r="I113" s="40" t="n">
        <x:v>0</x:v>
      </x:c>
      <x:c r="J113" s="40" t="n">
        <x:v>4</x:v>
      </x:c>
      <x:c r="K113" s="60" t="n">
        <x:v>10.75</x:v>
      </x:c>
      <x:c r="L113" s="40" t="n">
        <x:v>4</x:v>
      </x:c>
      <x:c r="M113" s="60" t="n">
        <x:v>176.2</x:v>
      </x:c>
      <x:c r="N113" s="60" t="n">
        <x:v>174</x:v>
      </x:c>
      <x:c r="O113" s="60" t="n">
        <x:v>300</x:v>
      </x:c>
      <x:c r="P113" s="62" t="n">
        <x:v>82</x:v>
      </x:c>
      <x:c r="Q113" s="62" t="n">
        <x:v>78</x:v>
      </x:c>
      <x:c r="R113" s="62" t="n">
        <x:v>97</x:v>
      </x:c>
      <x:c r="S113" s="62" t="n">
        <x:v>89</x:v>
      </x:c>
      <x:c r="T113" s="62" t="n">
        <x:v>2</x:v>
      </x:c>
      <x:c r="U113" s="62" t="n">
        <x:v>1</x:v>
      </x:c>
      <x:c r="V113" s="60"/>
      <x:c r="W113" s="60" t="n">
        <x:f>IF(COUNT(P113:S113)&gt;=3,AVERAGE(P113:S113),"")</x:f>
        <x:v>86.5</x:v>
      </x:c>
      <x:c r="X113" s="60" t="n">
        <x:f>IF(V113&lt;&gt;"",V113,W113)</x:f>
        <x:v>86.5</x:v>
      </x:c>
      <x:c r="Y113" s="40" t="str">
        <x:f>IF(V113&lt;&gt;"","공식 70% 평균백분위",IF(W113&lt;&gt;"","파생 단순평균(참고)","비교불가"))</x:f>
        <x:v>파생 단순평균(참고)</x:v>
      </x:c>
      <x:c r="Z113" s="60" t="n">
        <x:f>'추천_테스트'!$B$8</x:f>
        <x:v>80</x:v>
      </x:c>
      <x:c r="AA113" s="60" t="n">
        <x:f>IF(X113="","",Z113-X113)</x:f>
        <x:v>-6.5</x:v>
      </x:c>
      <x:c r="AB113" s="40" t="str">
        <x:f>IF(X113="","",IF(AA113&gt;='추천_테스트'!$B$10,"안정",IF(AA113&gt;='추천_테스트'!$B$11,"적정",IF(AA113&gt;='추천_테스트'!$B$12,"소신","상향"))))</x:f>
        <x:v>상향</x:v>
      </x:c>
      <x:c r="AC113" s="62" t="n">
        <x:v>100</x:v>
      </x:c>
      <x:c r="AD113" s="62" t="n">
        <x:v>0</x:v>
      </x:c>
      <x:c r="AE113" s="62" t="n">
        <x:v>0</x:v>
      </x:c>
      <x:c r="AF113" s="41" t="str">
        <x:v>B: 공식 과목별 70% 백분위 → 단순평균 파생</x:v>
      </x:c>
      <x:c r="AG113" s="41" t="str">
        <x:v>https://www.adiga.kr/ucp/uvt/uni/univDetailSelection.do?menuId=PCUVTINF2000&amp;searchSyr=2026&amp;unvCd=0000029</x:v>
      </x:c>
    </x:row>
    <x:row r="114">
      <x:c r="A114" s="40" t="n">
        <x:v>2025</x:v>
      </x:c>
      <x:c r="B114" s="40" t="str">
        <x:v>대전광역시</x:v>
      </x:c>
      <x:c r="C114" s="40" t="str">
        <x:v>국립</x:v>
      </x:c>
      <x:c r="D114" s="40" t="str">
        <x:v>충남대학교</x:v>
      </x:c>
      <x:c r="E114" s="40" t="str">
        <x:v>가</x:v>
      </x:c>
      <x:c r="F114" s="40" t="str">
        <x:v>일반전형</x:v>
      </x:c>
      <x:c r="G114" s="41" t="str">
        <x:v>사회복지학과</x:v>
      </x:c>
      <x:c r="H114" s="40" t="n">
        <x:v>3</x:v>
      </x:c>
      <x:c r="I114" s="40" t="n">
        <x:v>0</x:v>
      </x:c>
      <x:c r="J114" s="40" t="n">
        <x:v>3</x:v>
      </x:c>
      <x:c r="K114" s="60" t="n">
        <x:v>9.33</x:v>
      </x:c>
      <x:c r="L114" s="40" t="n">
        <x:v>5</x:v>
      </x:c>
      <x:c r="M114" s="60" t="n">
        <x:v>171.35</x:v>
      </x:c>
      <x:c r="N114" s="60" t="n">
        <x:v>170.85</x:v>
      </x:c>
      <x:c r="O114" s="60" t="n">
        <x:v>300</x:v>
      </x:c>
      <x:c r="P114" s="62" t="n">
        <x:v>74</x:v>
      </x:c>
      <x:c r="Q114" s="62" t="n">
        <x:v>66</x:v>
      </x:c>
      <x:c r="R114" s="62" t="n">
        <x:v>95</x:v>
      </x:c>
      <x:c r="S114" s="62" t="n">
        <x:v>82</x:v>
      </x:c>
      <x:c r="T114" s="62" t="n">
        <x:v>3</x:v>
      </x:c>
      <x:c r="U114" s="62" t="n">
        <x:v>1</x:v>
      </x:c>
      <x:c r="V114" s="60"/>
      <x:c r="W114" s="60" t="n">
        <x:f>IF(COUNT(P114:S114)&gt;=3,AVERAGE(P114:S114),"")</x:f>
        <x:v>79.25</x:v>
      </x:c>
      <x:c r="X114" s="60" t="n">
        <x:f>IF(V114&lt;&gt;"",V114,W114)</x:f>
        <x:v>79.25</x:v>
      </x:c>
      <x:c r="Y114" s="40" t="str">
        <x:f>IF(V114&lt;&gt;"","공식 70% 평균백분위",IF(W114&lt;&gt;"","파생 단순평균(참고)","비교불가"))</x:f>
        <x:v>파생 단순평균(참고)</x:v>
      </x:c>
      <x:c r="Z114" s="60" t="n">
        <x:f>'추천_테스트'!$B$8</x:f>
        <x:v>80</x:v>
      </x:c>
      <x:c r="AA114" s="60" t="n">
        <x:f>IF(X114="","",Z114-X114)</x:f>
        <x:v>0.75</x:v>
      </x:c>
      <x:c r="AB114" s="40" t="str">
        <x:f>IF(X114="","",IF(AA114&gt;='추천_테스트'!$B$10,"안정",IF(AA114&gt;='추천_테스트'!$B$11,"적정",IF(AA114&gt;='추천_테스트'!$B$12,"소신","상향"))))</x:f>
        <x:v>소신</x:v>
      </x:c>
      <x:c r="AC114" s="62" t="n">
        <x:v>100</x:v>
      </x:c>
      <x:c r="AD114" s="62" t="n">
        <x:v>0</x:v>
      </x:c>
      <x:c r="AE114" s="62" t="n">
        <x:v>0</x:v>
      </x:c>
      <x:c r="AF114" s="41" t="str">
        <x:v>B: 공식 과목별 70% 백분위 → 단순평균 파생</x:v>
      </x:c>
      <x:c r="AG114" s="41" t="str">
        <x:v>https://www.adiga.kr/ucp/uvt/uni/univDetailSelection.do?menuId=PCUVTINF2000&amp;searchSyr=2026&amp;unvCd=0000029</x:v>
      </x:c>
    </x:row>
    <x:row r="115">
      <x:c r="A115" s="40" t="n">
        <x:v>2025</x:v>
      </x:c>
      <x:c r="B115" s="40" t="str">
        <x:v>대전광역시</x:v>
      </x:c>
      <x:c r="C115" s="40" t="str">
        <x:v>국립</x:v>
      </x:c>
      <x:c r="D115" s="40" t="str">
        <x:v>충남대학교</x:v>
      </x:c>
      <x:c r="E115" s="40" t="str">
        <x:v>가</x:v>
      </x:c>
      <x:c r="F115" s="40" t="str">
        <x:v>일반전형</x:v>
      </x:c>
      <x:c r="G115" s="41" t="str">
        <x:v>행정학부</x:v>
      </x:c>
      <x:c r="H115" s="40" t="n">
        <x:v>10</x:v>
      </x:c>
      <x:c r="I115" s="40" t="n">
        <x:v>0</x:v>
      </x:c>
      <x:c r="J115" s="40" t="n">
        <x:v>10</x:v>
      </x:c>
      <x:c r="K115" s="60" t="n">
        <x:v>8.5</x:v>
      </x:c>
      <x:c r="L115" s="40" t="n">
        <x:v>9</x:v>
      </x:c>
      <x:c r="M115" s="60" t="n">
        <x:v>178.16</x:v>
      </x:c>
      <x:c r="N115" s="60" t="n">
        <x:v>175.39</x:v>
      </x:c>
      <x:c r="O115" s="60" t="n">
        <x:v>300</x:v>
      </x:c>
      <x:c r="P115" s="62" t="n">
        <x:v>77</x:v>
      </x:c>
      <x:c r="Q115" s="62" t="n">
        <x:v>62</x:v>
      </x:c>
      <x:c r="R115" s="62" t="n">
        <x:v>99</x:v>
      </x:c>
      <x:c r="S115" s="62" t="n">
        <x:v>93</x:v>
      </x:c>
      <x:c r="T115" s="62" t="n">
        <x:v>2</x:v>
      </x:c>
      <x:c r="U115" s="62" t="n">
        <x:v>2</x:v>
      </x:c>
      <x:c r="V115" s="60"/>
      <x:c r="W115" s="60" t="n">
        <x:f>IF(COUNT(P115:S115)&gt;=3,AVERAGE(P115:S115),"")</x:f>
        <x:v>82.75</x:v>
      </x:c>
      <x:c r="X115" s="60" t="n">
        <x:f>IF(V115&lt;&gt;"",V115,W115)</x:f>
        <x:v>82.75</x:v>
      </x:c>
      <x:c r="Y115" s="40" t="str">
        <x:f>IF(V115&lt;&gt;"","공식 70% 평균백분위",IF(W115&lt;&gt;"","파생 단순평균(참고)","비교불가"))</x:f>
        <x:v>파생 단순평균(참고)</x:v>
      </x:c>
      <x:c r="Z115" s="60" t="n">
        <x:f>'추천_테스트'!$B$8</x:f>
        <x:v>80</x:v>
      </x:c>
      <x:c r="AA115" s="60" t="n">
        <x:f>IF(X115="","",Z115-X115)</x:f>
        <x:v>-2.75</x:v>
      </x:c>
      <x:c r="AB115" s="40" t="str">
        <x:f>IF(X115="","",IF(AA115&gt;='추천_테스트'!$B$10,"안정",IF(AA115&gt;='추천_테스트'!$B$11,"적정",IF(AA115&gt;='추천_테스트'!$B$12,"소신","상향"))))</x:f>
        <x:v>상향</x:v>
      </x:c>
      <x:c r="AC115" s="62" t="n">
        <x:v>80</x:v>
      </x:c>
      <x:c r="AD115" s="62" t="n">
        <x:v>20</x:v>
      </x:c>
      <x:c r="AE115" s="62" t="n">
        <x:v>0</x:v>
      </x:c>
      <x:c r="AF115" s="41" t="str">
        <x:v>B: 공식 과목별 70% 백분위 → 단순평균 파생</x:v>
      </x:c>
      <x:c r="AG115" s="41" t="str">
        <x:v>https://www.adiga.kr/ucp/uvt/uni/univDetailSelection.do?menuId=PCUVTINF2000&amp;searchSyr=2026&amp;unvCd=0000029</x:v>
      </x:c>
    </x:row>
    <x:row r="116">
      <x:c r="A116" s="40" t="n">
        <x:v>2025</x:v>
      </x:c>
      <x:c r="B116" s="40" t="str">
        <x:v>경기도</x:v>
      </x:c>
      <x:c r="C116" s="40" t="str">
        <x:v>사립</x:v>
      </x:c>
      <x:c r="D116" s="40" t="str">
        <x:v>아주대학교</x:v>
      </x:c>
      <x:c r="E116" s="40" t="str">
        <x:v>나</x:v>
      </x:c>
      <x:c r="F116" s="40" t="str">
        <x:v>일반전형</x:v>
      </x:c>
      <x:c r="G116" s="41" t="str">
        <x:v>의학과</x:v>
      </x:c>
      <x:c r="H116" s="40" t="n">
        <x:v>50</x:v>
      </x:c>
      <x:c r="I116" s="40" t="n">
        <x:v>0</x:v>
      </x:c>
      <x:c r="J116" s="40" t="n">
        <x:v>50</x:v>
      </x:c>
      <x:c r="K116" s="60" t="n">
        <x:v>3.2</x:v>
      </x:c>
      <x:c r="L116" s="40" t="n">
        <x:v>5</x:v>
      </x:c>
      <x:c r="M116" s="60" t="n">
        <x:v>999.93</x:v>
      </x:c>
      <x:c r="N116" s="60" t="n">
        <x:v>999.45</x:v>
      </x:c>
      <x:c r="O116" s="60" t="n">
        <x:v>1021</x:v>
      </x:c>
      <x:c r="P116" s="62" t="n">
        <x:v>99</x:v>
      </x:c>
      <x:c r="Q116" s="62" t="n">
        <x:v>100</x:v>
      </x:c>
      <x:c r="R116" s="62" t="n">
        <x:v>100</x:v>
      </x:c>
      <x:c r="S116" s="62" t="n">
        <x:v>92</x:v>
      </x:c>
      <x:c r="T116" s="62" t="n">
        <x:v>2</x:v>
      </x:c>
      <x:c r="U116" s="62" t="n">
        <x:v>1</x:v>
      </x:c>
      <x:c r="V116" s="60"/>
      <x:c r="W116" s="60" t="n">
        <x:f>IF(COUNT(P116:S116)&gt;=3,AVERAGE(P116:S116),"")</x:f>
        <x:v>97.75</x:v>
      </x:c>
      <x:c r="X116" s="60" t="n">
        <x:f>IF(V116&lt;&gt;"",V116,W116)</x:f>
        <x:v>97.75</x:v>
      </x:c>
      <x:c r="Y116" s="40" t="str">
        <x:f>IF(V116&lt;&gt;"","공식 70% 평균백분위",IF(W116&lt;&gt;"","파생 단순평균(참고)","비교불가"))</x:f>
        <x:v>파생 단순평균(참고)</x:v>
      </x:c>
      <x:c r="Z116" s="60" t="n">
        <x:f>'추천_테스트'!$B$8</x:f>
        <x:v>80</x:v>
      </x:c>
      <x:c r="AA116" s="60" t="n">
        <x:f>IF(X116="","",Z116-X116)</x:f>
        <x:v>-17.75</x:v>
      </x:c>
      <x:c r="AB116" s="40" t="str">
        <x:f>IF(X116="","",IF(AA116&gt;='추천_테스트'!$B$10,"안정",IF(AA116&gt;='추천_테스트'!$B$11,"적정",IF(AA116&gt;='추천_테스트'!$B$12,"소신","상향"))))</x:f>
        <x:v>상향</x:v>
      </x:c>
      <x:c r="AC116" s="62" t="n">
        <x:v>0</x:v>
      </x:c>
      <x:c r="AD116" s="62" t="n">
        <x:v>96</x:v>
      </x:c>
      <x:c r="AE116" s="62" t="n">
        <x:v>4</x:v>
      </x:c>
      <x:c r="AF116" s="41" t="str">
        <x:v>B: 공식 과목별 70% 백분위 → 단순평균 파생</x:v>
      </x:c>
      <x:c r="AG116" s="41" t="str">
        <x:v>https://www.adiga.kr/ucp/uvt/uni/univDetailSelection.do?menuId=PCUVTINF2000&amp;searchSyr=2026&amp;unvCd=0000146</x:v>
      </x:c>
    </x:row>
    <x:row r="117">
      <x:c r="A117" s="40" t="n">
        <x:v>2025</x:v>
      </x:c>
      <x:c r="B117" s="40" t="str">
        <x:v>경기도</x:v>
      </x:c>
      <x:c r="C117" s="40" t="str">
        <x:v>사립</x:v>
      </x:c>
      <x:c r="D117" s="40" t="str">
        <x:v>아주대학교</x:v>
      </x:c>
      <x:c r="E117" s="40" t="str">
        <x:v>나</x:v>
      </x:c>
      <x:c r="F117" s="40" t="str">
        <x:v>일반전형</x:v>
      </x:c>
      <x:c r="G117" s="41" t="str">
        <x:v>약학과</x:v>
      </x:c>
      <x:c r="H117" s="40" t="n">
        <x:v>10</x:v>
      </x:c>
      <x:c r="I117" s="40" t="n">
        <x:v>0</x:v>
      </x:c>
      <x:c r="J117" s="40" t="n">
        <x:v>10</x:v>
      </x:c>
      <x:c r="K117" s="60" t="n">
        <x:v>8.7</x:v>
      </x:c>
      <x:c r="L117" s="40" t="n">
        <x:v>9</x:v>
      </x:c>
      <x:c r="M117" s="60" t="n">
        <x:v>980.94</x:v>
      </x:c>
      <x:c r="N117" s="60" t="n">
        <x:v>980.57</x:v>
      </x:c>
      <x:c r="O117" s="60" t="n">
        <x:v>1019.5</x:v>
      </x:c>
      <x:c r="P117" s="62" t="n">
        <x:v>89</x:v>
      </x:c>
      <x:c r="Q117" s="62" t="n">
        <x:v>100</x:v>
      </x:c>
      <x:c r="R117" s="62" t="n">
        <x:v>98</x:v>
      </x:c>
      <x:c r="S117" s="62" t="n">
        <x:v>88</x:v>
      </x:c>
      <x:c r="T117" s="62" t="n">
        <x:v>1</x:v>
      </x:c>
      <x:c r="U117" s="62" t="n">
        <x:v>2</x:v>
      </x:c>
      <x:c r="V117" s="60"/>
      <x:c r="W117" s="60" t="n">
        <x:f>IF(COUNT(P117:S117)&gt;=3,AVERAGE(P117:S117),"")</x:f>
        <x:v>93.75</x:v>
      </x:c>
      <x:c r="X117" s="60" t="n">
        <x:f>IF(V117&lt;&gt;"",V117,W117)</x:f>
        <x:v>93.75</x:v>
      </x:c>
      <x:c r="Y117" s="40" t="str">
        <x:f>IF(V117&lt;&gt;"","공식 70% 평균백분위",IF(W117&lt;&gt;"","파생 단순평균(참고)","비교불가"))</x:f>
        <x:v>파생 단순평균(참고)</x:v>
      </x:c>
      <x:c r="Z117" s="60" t="n">
        <x:f>'추천_테스트'!$B$8</x:f>
        <x:v>80</x:v>
      </x:c>
      <x:c r="AA117" s="60" t="n">
        <x:f>IF(X117="","",Z117-X117)</x:f>
        <x:v>-13.75</x:v>
      </x:c>
      <x:c r="AB117" s="40" t="str">
        <x:f>IF(X117="","",IF(AA117&gt;='추천_테스트'!$B$10,"안정",IF(AA117&gt;='추천_테스트'!$B$11,"적정",IF(AA117&gt;='추천_테스트'!$B$12,"소신","상향"))))</x:f>
        <x:v>상향</x:v>
      </x:c>
      <x:c r="AC117" s="62" t="n">
        <x:v>0</x:v>
      </x:c>
      <x:c r="AD117" s="62" t="n">
        <x:v>90</x:v>
      </x:c>
      <x:c r="AE117" s="62" t="n">
        <x:v>10</x:v>
      </x:c>
      <x:c r="AF117" s="41" t="str">
        <x:v>B: 공식 과목별 70% 백분위 → 단순평균 파생</x:v>
      </x:c>
      <x:c r="AG117" s="41" t="str">
        <x:v>https://www.adiga.kr/ucp/uvt/uni/univDetailSelection.do?menuId=PCUVTINF2000&amp;searchSyr=2026&amp;unvCd=0000146</x:v>
      </x:c>
    </x:row>
    <x:row r="118">
      <x:c r="A118" s="40" t="n">
        <x:v>2025</x:v>
      </x:c>
      <x:c r="B118" s="40" t="str">
        <x:v>경기도</x:v>
      </x:c>
      <x:c r="C118" s="40" t="str">
        <x:v>사립</x:v>
      </x:c>
      <x:c r="D118" s="40" t="str">
        <x:v>아주대학교</x:v>
      </x:c>
      <x:c r="E118" s="40" t="str">
        <x:v>나</x:v>
      </x:c>
      <x:c r="F118" s="40" t="str">
        <x:v>일반전형</x:v>
      </x:c>
      <x:c r="G118" s="41" t="str">
        <x:v>자유전공학부(자연)</x:v>
      </x:c>
      <x:c r="H118" s="40" t="n">
        <x:v>88</x:v>
      </x:c>
      <x:c r="I118" s="40" t="n">
        <x:v>1</x:v>
      </x:c>
      <x:c r="J118" s="40" t="n">
        <x:v>89</x:v>
      </x:c>
      <x:c r="K118" s="60" t="n">
        <x:v>4.2</x:v>
      </x:c>
      <x:c r="L118" s="40" t="n">
        <x:v>46</x:v>
      </x:c>
      <x:c r="M118" s="60" t="n">
        <x:v>906.76</x:v>
      </x:c>
      <x:c r="N118" s="60" t="n">
        <x:v>905.23</x:v>
      </x:c>
      <x:c r="O118" s="60" t="n">
        <x:v>1019.5</x:v>
      </x:c>
      <x:c r="P118" s="62" t="n">
        <x:v>77</x:v>
      </x:c>
      <x:c r="Q118" s="62" t="n">
        <x:v>95</x:v>
      </x:c>
      <x:c r="R118" s="62" t="n">
        <x:v>85</x:v>
      </x:c>
      <x:c r="S118" s="62" t="n">
        <x:v>80</x:v>
      </x:c>
      <x:c r="T118" s="62" t="n">
        <x:v>3</x:v>
      </x:c>
      <x:c r="U118" s="62" t="n">
        <x:v>2</x:v>
      </x:c>
      <x:c r="V118" s="60"/>
      <x:c r="W118" s="60" t="n">
        <x:f>IF(COUNT(P118:S118)&gt;=3,AVERAGE(P118:S118),"")</x:f>
        <x:v>84.25</x:v>
      </x:c>
      <x:c r="X118" s="60" t="n">
        <x:f>IF(V118&lt;&gt;"",V118,W118)</x:f>
        <x:v>84.25</x:v>
      </x:c>
      <x:c r="Y118" s="40" t="str">
        <x:f>IF(V118&lt;&gt;"","공식 70% 평균백분위",IF(W118&lt;&gt;"","파생 단순평균(참고)","비교불가"))</x:f>
        <x:v>파생 단순평균(참고)</x:v>
      </x:c>
      <x:c r="Z118" s="60" t="n">
        <x:f>'추천_테스트'!$B$8</x:f>
        <x:v>80</x:v>
      </x:c>
      <x:c r="AA118" s="60" t="n">
        <x:f>IF(X118="","",Z118-X118)</x:f>
        <x:v>-4.25</x:v>
      </x:c>
      <x:c r="AB118" s="40" t="str">
        <x:f>IF(X118="","",IF(AA118&gt;='추천_테스트'!$B$10,"안정",IF(AA118&gt;='추천_테스트'!$B$11,"적정",IF(AA118&gt;='추천_테스트'!$B$12,"소신","상향"))))</x:f>
        <x:v>상향</x:v>
      </x:c>
      <x:c r="AC118" s="62" t="n">
        <x:v>0</x:v>
      </x:c>
      <x:c r="AD118" s="62" t="n">
        <x:v>94.3</x:v>
      </x:c>
      <x:c r="AE118" s="62" t="n">
        <x:v>5.7</x:v>
      </x:c>
      <x:c r="AF118" s="41" t="str">
        <x:v>B: 공식 과목별 70% 백분위 → 단순평균 파생</x:v>
      </x:c>
      <x:c r="AG118" s="41" t="str">
        <x:v>https://www.adiga.kr/ucp/uvt/uni/univDetailSelection.do?menuId=PCUVTINF2000&amp;searchSyr=2026&amp;unvCd=0000146</x:v>
      </x:c>
    </x:row>
    <x:row r="119">
      <x:c r="A119" s="40" t="n">
        <x:v>2025</x:v>
      </x:c>
      <x:c r="B119" s="40" t="str">
        <x:v>경기도</x:v>
      </x:c>
      <x:c r="C119" s="40" t="str">
        <x:v>사립</x:v>
      </x:c>
      <x:c r="D119" s="40" t="str">
        <x:v>아주대학교</x:v>
      </x:c>
      <x:c r="E119" s="40" t="str">
        <x:v>나</x:v>
      </x:c>
      <x:c r="F119" s="40" t="str">
        <x:v>일반전형</x:v>
      </x:c>
      <x:c r="G119" s="41" t="str">
        <x:v>자유전공학부(인문)</x:v>
      </x:c>
      <x:c r="H119" s="40" t="n">
        <x:v>48</x:v>
      </x:c>
      <x:c r="I119" s="40" t="n">
        <x:v>0</x:v>
      </x:c>
      <x:c r="J119" s="40" t="n">
        <x:v>48</x:v>
      </x:c>
      <x:c r="K119" s="60" t="n">
        <x:v>4.7</x:v>
      </x:c>
      <x:c r="L119" s="40" t="n">
        <x:v>45</x:v>
      </x:c>
      <x:c r="M119" s="60" t="n">
        <x:v>894.99</x:v>
      </x:c>
      <x:c r="N119" s="60" t="n">
        <x:v>892.86</x:v>
      </x:c>
      <x:c r="O119" s="60" t="n">
        <x:v>1000</x:v>
      </x:c>
      <x:c r="P119" s="62" t="n">
        <x:v>99</x:v>
      </x:c>
      <x:c r="Q119" s="62" t="n">
        <x:v>74</x:v>
      </x:c>
      <x:c r="R119" s="62" t="n">
        <x:v>71</x:v>
      </x:c>
      <x:c r="S119" s="62" t="n">
        <x:v>65</x:v>
      </x:c>
      <x:c r="T119" s="62" t="n">
        <x:v>2</x:v>
      </x:c>
      <x:c r="U119" s="62" t="n">
        <x:v>1</x:v>
      </x:c>
      <x:c r="V119" s="60"/>
      <x:c r="W119" s="60" t="n">
        <x:f>IF(COUNT(P119:S119)&gt;=3,AVERAGE(P119:S119),"")</x:f>
        <x:v>77.25</x:v>
      </x:c>
      <x:c r="X119" s="60" t="n">
        <x:f>IF(V119&lt;&gt;"",V119,W119)</x:f>
        <x:v>77.25</x:v>
      </x:c>
      <x:c r="Y119" s="40" t="str">
        <x:f>IF(V119&lt;&gt;"","공식 70% 평균백분위",IF(W119&lt;&gt;"","파생 단순평균(참고)","비교불가"))</x:f>
        <x:v>파생 단순평균(참고)</x:v>
      </x:c>
      <x:c r="Z119" s="60" t="n">
        <x:f>'추천_테스트'!$B$8</x:f>
        <x:v>80</x:v>
      </x:c>
      <x:c r="AA119" s="60" t="n">
        <x:f>IF(X119="","",Z119-X119)</x:f>
        <x:v>2.75</x:v>
      </x:c>
      <x:c r="AB119" s="40" t="str">
        <x:f>IF(X119="","",IF(AA119&gt;='추천_테스트'!$B$10,"안정",IF(AA119&gt;='추천_테스트'!$B$11,"적정",IF(AA119&gt;='추천_테스트'!$B$12,"소신","상향"))))</x:f>
        <x:v>적정</x:v>
      </x:c>
      <x:c r="AC119" s="62" t="n">
        <x:v>14.9</x:v>
      </x:c>
      <x:c r="AD119" s="62" t="n">
        <x:v>85.1</x:v>
      </x:c>
      <x:c r="AE119" s="62" t="n">
        <x:v>0</x:v>
      </x:c>
      <x:c r="AF119" s="41" t="str">
        <x:v>B: 공식 과목별 70% 백분위 → 단순평균 파생</x:v>
      </x:c>
      <x:c r="AG119" s="41" t="str">
        <x:v>https://www.adiga.kr/ucp/uvt/uni/univDetailSelection.do?menuId=PCUVTINF2000&amp;searchSyr=2026&amp;unvCd=0000146</x:v>
      </x:c>
    </x:row>
    <x:row r="120">
      <x:c r="A120" s="40" t="n">
        <x:v>2025</x:v>
      </x:c>
      <x:c r="B120" s="40" t="str">
        <x:v>경기도</x:v>
      </x:c>
      <x:c r="C120" s="40" t="str">
        <x:v>사립</x:v>
      </x:c>
      <x:c r="D120" s="40" t="str">
        <x:v>아주대학교</x:v>
      </x:c>
      <x:c r="E120" s="40" t="str">
        <x:v>나</x:v>
      </x:c>
      <x:c r="F120" s="40" t="str">
        <x:v>일반전형</x:v>
      </x:c>
      <x:c r="G120" s="41" t="str">
        <x:v>국방디지털융합학과</x:v>
      </x:c>
      <x:c r="H120" s="40" t="n">
        <x:v>7</x:v>
      </x:c>
      <x:c r="I120" s="40" t="n">
        <x:v>0</x:v>
      </x:c>
      <x:c r="J120" s="40" t="n">
        <x:v>7</x:v>
      </x:c>
      <x:c r="K120" s="60" t="n">
        <x:v>3.1</x:v>
      </x:c>
      <x:c r="L120" s="40" t="n">
        <x:v>1</x:v>
      </x:c>
      <x:c r="M120" s="60" t="n">
        <x:v>907.58</x:v>
      </x:c>
      <x:c r="N120" s="60" t="n">
        <x:v>907.57</x:v>
      </x:c>
      <x:c r="O120" s="60" t="n">
        <x:v>1021</x:v>
      </x:c>
      <x:c r="P120" s="62" t="n">
        <x:v>77</x:v>
      </x:c>
      <x:c r="Q120" s="62" t="n">
        <x:v>93</x:v>
      </x:c>
      <x:c r="R120" s="62" t="n">
        <x:v>90</x:v>
      </x:c>
      <x:c r="S120" s="62" t="n">
        <x:v>75</x:v>
      </x:c>
      <x:c r="T120" s="62" t="n">
        <x:v>2</x:v>
      </x:c>
      <x:c r="U120" s="62" t="n">
        <x:v>3</x:v>
      </x:c>
      <x:c r="V120" s="60"/>
      <x:c r="W120" s="60" t="n">
        <x:f>IF(COUNT(P120:S120)&gt;=3,AVERAGE(P120:S120),"")</x:f>
        <x:v>83.75</x:v>
      </x:c>
      <x:c r="X120" s="60" t="n">
        <x:f>IF(V120&lt;&gt;"",V120,W120)</x:f>
        <x:v>83.75</x:v>
      </x:c>
      <x:c r="Y120" s="40" t="str">
        <x:f>IF(V120&lt;&gt;"","공식 70% 평균백분위",IF(W120&lt;&gt;"","파생 단순평균(참고)","비교불가"))</x:f>
        <x:v>파생 단순평균(참고)</x:v>
      </x:c>
      <x:c r="Z120" s="60" t="n">
        <x:f>'추천_테스트'!$B$8</x:f>
        <x:v>80</x:v>
      </x:c>
      <x:c r="AA120" s="60" t="n">
        <x:f>IF(X120="","",Z120-X120)</x:f>
        <x:v>-3.75</x:v>
      </x:c>
      <x:c r="AB120" s="40" t="str">
        <x:f>IF(X120="","",IF(AA120&gt;='추천_테스트'!$B$10,"안정",IF(AA120&gt;='추천_테스트'!$B$11,"적정",IF(AA120&gt;='추천_테스트'!$B$12,"소신","상향"))))</x:f>
        <x:v>상향</x:v>
      </x:c>
      <x:c r="AC120" s="62" t="n">
        <x:v>14.3</x:v>
      </x:c>
      <x:c r="AD120" s="62" t="n">
        <x:v>85.7</x:v>
      </x:c>
      <x:c r="AE120" s="62" t="n">
        <x:v>0</x:v>
      </x:c>
      <x:c r="AF120" s="41" t="str">
        <x:v>B: 공식 과목별 70% 백분위 → 단순평균 파생</x:v>
      </x:c>
      <x:c r="AG120" s="41" t="str">
        <x:v>https://www.adiga.kr/ucp/uvt/uni/univDetailSelection.do?menuId=PCUVTINF2000&amp;searchSyr=2026&amp;unvCd=0000146</x:v>
      </x:c>
    </x:row>
    <x:row r="121">
      <x:c r="A121" s="40" t="n">
        <x:v>2025</x:v>
      </x:c>
      <x:c r="B121" s="40" t="str">
        <x:v>경기도</x:v>
      </x:c>
      <x:c r="C121" s="40" t="str">
        <x:v>사립</x:v>
      </x:c>
      <x:c r="D121" s="40" t="str">
        <x:v>아주대학교</x:v>
      </x:c>
      <x:c r="E121" s="40" t="str">
        <x:v>다</x:v>
      </x:c>
      <x:c r="F121" s="40" t="str">
        <x:v>일반전형</x:v>
      </x:c>
      <x:c r="G121" s="41" t="str">
        <x:v>기계공학과</x:v>
      </x:c>
      <x:c r="H121" s="40" t="n">
        <x:v>32</x:v>
      </x:c>
      <x:c r="I121" s="40" t="n">
        <x:v>3</x:v>
      </x:c>
      <x:c r="J121" s="40" t="n">
        <x:v>35</x:v>
      </x:c>
      <x:c r="K121" s="60" t="n">
        <x:v>4.9</x:v>
      </x:c>
      <x:c r="L121" s="40" t="n">
        <x:v>34</x:v>
      </x:c>
      <x:c r="M121" s="60" t="n">
        <x:v>904.61</x:v>
      </x:c>
      <x:c r="N121" s="60" t="n">
        <x:v>902.19</x:v>
      </x:c>
      <x:c r="O121" s="60" t="n">
        <x:v>1019.5</x:v>
      </x:c>
      <x:c r="P121" s="62" t="n">
        <x:v>63</x:v>
      </x:c>
      <x:c r="Q121" s="62" t="n">
        <x:v>95</x:v>
      </x:c>
      <x:c r="R121" s="62" t="n">
        <x:v>90</x:v>
      </x:c>
      <x:c r="S121" s="62" t="n">
        <x:v>85</x:v>
      </x:c>
      <x:c r="T121" s="62" t="n">
        <x:v>3</x:v>
      </x:c>
      <x:c r="U121" s="62" t="n">
        <x:v>1</x:v>
      </x:c>
      <x:c r="V121" s="60"/>
      <x:c r="W121" s="60" t="n">
        <x:f>IF(COUNT(P121:S121)&gt;=3,AVERAGE(P121:S121),"")</x:f>
        <x:v>83.25</x:v>
      </x:c>
      <x:c r="X121" s="60" t="n">
        <x:f>IF(V121&lt;&gt;"",V121,W121)</x:f>
        <x:v>83.25</x:v>
      </x:c>
      <x:c r="Y121" s="40" t="str">
        <x:f>IF(V121&lt;&gt;"","공식 70% 평균백분위",IF(W121&lt;&gt;"","파생 단순평균(참고)","비교불가"))</x:f>
        <x:v>파생 단순평균(참고)</x:v>
      </x:c>
      <x:c r="Z121" s="60" t="n">
        <x:f>'추천_테스트'!$B$8</x:f>
        <x:v>80</x:v>
      </x:c>
      <x:c r="AA121" s="60" t="n">
        <x:f>IF(X121="","",Z121-X121)</x:f>
        <x:v>-3.25</x:v>
      </x:c>
      <x:c r="AB121" s="40" t="str">
        <x:f>IF(X121="","",IF(AA121&gt;='추천_테스트'!$B$10,"안정",IF(AA121&gt;='추천_테스트'!$B$11,"적정",IF(AA121&gt;='추천_테스트'!$B$12,"소신","상향"))))</x:f>
        <x:v>상향</x:v>
      </x:c>
      <x:c r="AC121" s="62" t="n">
        <x:v>0</x:v>
      </x:c>
      <x:c r="AD121" s="62" t="n">
        <x:v>94.3</x:v>
      </x:c>
      <x:c r="AE121" s="62" t="n">
        <x:v>5.7</x:v>
      </x:c>
      <x:c r="AF121" s="41" t="str">
        <x:v>B: 공식 과목별 70% 백분위 → 단순평균 파생</x:v>
      </x:c>
      <x:c r="AG121" s="41" t="str">
        <x:v>https://www.adiga.kr/ucp/uvt/uni/univDetailSelection.do?menuId=PCUVTINF2000&amp;searchSyr=2026&amp;unvCd=0000146</x:v>
      </x:c>
    </x:row>
    <x:row r="122">
      <x:c r="A122" s="40" t="n">
        <x:v>2025</x:v>
      </x:c>
      <x:c r="B122" s="40" t="str">
        <x:v>경기도</x:v>
      </x:c>
      <x:c r="C122" s="40" t="str">
        <x:v>사립</x:v>
      </x:c>
      <x:c r="D122" s="40" t="str">
        <x:v>아주대학교</x:v>
      </x:c>
      <x:c r="E122" s="40" t="str">
        <x:v>다</x:v>
      </x:c>
      <x:c r="F122" s="40" t="str">
        <x:v>일반전형</x:v>
      </x:c>
      <x:c r="G122" s="41" t="str">
        <x:v>산업공학과</x:v>
      </x:c>
      <x:c r="H122" s="40" t="n">
        <x:v>20</x:v>
      </x:c>
      <x:c r="I122" s="40" t="n">
        <x:v>0</x:v>
      </x:c>
      <x:c r="J122" s="40" t="n">
        <x:v>20</x:v>
      </x:c>
      <x:c r="K122" s="60" t="n">
        <x:v>5.1</x:v>
      </x:c>
      <x:c r="L122" s="40" t="n">
        <x:v>12</x:v>
      </x:c>
      <x:c r="M122" s="60" t="n">
        <x:v>904.85</x:v>
      </x:c>
      <x:c r="N122" s="60" t="n">
        <x:v>902.74</x:v>
      </x:c>
      <x:c r="O122" s="60" t="n">
        <x:v>1019.5</x:v>
      </x:c>
      <x:c r="P122" s="62" t="n">
        <x:v>67</x:v>
      </x:c>
      <x:c r="Q122" s="62" t="n">
        <x:v>85</x:v>
      </x:c>
      <x:c r="R122" s="62" t="n">
        <x:v>94</x:v>
      </x:c>
      <x:c r="S122" s="62" t="n">
        <x:v>85</x:v>
      </x:c>
      <x:c r="T122" s="62" t="n">
        <x:v>1</x:v>
      </x:c>
      <x:c r="U122" s="62" t="n">
        <x:v>1</x:v>
      </x:c>
      <x:c r="V122" s="60"/>
      <x:c r="W122" s="60" t="n">
        <x:f>IF(COUNT(P122:S122)&gt;=3,AVERAGE(P122:S122),"")</x:f>
        <x:v>82.75</x:v>
      </x:c>
      <x:c r="X122" s="60" t="n">
        <x:f>IF(V122&lt;&gt;"",V122,W122)</x:f>
        <x:v>82.75</x:v>
      </x:c>
      <x:c r="Y122" s="40" t="str">
        <x:f>IF(V122&lt;&gt;"","공식 70% 평균백분위",IF(W122&lt;&gt;"","파생 단순평균(참고)","비교불가"))</x:f>
        <x:v>파생 단순평균(참고)</x:v>
      </x:c>
      <x:c r="Z122" s="60" t="n">
        <x:f>'추천_테스트'!$B$8</x:f>
        <x:v>80</x:v>
      </x:c>
      <x:c r="AA122" s="60" t="n">
        <x:f>IF(X122="","",Z122-X122)</x:f>
        <x:v>-2.75</x:v>
      </x:c>
      <x:c r="AB122" s="40" t="str">
        <x:f>IF(X122="","",IF(AA122&gt;='추천_테스트'!$B$10,"안정",IF(AA122&gt;='추천_테스트'!$B$11,"적정",IF(AA122&gt;='추천_테스트'!$B$12,"소신","상향"))))</x:f>
        <x:v>상향</x:v>
      </x:c>
      <x:c r="AC122" s="62" t="n">
        <x:v>0</x:v>
      </x:c>
      <x:c r="AD122" s="62" t="n">
        <x:v>90</x:v>
      </x:c>
      <x:c r="AE122" s="62" t="n">
        <x:v>10</x:v>
      </x:c>
      <x:c r="AF122" s="41" t="str">
        <x:v>B: 공식 과목별 70% 백분위 → 단순평균 파생</x:v>
      </x:c>
      <x:c r="AG122" s="41" t="str">
        <x:v>https://www.adiga.kr/ucp/uvt/uni/univDetailSelection.do?menuId=PCUVTINF2000&amp;searchSyr=2026&amp;unvCd=0000146</x:v>
      </x:c>
    </x:row>
    <x:row r="123" ht="18" customHeight="1">
      <x:c r="A123" s="73" t="n">
        <x:v>2025</x:v>
      </x:c>
      <x:c r="B123" s="73" t="str">
        <x:v>서울특별시</x:v>
      </x:c>
      <x:c r="C123" s="73" t="str">
        <x:v>사립</x:v>
      </x:c>
      <x:c r="D123" s="73" t="str">
        <x:v>연세대학교</x:v>
      </x:c>
      <x:c r="E123" s="73" t="str">
        <x:v>가</x:v>
      </x:c>
      <x:c r="F123" s="73" t="str">
        <x:v>일반전형</x:v>
      </x:c>
      <x:c r="G123" s="73" t="str">
        <x:v>국어국문학과</x:v>
      </x:c>
      <x:c r="H123" s="73" t="n">
        <x:v>20</x:v>
      </x:c>
      <x:c r="I123" s="73" t="n">
        <x:v>1</x:v>
      </x:c>
      <x:c r="J123" s="73" t="n">
        <x:v>21</x:v>
      </x:c>
      <x:c r="K123" s="74" t="n">
        <x:v>2.95</x:v>
      </x:c>
      <x:c r="L123" s="73" t="n">
        <x:v>1</x:v>
      </x:c>
      <x:c r="M123" s="74" t="n">
        <x:v>697.9628</x:v>
      </x:c>
      <x:c r="N123" s="74" t="n">
        <x:v>696.6134</x:v>
      </x:c>
      <x:c r="O123" s="74" t="n">
        <x:v>1000</x:v>
      </x:c>
      <x:c r="P123" s="74" t="n">
        <x:v>98</x:v>
      </x:c>
      <x:c r="Q123" s="74" t="n">
        <x:v>85</x:v>
      </x:c>
      <x:c r="R123" s="74" t="n">
        <x:v>94</x:v>
      </x:c>
      <x:c r="S123" s="74" t="n">
        <x:v>95</x:v>
      </x:c>
      <x:c r="T123" s="74" t="n">
        <x:v>2</x:v>
      </x:c>
      <x:c r="U123" s="74" t="n">
        <x:v>1</x:v>
      </x:c>
      <x:c r="V123" s="74"/>
      <x:c r="W123" s="74" t="n">
        <x:f>IF(COUNTA(P123:S123)=4,AVERAGE(P123:S123),"")</x:f>
        <x:v>93</x:v>
      </x:c>
      <x:c r="X123" s="74" t="n">
        <x:f>IF(V123&lt;&gt;"",V123,W123)</x:f>
        <x:v>93</x:v>
      </x:c>
      <x:c r="Y123" s="73" t="str">
        <x:v>파생 단순평균(참고)</x:v>
      </x:c>
      <x:c r="Z123" s="74" t="n">
        <x:v>80</x:v>
      </x:c>
      <x:c r="AA123" s="74" t="n">
        <x:f>IF(X123&lt;&gt;"",Z123-X123,"")</x:f>
        <x:v>-13</x:v>
      </x:c>
      <x:c r="AB123" s="73" t="str">
        <x:f>IF(AA123="","",IF(AA123&gt;=5,"안정",IF(AA123&gt;=1,"적정",IF(AA123&gt;=-2,"소신","상향"))))</x:f>
        <x:v>상향</x:v>
      </x:c>
      <x:c r="AC123" s="75" t="n">
        <x:v>42.86</x:v>
      </x:c>
      <x:c r="AD123" s="75" t="n">
        <x:v>52.38</x:v>
      </x:c>
      <x:c r="AE123" s="75" t="n">
        <x:v>4.76</x:v>
      </x:c>
      <x:c r="AF123" s="73" t="str">
        <x:v>B: 공식 과목별 70% 백분위 → 단순평균 파생</x:v>
      </x:c>
      <x:c r="AG123" s="73" t="str">
        <x:v>https://www.adiga.kr/ucp/uvt/uni/univDetailSelection.do?menuId=PCUVTINF2000&amp;searchSyr=2026&amp;unvCd=0000149</x:v>
      </x:c>
    </x:row>
    <x:row r="124" ht="18" customHeight="1">
      <x:c r="A124" s="73" t="n">
        <x:v>2025</x:v>
      </x:c>
      <x:c r="B124" s="73" t="str">
        <x:v>서울특별시</x:v>
      </x:c>
      <x:c r="C124" s="73" t="str">
        <x:v>사립</x:v>
      </x:c>
      <x:c r="D124" s="73" t="str">
        <x:v>연세대학교</x:v>
      </x:c>
      <x:c r="E124" s="73" t="str">
        <x:v>가</x:v>
      </x:c>
      <x:c r="F124" s="73" t="str">
        <x:v>일반전형</x:v>
      </x:c>
      <x:c r="G124" s="73" t="str">
        <x:v>중어중문학과</x:v>
      </x:c>
      <x:c r="H124" s="73" t="n">
        <x:v>14</x:v>
      </x:c>
      <x:c r="I124" s="73" t="n">
        <x:v>3</x:v>
      </x:c>
      <x:c r="J124" s="73" t="n">
        <x:v>17</x:v>
      </x:c>
      <x:c r="K124" s="74" t="n">
        <x:v>2.76</x:v>
      </x:c>
      <x:c r="L124" s="73" t="n">
        <x:v>1</x:v>
      </x:c>
      <x:c r="M124" s="74" t="n">
        <x:v>697.2533</x:v>
      </x:c>
      <x:c r="N124" s="74" t="n">
        <x:v>695.8205</x:v>
      </x:c>
      <x:c r="O124" s="74" t="n">
        <x:v>1000</x:v>
      </x:c>
      <x:c r="P124" s="74" t="n">
        <x:v>98</x:v>
      </x:c>
      <x:c r="Q124" s="74" t="n">
        <x:v>90</x:v>
      </x:c>
      <x:c r="R124" s="74" t="n">
        <x:v>87</x:v>
      </x:c>
      <x:c r="S124" s="74" t="n">
        <x:v>93</x:v>
      </x:c>
      <x:c r="T124" s="74" t="n">
        <x:v>1</x:v>
      </x:c>
      <x:c r="U124" s="74" t="n">
        <x:v>1</x:v>
      </x:c>
      <x:c r="V124" s="74"/>
      <x:c r="W124" s="74" t="n">
        <x:f>IF(COUNTA(P124:S124)=4,AVERAGE(P124:S124),"")</x:f>
        <x:v>92</x:v>
      </x:c>
      <x:c r="X124" s="74" t="n">
        <x:f>IF(V124&lt;&gt;"",V124,W124)</x:f>
        <x:v>92</x:v>
      </x:c>
      <x:c r="Y124" s="73" t="str">
        <x:v>파생 단순평균(참고)</x:v>
      </x:c>
      <x:c r="Z124" s="74" t="n">
        <x:v>80</x:v>
      </x:c>
      <x:c r="AA124" s="74" t="n">
        <x:f>IF(X124&lt;&gt;"",Z124-X124,"")</x:f>
        <x:v>-12</x:v>
      </x:c>
      <x:c r="AB124" s="73" t="str">
        <x:f>IF(AA124="","",IF(AA124&gt;=5,"안정",IF(AA124&gt;=1,"적정",IF(AA124&gt;=-2,"소신","상향"))))</x:f>
        <x:v>상향</x:v>
      </x:c>
      <x:c r="AC124" s="75" t="n">
        <x:v>64.71</x:v>
      </x:c>
      <x:c r="AD124" s="75" t="n">
        <x:v>35.29</x:v>
      </x:c>
      <x:c r="AE124" s="75" t="n">
        <x:v>0</x:v>
      </x:c>
      <x:c r="AF124" s="73" t="str">
        <x:v>B: 공식 과목별 70% 백분위 → 단순평균 파생</x:v>
      </x:c>
      <x:c r="AG124" s="73" t="str">
        <x:v>https://www.adiga.kr/ucp/uvt/uni/univDetailSelection.do?menuId=PCUVTINF2000&amp;searchSyr=2026&amp;unvCd=0000149</x:v>
      </x:c>
    </x:row>
    <x:row r="125" ht="18" customHeight="1">
      <x:c r="A125" s="73" t="n">
        <x:v>2025</x:v>
      </x:c>
      <x:c r="B125" s="73" t="str">
        <x:v>서울특별시</x:v>
      </x:c>
      <x:c r="C125" s="73" t="str">
        <x:v>사립</x:v>
      </x:c>
      <x:c r="D125" s="73" t="str">
        <x:v>연세대학교</x:v>
      </x:c>
      <x:c r="E125" s="73" t="str">
        <x:v>가</x:v>
      </x:c>
      <x:c r="F125" s="73" t="str">
        <x:v>일반전형</x:v>
      </x:c>
      <x:c r="G125" s="73" t="str">
        <x:v>영어영문학과</x:v>
      </x:c>
      <x:c r="H125" s="73" t="n">
        <x:v>35</x:v>
      </x:c>
      <x:c r="I125" s="73" t="n">
        <x:v>4</x:v>
      </x:c>
      <x:c r="J125" s="73" t="n">
        <x:v>39</x:v>
      </x:c>
      <x:c r="K125" s="74" t="n">
        <x:v>3.85</x:v>
      </x:c>
      <x:c r="L125" s="73" t="n">
        <x:v>0</x:v>
      </x:c>
      <x:c r="M125" s="74" t="n">
        <x:v>698.0154</x:v>
      </x:c>
      <x:c r="N125" s="74" t="n">
        <x:v>697.5273</x:v>
      </x:c>
      <x:c r="O125" s="74" t="n">
        <x:v>1000</x:v>
      </x:c>
      <x:c r="P125" s="74" t="n">
        <x:v>97</x:v>
      </x:c>
      <x:c r="Q125" s="74" t="n">
        <x:v>87</x:v>
      </x:c>
      <x:c r="R125" s="74" t="n">
        <x:v>93</x:v>
      </x:c>
      <x:c r="S125" s="74" t="n">
        <x:v>92</x:v>
      </x:c>
      <x:c r="T125" s="74" t="n">
        <x:v>1</x:v>
      </x:c>
      <x:c r="U125" s="74" t="n">
        <x:v>2</x:v>
      </x:c>
      <x:c r="V125" s="74"/>
      <x:c r="W125" s="74" t="n">
        <x:f>IF(COUNTA(P125:S125)=4,AVERAGE(P125:S125),"")</x:f>
        <x:v>92.25</x:v>
      </x:c>
      <x:c r="X125" s="74" t="n">
        <x:f>IF(V125&lt;&gt;"",V125,W125)</x:f>
        <x:v>92.25</x:v>
      </x:c>
      <x:c r="Y125" s="73" t="str">
        <x:v>파생 단순평균(참고)</x:v>
      </x:c>
      <x:c r="Z125" s="74" t="n">
        <x:v>80</x:v>
      </x:c>
      <x:c r="AA125" s="74" t="n">
        <x:f>IF(X125&lt;&gt;"",Z125-X125,"")</x:f>
        <x:v>-12.25</x:v>
      </x:c>
      <x:c r="AB125" s="73" t="str">
        <x:f>IF(AA125="","",IF(AA125&gt;=5,"안정",IF(AA125&gt;=1,"적정",IF(AA125&gt;=-2,"소신","상향"))))</x:f>
        <x:v>상향</x:v>
      </x:c>
      <x:c r="AC125" s="75" t="n">
        <x:v>58.97</x:v>
      </x:c>
      <x:c r="AD125" s="75" t="n">
        <x:v>41.03</x:v>
      </x:c>
      <x:c r="AE125" s="75" t="n">
        <x:v>0</x:v>
      </x:c>
      <x:c r="AF125" s="73" t="str">
        <x:v>B: 공식 과목별 70% 백분위 → 단순평균 파생</x:v>
      </x:c>
      <x:c r="AG125" s="73" t="str">
        <x:v>https://www.adiga.kr/ucp/uvt/uni/univDetailSelection.do?menuId=PCUVTINF2000&amp;searchSyr=2026&amp;unvCd=0000149</x:v>
      </x:c>
    </x:row>
    <x:row r="126" ht="18" customHeight="1">
      <x:c r="A126" s="73" t="n">
        <x:v>2025</x:v>
      </x:c>
      <x:c r="B126" s="73" t="str">
        <x:v>서울특별시</x:v>
      </x:c>
      <x:c r="C126" s="73" t="str">
        <x:v>사립</x:v>
      </x:c>
      <x:c r="D126" s="73" t="str">
        <x:v>연세대학교</x:v>
      </x:c>
      <x:c r="E126" s="73" t="str">
        <x:v>가</x:v>
      </x:c>
      <x:c r="F126" s="73" t="str">
        <x:v>일반전형</x:v>
      </x:c>
      <x:c r="G126" s="73" t="str">
        <x:v>독어독문학과</x:v>
      </x:c>
      <x:c r="H126" s="73" t="n">
        <x:v>13</x:v>
      </x:c>
      <x:c r="I126" s="73" t="n">
        <x:v>5</x:v>
      </x:c>
      <x:c r="J126" s="73" t="n">
        <x:v>18</x:v>
      </x:c>
      <x:c r="K126" s="74" t="n">
        <x:v>3.17</x:v>
      </x:c>
      <x:c r="L126" s="73" t="n">
        <x:v>0</x:v>
      </x:c>
      <x:c r="M126" s="74" t="n">
        <x:v>695.3995</x:v>
      </x:c>
      <x:c r="N126" s="74" t="n">
        <x:v>694.641</x:v>
      </x:c>
      <x:c r="O126" s="74" t="n">
        <x:v>1000</x:v>
      </x:c>
      <x:c r="P126" s="74" t="n">
        <x:v>96</x:v>
      </x:c>
      <x:c r="Q126" s="74" t="n">
        <x:v>83</x:v>
      </x:c>
      <x:c r="R126" s="74" t="n">
        <x:v>94</x:v>
      </x:c>
      <x:c r="S126" s="74" t="n">
        <x:v>95</x:v>
      </x:c>
      <x:c r="T126" s="74" t="n">
        <x:v>2</x:v>
      </x:c>
      <x:c r="U126" s="74" t="n">
        <x:v>1</x:v>
      </x:c>
      <x:c r="V126" s="74"/>
      <x:c r="W126" s="74" t="n">
        <x:f>IF(COUNTA(P126:S126)=4,AVERAGE(P126:S126),"")</x:f>
        <x:v>92</x:v>
      </x:c>
      <x:c r="X126" s="74" t="n">
        <x:f>IF(V126&lt;&gt;"",V126,W126)</x:f>
        <x:v>92</x:v>
      </x:c>
      <x:c r="Y126" s="73" t="str">
        <x:v>파생 단순평균(참고)</x:v>
      </x:c>
      <x:c r="Z126" s="74" t="n">
        <x:v>80</x:v>
      </x:c>
      <x:c r="AA126" s="74" t="n">
        <x:f>IF(X126&lt;&gt;"",Z126-X126,"")</x:f>
        <x:v>-12</x:v>
      </x:c>
      <x:c r="AB126" s="73" t="str">
        <x:f>IF(AA126="","",IF(AA126&gt;=5,"안정",IF(AA126&gt;=1,"적정",IF(AA126&gt;=-2,"소신","상향"))))</x:f>
        <x:v>상향</x:v>
      </x:c>
      <x:c r="AC126" s="75" t="n">
        <x:v>72.22</x:v>
      </x:c>
      <x:c r="AD126" s="75" t="n">
        <x:v>22.22</x:v>
      </x:c>
      <x:c r="AE126" s="75" t="n">
        <x:v>5.56</x:v>
      </x:c>
      <x:c r="AF126" s="73" t="str">
        <x:v>B: 공식 과목별 70% 백분위 → 단순평균 파생</x:v>
      </x:c>
      <x:c r="AG126" s="73" t="str">
        <x:v>https://www.adiga.kr/ucp/uvt/uni/univDetailSelection.do?menuId=PCUVTINF2000&amp;searchSyr=2026&amp;unvCd=0000149</x:v>
      </x:c>
    </x:row>
    <x:row r="127" ht="18" customHeight="1">
      <x:c r="A127" s="73" t="n">
        <x:v>2025</x:v>
      </x:c>
      <x:c r="B127" s="73" t="str">
        <x:v>서울특별시</x:v>
      </x:c>
      <x:c r="C127" s="73" t="str">
        <x:v>사립</x:v>
      </x:c>
      <x:c r="D127" s="73" t="str">
        <x:v>연세대학교</x:v>
      </x:c>
      <x:c r="E127" s="73" t="str">
        <x:v>가</x:v>
      </x:c>
      <x:c r="F127" s="73" t="str">
        <x:v>일반전형</x:v>
      </x:c>
      <x:c r="G127" s="73" t="str">
        <x:v>불어불문학과</x:v>
      </x:c>
      <x:c r="H127" s="73" t="n">
        <x:v>14</x:v>
      </x:c>
      <x:c r="I127" s="73" t="n">
        <x:v>3</x:v>
      </x:c>
      <x:c r="J127" s="73" t="n">
        <x:v>17</x:v>
      </x:c>
      <x:c r="K127" s="74" t="n">
        <x:v>5.18</x:v>
      </x:c>
      <x:c r="L127" s="73" t="n">
        <x:v>1</x:v>
      </x:c>
      <x:c r="M127" s="74" t="n">
        <x:v>696.7536</x:v>
      </x:c>
      <x:c r="N127" s="74" t="n">
        <x:v>695.601</x:v>
      </x:c>
      <x:c r="O127" s="74" t="n">
        <x:v>1000</x:v>
      </x:c>
      <x:c r="P127" s="74" t="n">
        <x:v>97</x:v>
      </x:c>
      <x:c r="Q127" s="74" t="n">
        <x:v>83</x:v>
      </x:c>
      <x:c r="R127" s="74" t="n">
        <x:v>97</x:v>
      </x:c>
      <x:c r="S127" s="74" t="n">
        <x:v>95</x:v>
      </x:c>
      <x:c r="T127" s="74" t="n">
        <x:v>1</x:v>
      </x:c>
      <x:c r="U127" s="74" t="n">
        <x:v>2</x:v>
      </x:c>
      <x:c r="V127" s="74"/>
      <x:c r="W127" s="74" t="n">
        <x:f>IF(COUNTA(P127:S127)=4,AVERAGE(P127:S127),"")</x:f>
        <x:v>93</x:v>
      </x:c>
      <x:c r="X127" s="74" t="n">
        <x:f>IF(V127&lt;&gt;"",V127,W127)</x:f>
        <x:v>93</x:v>
      </x:c>
      <x:c r="Y127" s="73" t="str">
        <x:v>파생 단순평균(참고)</x:v>
      </x:c>
      <x:c r="Z127" s="74" t="n">
        <x:v>80</x:v>
      </x:c>
      <x:c r="AA127" s="74" t="n">
        <x:f>IF(X127&lt;&gt;"",Z127-X127,"")</x:f>
        <x:v>-13</x:v>
      </x:c>
      <x:c r="AB127" s="73" t="str">
        <x:f>IF(AA127="","",IF(AA127&gt;=5,"안정",IF(AA127&gt;=1,"적정",IF(AA127&gt;=-2,"소신","상향"))))</x:f>
        <x:v>상향</x:v>
      </x:c>
      <x:c r="AC127" s="75" t="n">
        <x:v>76.47</x:v>
      </x:c>
      <x:c r="AD127" s="75" t="n">
        <x:v>23.53</x:v>
      </x:c>
      <x:c r="AE127" s="75" t="n">
        <x:v>0</x:v>
      </x:c>
      <x:c r="AF127" s="73" t="str">
        <x:v>B: 공식 과목별 70% 백분위 → 단순평균 파생</x:v>
      </x:c>
      <x:c r="AG127" s="73" t="str">
        <x:v>https://www.adiga.kr/ucp/uvt/uni/univDetailSelection.do?menuId=PCUVTINF2000&amp;searchSyr=2026&amp;unvCd=0000149</x:v>
      </x:c>
    </x:row>
    <x:row r="128" ht="18" customHeight="1">
      <x:c r="A128" s="73" t="n">
        <x:v>2025</x:v>
      </x:c>
      <x:c r="B128" s="73" t="str">
        <x:v>서울특별시</x:v>
      </x:c>
      <x:c r="C128" s="73" t="str">
        <x:v>사립</x:v>
      </x:c>
      <x:c r="D128" s="73" t="str">
        <x:v>연세대학교</x:v>
      </x:c>
      <x:c r="E128" s="73" t="str">
        <x:v>가</x:v>
      </x:c>
      <x:c r="F128" s="73" t="str">
        <x:v>일반전형</x:v>
      </x:c>
      <x:c r="G128" s="73" t="str">
        <x:v>노어노문학과</x:v>
      </x:c>
      <x:c r="H128" s="73" t="n">
        <x:v>13</x:v>
      </x:c>
      <x:c r="I128" s="73" t="n">
        <x:v>1</x:v>
      </x:c>
      <x:c r="J128" s="73" t="n">
        <x:v>14</x:v>
      </x:c>
      <x:c r="K128" s="74" t="n">
        <x:v>5.43</x:v>
      </x:c>
      <x:c r="L128" s="73" t="n">
        <x:v>0</x:v>
      </x:c>
      <x:c r="M128" s="74" t="n">
        <x:v>695.6556</x:v>
      </x:c>
      <x:c r="N128" s="74" t="n">
        <x:v>695.4686</x:v>
      </x:c>
      <x:c r="O128" s="74" t="n">
        <x:v>1000</x:v>
      </x:c>
      <x:c r="P128" s="74" t="n">
        <x:v>97</x:v>
      </x:c>
      <x:c r="Q128" s="74" t="n">
        <x:v>83</x:v>
      </x:c>
      <x:c r="R128" s="74" t="n">
        <x:v>93</x:v>
      </x:c>
      <x:c r="S128" s="74" t="n">
        <x:v>95</x:v>
      </x:c>
      <x:c r="T128" s="74" t="n">
        <x:v>1</x:v>
      </x:c>
      <x:c r="U128" s="74" t="n">
        <x:v>1</x:v>
      </x:c>
      <x:c r="V128" s="74"/>
      <x:c r="W128" s="74" t="n">
        <x:f>IF(COUNTA(P128:S128)=4,AVERAGE(P128:S128),"")</x:f>
        <x:v>92</x:v>
      </x:c>
      <x:c r="X128" s="74" t="n">
        <x:f>IF(V128&lt;&gt;"",V128,W128)</x:f>
        <x:v>92</x:v>
      </x:c>
      <x:c r="Y128" s="73" t="str">
        <x:v>파생 단순평균(참고)</x:v>
      </x:c>
      <x:c r="Z128" s="74" t="n">
        <x:v>80</x:v>
      </x:c>
      <x:c r="AA128" s="74" t="n">
        <x:f>IF(X128&lt;&gt;"",Z128-X128,"")</x:f>
        <x:v>-12</x:v>
      </x:c>
      <x:c r="AB128" s="73" t="str">
        <x:f>IF(AA128="","",IF(AA128&gt;=5,"안정",IF(AA128&gt;=1,"적정",IF(AA128&gt;=-2,"소신","상향"))))</x:f>
        <x:v>상향</x:v>
      </x:c>
      <x:c r="AC128" s="75" t="n">
        <x:v>85.71</x:v>
      </x:c>
      <x:c r="AD128" s="75" t="n">
        <x:v>7.14</x:v>
      </x:c>
      <x:c r="AE128" s="75" t="n">
        <x:v>7.14</x:v>
      </x:c>
      <x:c r="AF128" s="73" t="str">
        <x:v>B: 공식 과목별 70% 백분위 → 단순평균 파생</x:v>
      </x:c>
      <x:c r="AG128" s="73" t="str">
        <x:v>https://www.adiga.kr/ucp/uvt/uni/univDetailSelection.do?menuId=PCUVTINF2000&amp;searchSyr=2026&amp;unvCd=0000149</x:v>
      </x:c>
    </x:row>
    <x:row r="129" ht="18" customHeight="1">
      <x:c r="A129" s="73" t="n">
        <x:v>2025</x:v>
      </x:c>
      <x:c r="B129" s="73" t="str">
        <x:v>서울특별시</x:v>
      </x:c>
      <x:c r="C129" s="73" t="str">
        <x:v>사립</x:v>
      </x:c>
      <x:c r="D129" s="73" t="str">
        <x:v>연세대학교</x:v>
      </x:c>
      <x:c r="E129" s="73" t="str">
        <x:v>가</x:v>
      </x:c>
      <x:c r="F129" s="73" t="str">
        <x:v>일반전형</x:v>
      </x:c>
      <x:c r="G129" s="73" t="str">
        <x:v>사학과</x:v>
      </x:c>
      <x:c r="H129" s="73" t="n">
        <x:v>21</x:v>
      </x:c>
      <x:c r="I129" s="73" t="n">
        <x:v>1</x:v>
      </x:c>
      <x:c r="J129" s="73" t="n">
        <x:v>22</x:v>
      </x:c>
      <x:c r="K129" s="74" t="n">
        <x:v>3.5</x:v>
      </x:c>
      <x:c r="L129" s="73" t="n">
        <x:v>1</x:v>
      </x:c>
      <x:c r="M129" s="74" t="n">
        <x:v>696.0936</x:v>
      </x:c>
      <x:c r="N129" s="74" t="n">
        <x:v>695.0553</x:v>
      </x:c>
      <x:c r="O129" s="74" t="n">
        <x:v>1000</x:v>
      </x:c>
      <x:c r="P129" s="74" t="n">
        <x:v>96</x:v>
      </x:c>
      <x:c r="Q129" s="74" t="n">
        <x:v>87</x:v>
      </x:c>
      <x:c r="R129" s="74" t="n">
        <x:v>95</x:v>
      </x:c>
      <x:c r="S129" s="74" t="n">
        <x:v>95</x:v>
      </x:c>
      <x:c r="T129" s="74" t="n">
        <x:v>1</x:v>
      </x:c>
      <x:c r="U129" s="74" t="n">
        <x:v>1</x:v>
      </x:c>
      <x:c r="V129" s="74"/>
      <x:c r="W129" s="74" t="n">
        <x:f>IF(COUNTA(P129:S129)=4,AVERAGE(P129:S129),"")</x:f>
        <x:v>93.25</x:v>
      </x:c>
      <x:c r="X129" s="74" t="n">
        <x:f>IF(V129&lt;&gt;"",V129,W129)</x:f>
        <x:v>93.25</x:v>
      </x:c>
      <x:c r="Y129" s="73" t="str">
        <x:v>파생 단순평균(참고)</x:v>
      </x:c>
      <x:c r="Z129" s="74" t="n">
        <x:v>80</x:v>
      </x:c>
      <x:c r="AA129" s="74" t="n">
        <x:f>IF(X129&lt;&gt;"",Z129-X129,"")</x:f>
        <x:v>-13.25</x:v>
      </x:c>
      <x:c r="AB129" s="73" t="str">
        <x:f>IF(AA129="","",IF(AA129&gt;=5,"안정",IF(AA129&gt;=1,"적정",IF(AA129&gt;=-2,"소신","상향"))))</x:f>
        <x:v>상향</x:v>
      </x:c>
      <x:c r="AC129" s="75" t="n">
        <x:v>86.36</x:v>
      </x:c>
      <x:c r="AD129" s="75" t="n">
        <x:v>13.64</x:v>
      </x:c>
      <x:c r="AE129" s="75" t="n">
        <x:v>0</x:v>
      </x:c>
      <x:c r="AF129" s="73" t="str">
        <x:v>B: 공식 과목별 70% 백분위 → 단순평균 파생</x:v>
      </x:c>
      <x:c r="AG129" s="73" t="str">
        <x:v>https://www.adiga.kr/ucp/uvt/uni/univDetailSelection.do?menuId=PCUVTINF2000&amp;searchSyr=2026&amp;unvCd=0000149</x:v>
      </x:c>
    </x:row>
    <x:row r="130" ht="18" customHeight="1">
      <x:c r="A130" s="73" t="n">
        <x:v>2025</x:v>
      </x:c>
      <x:c r="B130" s="73" t="str">
        <x:v>서울특별시</x:v>
      </x:c>
      <x:c r="C130" s="73" t="str">
        <x:v>사립</x:v>
      </x:c>
      <x:c r="D130" s="73" t="str">
        <x:v>연세대학교</x:v>
      </x:c>
      <x:c r="E130" s="73" t="str">
        <x:v>가</x:v>
      </x:c>
      <x:c r="F130" s="73" t="str">
        <x:v>일반전형</x:v>
      </x:c>
      <x:c r="G130" s="73" t="str">
        <x:v>철학과</x:v>
      </x:c>
      <x:c r="H130" s="73" t="n">
        <x:v>16</x:v>
      </x:c>
      <x:c r="I130" s="73" t="n">
        <x:v>1</x:v>
      </x:c>
      <x:c r="J130" s="73" t="n">
        <x:v>17</x:v>
      </x:c>
      <x:c r="K130" s="74" t="n">
        <x:v>2.88</x:v>
      </x:c>
      <x:c r="L130" s="73" t="n">
        <x:v>4</x:v>
      </x:c>
      <x:c r="M130" s="74" t="n">
        <x:v>693.5245</x:v>
      </x:c>
      <x:c r="N130" s="74" t="n">
        <x:v>689.6363</x:v>
      </x:c>
      <x:c r="O130" s="74" t="n">
        <x:v>1000</x:v>
      </x:c>
      <x:c r="P130" s="74" t="n">
        <x:v>96</x:v>
      </x:c>
      <x:c r="Q130" s="74" t="n">
        <x:v>85</x:v>
      </x:c>
      <x:c r="R130" s="74" t="n">
        <x:v>95</x:v>
      </x:c>
      <x:c r="S130" s="74" t="n">
        <x:v>92</x:v>
      </x:c>
      <x:c r="T130" s="74" t="n">
        <x:v>2</x:v>
      </x:c>
      <x:c r="U130" s="74" t="n">
        <x:v>2</x:v>
      </x:c>
      <x:c r="V130" s="74"/>
      <x:c r="W130" s="74" t="n">
        <x:f>IF(COUNTA(P130:S130)=4,AVERAGE(P130:S130),"")</x:f>
        <x:v>92</x:v>
      </x:c>
      <x:c r="X130" s="74" t="n">
        <x:f>IF(V130&lt;&gt;"",V130,W130)</x:f>
        <x:v>92</x:v>
      </x:c>
      <x:c r="Y130" s="73" t="str">
        <x:v>파생 단순평균(참고)</x:v>
      </x:c>
      <x:c r="Z130" s="74" t="n">
        <x:v>80</x:v>
      </x:c>
      <x:c r="AA130" s="74" t="n">
        <x:f>IF(X130&lt;&gt;"",Z130-X130,"")</x:f>
        <x:v>-12</x:v>
      </x:c>
      <x:c r="AB130" s="73" t="str">
        <x:f>IF(AA130="","",IF(AA130&gt;=5,"안정",IF(AA130&gt;=1,"적정",IF(AA130&gt;=-2,"소신","상향"))))</x:f>
        <x:v>상향</x:v>
      </x:c>
      <x:c r="AC130" s="75" t="n">
        <x:v>58.82</x:v>
      </x:c>
      <x:c r="AD130" s="75" t="n">
        <x:v>41.18</x:v>
      </x:c>
      <x:c r="AE130" s="75" t="n">
        <x:v>0</x:v>
      </x:c>
      <x:c r="AF130" s="73" t="str">
        <x:v>B: 공식 과목별 70% 백분위 → 단순평균 파생</x:v>
      </x:c>
      <x:c r="AG130" s="73" t="str">
        <x:v>https://www.adiga.kr/ucp/uvt/uni/univDetailSelection.do?menuId=PCUVTINF2000&amp;searchSyr=2026&amp;unvCd=0000149</x:v>
      </x:c>
    </x:row>
    <x:row r="131" ht="18" customHeight="1">
      <x:c r="A131" s="73" t="n">
        <x:v>2025</x:v>
      </x:c>
      <x:c r="B131" s="73" t="str">
        <x:v>서울특별시</x:v>
      </x:c>
      <x:c r="C131" s="73" t="str">
        <x:v>사립</x:v>
      </x:c>
      <x:c r="D131" s="73" t="str">
        <x:v>연세대학교</x:v>
      </x:c>
      <x:c r="E131" s="73" t="str">
        <x:v>가</x:v>
      </x:c>
      <x:c r="F131" s="73" t="str">
        <x:v>일반전형</x:v>
      </x:c>
      <x:c r="G131" s="73" t="str">
        <x:v>문헌정보학과</x:v>
      </x:c>
      <x:c r="H131" s="73" t="n">
        <x:v>13</x:v>
      </x:c>
      <x:c r="I131" s="73" t="n">
        <x:v>1</x:v>
      </x:c>
      <x:c r="J131" s="73" t="n">
        <x:v>14</x:v>
      </x:c>
      <x:c r="K131" s="74" t="n">
        <x:v>2.57</x:v>
      </x:c>
      <x:c r="L131" s="73" t="n">
        <x:v>1</x:v>
      </x:c>
      <x:c r="M131" s="74" t="n">
        <x:v>693.9144</x:v>
      </x:c>
      <x:c r="N131" s="74" t="n">
        <x:v>692.567</x:v>
      </x:c>
      <x:c r="O131" s="74" t="n">
        <x:v>1000</x:v>
      </x:c>
      <x:c r="P131" s="74" t="n">
        <x:v>98</x:v>
      </x:c>
      <x:c r="Q131" s="74" t="n">
        <x:v>83</x:v>
      </x:c>
      <x:c r="R131" s="74" t="n">
        <x:v>94</x:v>
      </x:c>
      <x:c r="S131" s="74" t="n">
        <x:v>95</x:v>
      </x:c>
      <x:c r="T131" s="74" t="n">
        <x:v>1</x:v>
      </x:c>
      <x:c r="U131" s="74" t="n">
        <x:v>2</x:v>
      </x:c>
      <x:c r="V131" s="74"/>
      <x:c r="W131" s="74" t="n">
        <x:f>IF(COUNTA(P131:S131)=4,AVERAGE(P131:S131),"")</x:f>
        <x:v>92.5</x:v>
      </x:c>
      <x:c r="X131" s="74" t="n">
        <x:f>IF(V131&lt;&gt;"",V131,W131)</x:f>
        <x:v>92.5</x:v>
      </x:c>
      <x:c r="Y131" s="73" t="str">
        <x:v>파생 단순평균(참고)</x:v>
      </x:c>
      <x:c r="Z131" s="74" t="n">
        <x:v>80</x:v>
      </x:c>
      <x:c r="AA131" s="74" t="n">
        <x:f>IF(X131&lt;&gt;"",Z131-X131,"")</x:f>
        <x:v>-12.5</x:v>
      </x:c>
      <x:c r="AB131" s="73" t="str">
        <x:f>IF(AA131="","",IF(AA131&gt;=5,"안정",IF(AA131&gt;=1,"적정",IF(AA131&gt;=-2,"소신","상향"))))</x:f>
        <x:v>상향</x:v>
      </x:c>
      <x:c r="AC131" s="75" t="n">
        <x:v>50</x:v>
      </x:c>
      <x:c r="AD131" s="75" t="n">
        <x:v>50</x:v>
      </x:c>
      <x:c r="AE131" s="75" t="n">
        <x:v>0</x:v>
      </x:c>
      <x:c r="AF131" s="73" t="str">
        <x:v>B: 공식 과목별 70% 백분위 → 단순평균 파생</x:v>
      </x:c>
      <x:c r="AG131" s="73" t="str">
        <x:v>https://www.adiga.kr/ucp/uvt/uni/univDetailSelection.do?menuId=PCUVTINF2000&amp;searchSyr=2026&amp;unvCd=0000149</x:v>
      </x:c>
    </x:row>
    <x:row r="132" ht="18" customHeight="1">
      <x:c r="A132" s="73" t="n">
        <x:v>2025</x:v>
      </x:c>
      <x:c r="B132" s="73" t="str">
        <x:v>서울특별시</x:v>
      </x:c>
      <x:c r="C132" s="73" t="str">
        <x:v>사립</x:v>
      </x:c>
      <x:c r="D132" s="73" t="str">
        <x:v>연세대학교</x:v>
      </x:c>
      <x:c r="E132" s="73" t="str">
        <x:v>가</x:v>
      </x:c>
      <x:c r="F132" s="73" t="str">
        <x:v>일반전형</x:v>
      </x:c>
      <x:c r="G132" s="73" t="str">
        <x:v>심리학과</x:v>
      </x:c>
      <x:c r="H132" s="73" t="n">
        <x:v>16</x:v>
      </x:c>
      <x:c r="I132" s="73" t="n">
        <x:v>1</x:v>
      </x:c>
      <x:c r="J132" s="73" t="n">
        <x:v>17</x:v>
      </x:c>
      <x:c r="K132" s="74" t="n">
        <x:v>3.65</x:v>
      </x:c>
      <x:c r="L132" s="73" t="n">
        <x:v>4</x:v>
      </x:c>
      <x:c r="M132" s="74" t="n">
        <x:v>693.6903</x:v>
      </x:c>
      <x:c r="N132" s="74" t="n">
        <x:v>690.1348</x:v>
      </x:c>
      <x:c r="O132" s="74" t="n">
        <x:v>1000</x:v>
      </x:c>
      <x:c r="P132" s="74" t="n">
        <x:v>98</x:v>
      </x:c>
      <x:c r="Q132" s="74" t="n">
        <x:v>90</x:v>
      </x:c>
      <x:c r="R132" s="74" t="n">
        <x:v>93</x:v>
      </x:c>
      <x:c r="S132" s="74" t="n">
        <x:v>88</x:v>
      </x:c>
      <x:c r="T132" s="74" t="n">
        <x:v>2</x:v>
      </x:c>
      <x:c r="U132" s="74" t="n">
        <x:v>1</x:v>
      </x:c>
      <x:c r="V132" s="74"/>
      <x:c r="W132" s="74" t="n">
        <x:f>IF(COUNTA(P132:S132)=4,AVERAGE(P132:S132),"")</x:f>
        <x:v>92.25</x:v>
      </x:c>
      <x:c r="X132" s="74" t="n">
        <x:f>IF(V132&lt;&gt;"",V132,W132)</x:f>
        <x:v>92.25</x:v>
      </x:c>
      <x:c r="Y132" s="73" t="str">
        <x:v>파생 단순평균(참고)</x:v>
      </x:c>
      <x:c r="Z132" s="74" t="n">
        <x:v>80</x:v>
      </x:c>
      <x:c r="AA132" s="74" t="n">
        <x:f>IF(X132&lt;&gt;"",Z132-X132,"")</x:f>
        <x:v>-12.25</x:v>
      </x:c>
      <x:c r="AB132" s="73" t="str">
        <x:f>IF(AA132="","",IF(AA132&gt;=5,"안정",IF(AA132&gt;=1,"적정",IF(AA132&gt;=-2,"소신","상향"))))</x:f>
        <x:v>상향</x:v>
      </x:c>
      <x:c r="AC132" s="75" t="n">
        <x:v>52.94</x:v>
      </x:c>
      <x:c r="AD132" s="75" t="n">
        <x:v>47.06</x:v>
      </x:c>
      <x:c r="AE132" s="75" t="n">
        <x:v>0</x:v>
      </x:c>
      <x:c r="AF132" s="73" t="str">
        <x:v>B: 공식 과목별 70% 백분위 → 단순평균 파생</x:v>
      </x:c>
      <x:c r="AG132" s="73" t="str">
        <x:v>https://www.adiga.kr/ucp/uvt/uni/univDetailSelection.do?menuId=PCUVTINF2000&amp;searchSyr=2026&amp;unvCd=0000149</x:v>
      </x:c>
    </x:row>
    <x:row r="133" ht="18" customHeight="1">
      <x:c r="A133" s="73" t="n">
        <x:v>2025</x:v>
      </x:c>
      <x:c r="B133" s="73" t="str">
        <x:v>서울특별시</x:v>
      </x:c>
      <x:c r="C133" s="73" t="str">
        <x:v>사립</x:v>
      </x:c>
      <x:c r="D133" s="73" t="str">
        <x:v>연세대학교</x:v>
      </x:c>
      <x:c r="E133" s="73" t="str">
        <x:v>가</x:v>
      </x:c>
      <x:c r="F133" s="73" t="str">
        <x:v>일반전형</x:v>
      </x:c>
      <x:c r="G133" s="73" t="str">
        <x:v>경영학과</x:v>
      </x:c>
      <x:c r="H133" s="73" t="n">
        <x:v>152</x:v>
      </x:c>
      <x:c r="I133" s="73" t="n">
        <x:v>14</x:v>
      </x:c>
      <x:c r="J133" s="73" t="n">
        <x:v>166</x:v>
      </x:c>
      <x:c r="K133" s="74" t="n">
        <x:v>3.58</x:v>
      </x:c>
      <x:c r="L133" s="73" t="n">
        <x:v>119</x:v>
      </x:c>
      <x:c r="M133" s="74" t="n">
        <x:v>701.9538</x:v>
      </x:c>
      <x:c r="N133" s="74" t="n">
        <x:v>698.3454</x:v>
      </x:c>
      <x:c r="O133" s="74" t="n">
        <x:v>1000</x:v>
      </x:c>
      <x:c r="P133" s="74" t="n">
        <x:v>98</x:v>
      </x:c>
      <x:c r="Q133" s="74" t="n">
        <x:v>90</x:v>
      </x:c>
      <x:c r="R133" s="74" t="n">
        <x:v>93</x:v>
      </x:c>
      <x:c r="S133" s="74" t="n">
        <x:v>94</x:v>
      </x:c>
      <x:c r="T133" s="74" t="n">
        <x:v>1</x:v>
      </x:c>
      <x:c r="U133" s="74" t="n">
        <x:v>2</x:v>
      </x:c>
      <x:c r="V133" s="74"/>
      <x:c r="W133" s="74" t="n">
        <x:f>IF(COUNTA(P133:S133)=4,AVERAGE(P133:S133),"")</x:f>
        <x:v>93.75</x:v>
      </x:c>
      <x:c r="X133" s="74" t="n">
        <x:f>IF(V133&lt;&gt;"",V133,W133)</x:f>
        <x:v>93.75</x:v>
      </x:c>
      <x:c r="Y133" s="73" t="str">
        <x:v>파생 단순평균(참고)</x:v>
      </x:c>
      <x:c r="Z133" s="74" t="n">
        <x:v>80</x:v>
      </x:c>
      <x:c r="AA133" s="74" t="n">
        <x:f>IF(X133&lt;&gt;"",Z133-X133,"")</x:f>
        <x:v>-13.75</x:v>
      </x:c>
      <x:c r="AB133" s="73" t="str">
        <x:f>IF(AA133="","",IF(AA133&gt;=5,"안정",IF(AA133&gt;=1,"적정",IF(AA133&gt;=-2,"소신","상향"))))</x:f>
        <x:v>상향</x:v>
      </x:c>
      <x:c r="AC133" s="75" t="n">
        <x:v>48.48</x:v>
      </x:c>
      <x:c r="AD133" s="75" t="n">
        <x:v>50.3</x:v>
      </x:c>
      <x:c r="AE133" s="75" t="n">
        <x:v>1.21</x:v>
      </x:c>
      <x:c r="AF133" s="73" t="str">
        <x:v>B: 공식 과목별 70% 백분위 → 단순평균 파생</x:v>
      </x:c>
      <x:c r="AG133" s="73" t="str">
        <x:v>https://www.adiga.kr/ucp/uvt/uni/univDetailSelection.do?menuId=PCUVTINF2000&amp;searchSyr=2026&amp;unvCd=0000149</x:v>
      </x:c>
    </x:row>
    <x:row r="134" ht="18" customHeight="1">
      <x:c r="A134" s="73" t="n">
        <x:v>2025</x:v>
      </x:c>
      <x:c r="B134" s="73" t="str">
        <x:v>서울특별시</x:v>
      </x:c>
      <x:c r="C134" s="73" t="str">
        <x:v>사립</x:v>
      </x:c>
      <x:c r="D134" s="73" t="str">
        <x:v>연세대학교</x:v>
      </x:c>
      <x:c r="E134" s="73" t="str">
        <x:v>가</x:v>
      </x:c>
      <x:c r="F134" s="73" t="str">
        <x:v>일반전형</x:v>
      </x:c>
      <x:c r="G134" s="73" t="str">
        <x:v>수학과</x:v>
      </x:c>
      <x:c r="H134" s="73" t="n">
        <x:v>15</x:v>
      </x:c>
      <x:c r="I134" s="73" t="n">
        <x:v>1</x:v>
      </x:c>
      <x:c r="J134" s="73" t="n">
        <x:v>16</x:v>
      </x:c>
      <x:c r="K134" s="74" t="n">
        <x:v>3.75</x:v>
      </x:c>
      <x:c r="L134" s="73" t="n">
        <x:v>19</x:v>
      </x:c>
      <x:c r="M134" s="74" t="n">
        <x:v>695.5917</x:v>
      </x:c>
      <x:c r="N134" s="74" t="n">
        <x:v>692.215</x:v>
      </x:c>
      <x:c r="O134" s="74" t="n">
        <x:v>1000</x:v>
      </x:c>
      <x:c r="P134" s="74" t="n">
        <x:v>86</x:v>
      </x:c>
      <x:c r="Q134" s="74" t="n">
        <x:v>97</x:v>
      </x:c>
      <x:c r="R134" s="74" t="n">
        <x:v>90</x:v>
      </x:c>
      <x:c r="S134" s="74" t="n">
        <x:v>94</x:v>
      </x:c>
      <x:c r="T134" s="74" t="n">
        <x:v>2</x:v>
      </x:c>
      <x:c r="U134" s="74" t="n">
        <x:v>2</x:v>
      </x:c>
      <x:c r="V134" s="74"/>
      <x:c r="W134" s="74" t="n">
        <x:f>IF(COUNTA(P134:S134)=4,AVERAGE(P134:S134),"")</x:f>
        <x:v>91.75</x:v>
      </x:c>
      <x:c r="X134" s="74" t="n">
        <x:f>IF(V134&lt;&gt;"",V134,W134)</x:f>
        <x:v>91.75</x:v>
      </x:c>
      <x:c r="Y134" s="73" t="str">
        <x:v>파생 단순평균(참고)</x:v>
      </x:c>
      <x:c r="Z134" s="74" t="n">
        <x:v>80</x:v>
      </x:c>
      <x:c r="AA134" s="74" t="n">
        <x:f>IF(X134&lt;&gt;"",Z134-X134,"")</x:f>
        <x:v>-11.75</x:v>
      </x:c>
      <x:c r="AB134" s="73" t="str">
        <x:f>IF(AA134="","",IF(AA134&gt;=5,"안정",IF(AA134&gt;=1,"적정",IF(AA134&gt;=-2,"소신","상향"))))</x:f>
        <x:v>상향</x:v>
      </x:c>
      <x:c r="AC134" s="75" t="n">
        <x:v>0</x:v>
      </x:c>
      <x:c r="AD134" s="75" t="n">
        <x:v>93.75</x:v>
      </x:c>
      <x:c r="AE134" s="75" t="n">
        <x:v>6.25</x:v>
      </x:c>
      <x:c r="AF134" s="73" t="str">
        <x:v>B: 공식 과목별 70% 백분위 → 단순평균 파생</x:v>
      </x:c>
      <x:c r="AG134" s="73" t="str">
        <x:v>https://www.adiga.kr/ucp/uvt/uni/univDetailSelection.do?menuId=PCUVTINF2000&amp;searchSyr=2026&amp;unvCd=0000149</x:v>
      </x:c>
    </x:row>
    <x:row r="135" ht="18" customHeight="1">
      <x:c r="A135" s="73" t="n">
        <x:v>2025</x:v>
      </x:c>
      <x:c r="B135" s="73" t="str">
        <x:v>서울특별시</x:v>
      </x:c>
      <x:c r="C135" s="73" t="str">
        <x:v>사립</x:v>
      </x:c>
      <x:c r="D135" s="73" t="str">
        <x:v>연세대학교</x:v>
      </x:c>
      <x:c r="E135" s="73" t="str">
        <x:v>가</x:v>
      </x:c>
      <x:c r="F135" s="73" t="str">
        <x:v>일반전형</x:v>
      </x:c>
      <x:c r="G135" s="73" t="str">
        <x:v>물리학과</x:v>
      </x:c>
      <x:c r="H135" s="73" t="n">
        <x:v>13</x:v>
      </x:c>
      <x:c r="I135" s="73" t="n">
        <x:v>0</x:v>
      </x:c>
      <x:c r="J135" s="73" t="n">
        <x:v>13</x:v>
      </x:c>
      <x:c r="K135" s="74" t="n">
        <x:v>3.77</x:v>
      </x:c>
      <x:c r="L135" s="73" t="n">
        <x:v>10</x:v>
      </x:c>
      <x:c r="M135" s="74" t="n">
        <x:v>697.7551</x:v>
      </x:c>
      <x:c r="N135" s="74" t="n">
        <x:v>695.926</x:v>
      </x:c>
      <x:c r="O135" s="74" t="n">
        <x:v>1000</x:v>
      </x:c>
      <x:c r="P135" s="74" t="n">
        <x:v>91</x:v>
      </x:c>
      <x:c r="Q135" s="74" t="n">
        <x:v>95</x:v>
      </x:c>
      <x:c r="R135" s="74" t="n">
        <x:v>94</x:v>
      </x:c>
      <x:c r="S135" s="74" t="n">
        <x:v>94</x:v>
      </x:c>
      <x:c r="T135" s="74" t="n">
        <x:v>1</x:v>
      </x:c>
      <x:c r="U135" s="74" t="n">
        <x:v>2</x:v>
      </x:c>
      <x:c r="V135" s="74"/>
      <x:c r="W135" s="74" t="n">
        <x:f>IF(COUNTA(P135:S135)=4,AVERAGE(P135:S135),"")</x:f>
        <x:v>93.5</x:v>
      </x:c>
      <x:c r="X135" s="74" t="n">
        <x:f>IF(V135&lt;&gt;"",V135,W135)</x:f>
        <x:v>93.5</x:v>
      </x:c>
      <x:c r="Y135" s="73" t="str">
        <x:v>파생 단순평균(참고)</x:v>
      </x:c>
      <x:c r="Z135" s="74" t="n">
        <x:v>80</x:v>
      </x:c>
      <x:c r="AA135" s="74" t="n">
        <x:f>IF(X135&lt;&gt;"",Z135-X135,"")</x:f>
        <x:v>-13.5</x:v>
      </x:c>
      <x:c r="AB135" s="73" t="str">
        <x:f>IF(AA135="","",IF(AA135&gt;=5,"안정",IF(AA135&gt;=1,"적정",IF(AA135&gt;=-2,"소신","상향"))))</x:f>
        <x:v>상향</x:v>
      </x:c>
      <x:c r="AC135" s="75" t="n">
        <x:v>0</x:v>
      </x:c>
      <x:c r="AD135" s="75" t="n">
        <x:v>100</x:v>
      </x:c>
      <x:c r="AE135" s="75" t="n">
        <x:v>0</x:v>
      </x:c>
      <x:c r="AF135" s="73" t="str">
        <x:v>B: 공식 과목별 70% 백분위 → 단순평균 파생</x:v>
      </x:c>
      <x:c r="AG135" s="73" t="str">
        <x:v>https://www.adiga.kr/ucp/uvt/uni/univDetailSelection.do?menuId=PCUVTINF2000&amp;searchSyr=2026&amp;unvCd=0000149</x:v>
      </x:c>
    </x:row>
    <x:row r="136" ht="18" customHeight="1">
      <x:c r="A136" s="73" t="n">
        <x:v>2025</x:v>
      </x:c>
      <x:c r="B136" s="73" t="str">
        <x:v>서울특별시</x:v>
      </x:c>
      <x:c r="C136" s="73" t="str">
        <x:v>사립</x:v>
      </x:c>
      <x:c r="D136" s="73" t="str">
        <x:v>연세대학교</x:v>
      </x:c>
      <x:c r="E136" s="73" t="str">
        <x:v>가</x:v>
      </x:c>
      <x:c r="F136" s="73" t="str">
        <x:v>일반전형</x:v>
      </x:c>
      <x:c r="G136" s="73" t="str">
        <x:v>화학과</x:v>
      </x:c>
      <x:c r="H136" s="73" t="n">
        <x:v>18</x:v>
      </x:c>
      <x:c r="I136" s="73" t="n">
        <x:v>0</x:v>
      </x:c>
      <x:c r="J136" s="73" t="n">
        <x:v>18</x:v>
      </x:c>
      <x:c r="K136" s="74" t="n">
        <x:v>3.22</x:v>
      </x:c>
      <x:c r="L136" s="73" t="n">
        <x:v>8</x:v>
      </x:c>
      <x:c r="M136" s="74" t="n">
        <x:v>699.0471</x:v>
      </x:c>
      <x:c r="N136" s="74" t="n">
        <x:v>697.5168</x:v>
      </x:c>
      <x:c r="O136" s="74" t="n">
        <x:v>1000</x:v>
      </x:c>
      <x:c r="P136" s="74" t="n">
        <x:v>92</x:v>
      </x:c>
      <x:c r="Q136" s="74" t="n">
        <x:v>97</x:v>
      </x:c>
      <x:c r="R136" s="74" t="n">
        <x:v>94</x:v>
      </x:c>
      <x:c r="S136" s="74" t="n">
        <x:v>94</x:v>
      </x:c>
      <x:c r="T136" s="74" t="n">
        <x:v>1</x:v>
      </x:c>
      <x:c r="U136" s="74" t="n">
        <x:v>1</x:v>
      </x:c>
      <x:c r="V136" s="74"/>
      <x:c r="W136" s="74" t="n">
        <x:f>IF(COUNTA(P136:S136)=4,AVERAGE(P136:S136),"")</x:f>
        <x:v>94.25</x:v>
      </x:c>
      <x:c r="X136" s="74" t="n">
        <x:f>IF(V136&lt;&gt;"",V136,W136)</x:f>
        <x:v>94.25</x:v>
      </x:c>
      <x:c r="Y136" s="73" t="str">
        <x:v>파생 단순평균(참고)</x:v>
      </x:c>
      <x:c r="Z136" s="74" t="n">
        <x:v>80</x:v>
      </x:c>
      <x:c r="AA136" s="74" t="n">
        <x:f>IF(X136&lt;&gt;"",Z136-X136,"")</x:f>
        <x:v>-14.25</x:v>
      </x:c>
      <x:c r="AB136" s="73" t="str">
        <x:f>IF(AA136="","",IF(AA136&gt;=5,"안정",IF(AA136&gt;=1,"적정",IF(AA136&gt;=-2,"소신","상향"))))</x:f>
        <x:v>상향</x:v>
      </x:c>
      <x:c r="AC136" s="75" t="n">
        <x:v>0</x:v>
      </x:c>
      <x:c r="AD136" s="75" t="n">
        <x:v>88.89</x:v>
      </x:c>
      <x:c r="AE136" s="75" t="n">
        <x:v>11.11</x:v>
      </x:c>
      <x:c r="AF136" s="73" t="str">
        <x:v>B: 공식 과목별 70% 백분위 → 단순평균 파생</x:v>
      </x:c>
      <x:c r="AG136" s="73" t="str">
        <x:v>https://www.adiga.kr/ucp/uvt/uni/univDetailSelection.do?menuId=PCUVTINF2000&amp;searchSyr=2026&amp;unvCd=0000149</x:v>
      </x:c>
    </x:row>
    <x:row r="137" ht="18" customHeight="1">
      <x:c r="A137" s="73" t="n">
        <x:v>2025</x:v>
      </x:c>
      <x:c r="B137" s="73" t="str">
        <x:v>서울특별시</x:v>
      </x:c>
      <x:c r="C137" s="73" t="str">
        <x:v>사립</x:v>
      </x:c>
      <x:c r="D137" s="73" t="str">
        <x:v>연세대학교</x:v>
      </x:c>
      <x:c r="E137" s="73" t="str">
        <x:v>가</x:v>
      </x:c>
      <x:c r="F137" s="73" t="str">
        <x:v>일반전형</x:v>
      </x:c>
      <x:c r="G137" s="73" t="str">
        <x:v>지구시스템과학과</x:v>
      </x:c>
      <x:c r="H137" s="73" t="n">
        <x:v>14</x:v>
      </x:c>
      <x:c r="I137" s="73" t="n">
        <x:v>0</x:v>
      </x:c>
      <x:c r="J137" s="73" t="n">
        <x:v>14</x:v>
      </x:c>
      <x:c r="K137" s="74" t="n">
        <x:v>3.57</x:v>
      </x:c>
      <x:c r="L137" s="73" t="n">
        <x:v>8</x:v>
      </x:c>
      <x:c r="M137" s="74" t="n">
        <x:v>697.1148</x:v>
      </x:c>
      <x:c r="N137" s="74" t="n">
        <x:v>696.2303</x:v>
      </x:c>
      <x:c r="O137" s="74" t="n">
        <x:v>1000</x:v>
      </x:c>
      <x:c r="P137" s="74" t="n">
        <x:v>93</x:v>
      </x:c>
      <x:c r="Q137" s="74" t="n">
        <x:v>97</x:v>
      </x:c>
      <x:c r="R137" s="74" t="n">
        <x:v>94</x:v>
      </x:c>
      <x:c r="S137" s="74" t="n">
        <x:v>96</x:v>
      </x:c>
      <x:c r="T137" s="74" t="n">
        <x:v>2</x:v>
      </x:c>
      <x:c r="U137" s="74" t="n">
        <x:v>1</x:v>
      </x:c>
      <x:c r="V137" s="74"/>
      <x:c r="W137" s="74" t="n">
        <x:f>IF(COUNTA(P137:S137)=4,AVERAGE(P137:S137),"")</x:f>
        <x:v>95</x:v>
      </x:c>
      <x:c r="X137" s="74" t="n">
        <x:f>IF(V137&lt;&gt;"",V137,W137)</x:f>
        <x:v>95</x:v>
      </x:c>
      <x:c r="Y137" s="73" t="str">
        <x:v>파생 단순평균(참고)</x:v>
      </x:c>
      <x:c r="Z137" s="74" t="n">
        <x:v>80</x:v>
      </x:c>
      <x:c r="AA137" s="74" t="n">
        <x:f>IF(X137&lt;&gt;"",Z137-X137,"")</x:f>
        <x:v>-15</x:v>
      </x:c>
      <x:c r="AB137" s="73" t="str">
        <x:f>IF(AA137="","",IF(AA137&gt;=5,"안정",IF(AA137&gt;=1,"적정",IF(AA137&gt;=-2,"소신","상향"))))</x:f>
        <x:v>상향</x:v>
      </x:c>
      <x:c r="AC137" s="75" t="n">
        <x:v>7.14</x:v>
      </x:c>
      <x:c r="AD137" s="75" t="n">
        <x:v>92.86</x:v>
      </x:c>
      <x:c r="AE137" s="75" t="n">
        <x:v>0</x:v>
      </x:c>
      <x:c r="AF137" s="73" t="str">
        <x:v>B: 공식 과목별 70% 백분위 → 단순평균 파생</x:v>
      </x:c>
      <x:c r="AG137" s="73" t="str">
        <x:v>https://www.adiga.kr/ucp/uvt/uni/univDetailSelection.do?menuId=PCUVTINF2000&amp;searchSyr=2026&amp;unvCd=0000149</x:v>
      </x:c>
    </x:row>
    <x:row r="138" ht="18" customHeight="1">
      <x:c r="A138" s="73" t="n">
        <x:v>2025</x:v>
      </x:c>
      <x:c r="B138" s="73" t="str">
        <x:v>서울특별시</x:v>
      </x:c>
      <x:c r="C138" s="73" t="str">
        <x:v>사립</x:v>
      </x:c>
      <x:c r="D138" s="73" t="str">
        <x:v>연세대학교</x:v>
      </x:c>
      <x:c r="E138" s="73" t="str">
        <x:v>가</x:v>
      </x:c>
      <x:c r="F138" s="73" t="str">
        <x:v>일반전형</x:v>
      </x:c>
      <x:c r="G138" s="73" t="str">
        <x:v>천문우주학과</x:v>
      </x:c>
      <x:c r="H138" s="73" t="n">
        <x:v>10</x:v>
      </x:c>
      <x:c r="I138" s="73" t="n">
        <x:v>0</x:v>
      </x:c>
      <x:c r="J138" s="73" t="n">
        <x:v>10</x:v>
      </x:c>
      <x:c r="K138" s="74" t="n">
        <x:v>6.3</x:v>
      </x:c>
      <x:c r="L138" s="73" t="n">
        <x:v>9</x:v>
      </x:c>
      <x:c r="M138" s="74" t="n">
        <x:v>696.5878</x:v>
      </x:c>
      <x:c r="N138" s="74" t="n">
        <x:v>693.0716</x:v>
      </x:c>
      <x:c r="O138" s="74" t="n">
        <x:v>1000</x:v>
      </x:c>
      <x:c r="P138" s="74" t="n">
        <x:v>89</x:v>
      </x:c>
      <x:c r="Q138" s="74" t="n">
        <x:v>97</x:v>
      </x:c>
      <x:c r="R138" s="74" t="n">
        <x:v>94</x:v>
      </x:c>
      <x:c r="S138" s="74" t="n">
        <x:v>96</x:v>
      </x:c>
      <x:c r="T138" s="74" t="n">
        <x:v>1</x:v>
      </x:c>
      <x:c r="U138" s="74" t="n">
        <x:v>2</x:v>
      </x:c>
      <x:c r="V138" s="74"/>
      <x:c r="W138" s="74" t="n">
        <x:f>IF(COUNTA(P138:S138)=4,AVERAGE(P138:S138),"")</x:f>
        <x:v>94</x:v>
      </x:c>
      <x:c r="X138" s="74" t="n">
        <x:f>IF(V138&lt;&gt;"",V138,W138)</x:f>
        <x:v>94</x:v>
      </x:c>
      <x:c r="Y138" s="73" t="str">
        <x:v>파생 단순평균(참고)</x:v>
      </x:c>
      <x:c r="Z138" s="74" t="n">
        <x:v>80</x:v>
      </x:c>
      <x:c r="AA138" s="74" t="n">
        <x:f>IF(X138&lt;&gt;"",Z138-X138,"")</x:f>
        <x:v>-14</x:v>
      </x:c>
      <x:c r="AB138" s="73" t="str">
        <x:f>IF(AA138="","",IF(AA138&gt;=5,"안정",IF(AA138&gt;=1,"적정",IF(AA138&gt;=-2,"소신","상향"))))</x:f>
        <x:v>상향</x:v>
      </x:c>
      <x:c r="AC138" s="75" t="n">
        <x:v>0</x:v>
      </x:c>
      <x:c r="AD138" s="75" t="n">
        <x:v>80</x:v>
      </x:c>
      <x:c r="AE138" s="75" t="n">
        <x:v>20</x:v>
      </x:c>
      <x:c r="AF138" s="73" t="str">
        <x:v>B: 공식 과목별 70% 백분위 → 단순평균 파생</x:v>
      </x:c>
      <x:c r="AG138" s="73" t="str">
        <x:v>https://www.adiga.kr/ucp/uvt/uni/univDetailSelection.do?menuId=PCUVTINF2000&amp;searchSyr=2026&amp;unvCd=0000149</x:v>
      </x:c>
    </x:row>
    <x:row r="139" ht="18" customHeight="1">
      <x:c r="A139" s="73" t="n">
        <x:v>2025</x:v>
      </x:c>
      <x:c r="B139" s="73" t="str">
        <x:v>서울특별시</x:v>
      </x:c>
      <x:c r="C139" s="73" t="str">
        <x:v>사립</x:v>
      </x:c>
      <x:c r="D139" s="73" t="str">
        <x:v>연세대학교</x:v>
      </x:c>
      <x:c r="E139" s="73" t="str">
        <x:v>가</x:v>
      </x:c>
      <x:c r="F139" s="73" t="str">
        <x:v>일반전형</x:v>
      </x:c>
      <x:c r="G139" s="73" t="str">
        <x:v>대기과학과</x:v>
      </x:c>
      <x:c r="H139" s="73" t="n">
        <x:v>10</x:v>
      </x:c>
      <x:c r="I139" s="73" t="n">
        <x:v>0</x:v>
      </x:c>
      <x:c r="J139" s="73" t="n">
        <x:v>10</x:v>
      </x:c>
      <x:c r="K139" s="74" t="n">
        <x:v>4.1</x:v>
      </x:c>
      <x:c r="L139" s="73" t="n">
        <x:v>5</x:v>
      </x:c>
      <x:c r="M139" s="74" t="n">
        <x:v>697.6272</x:v>
      </x:c>
      <x:c r="N139" s="74" t="n">
        <x:v>697.477</x:v>
      </x:c>
      <x:c r="O139" s="74" t="n">
        <x:v>1000</x:v>
      </x:c>
      <x:c r="P139" s="74" t="n">
        <x:v>94</x:v>
      </x:c>
      <x:c r="Q139" s="74" t="n">
        <x:v>97</x:v>
      </x:c>
      <x:c r="R139" s="74" t="n">
        <x:v>90</x:v>
      </x:c>
      <x:c r="S139" s="74" t="n">
        <x:v>96</x:v>
      </x:c>
      <x:c r="T139" s="74" t="n">
        <x:v>1</x:v>
      </x:c>
      <x:c r="U139" s="74" t="n">
        <x:v>1</x:v>
      </x:c>
      <x:c r="V139" s="74"/>
      <x:c r="W139" s="74" t="n">
        <x:f>IF(COUNTA(P139:S139)=4,AVERAGE(P139:S139),"")</x:f>
        <x:v>94.25</x:v>
      </x:c>
      <x:c r="X139" s="74" t="n">
        <x:f>IF(V139&lt;&gt;"",V139,W139)</x:f>
        <x:v>94.25</x:v>
      </x:c>
      <x:c r="Y139" s="73" t="str">
        <x:v>파생 단순평균(참고)</x:v>
      </x:c>
      <x:c r="Z139" s="74" t="n">
        <x:v>80</x:v>
      </x:c>
      <x:c r="AA139" s="74" t="n">
        <x:f>IF(X139&lt;&gt;"",Z139-X139,"")</x:f>
        <x:v>-14.25</x:v>
      </x:c>
      <x:c r="AB139" s="73" t="str">
        <x:f>IF(AA139="","",IF(AA139&gt;=5,"안정",IF(AA139&gt;=1,"적정",IF(AA139&gt;=-2,"소신","상향"))))</x:f>
        <x:v>상향</x:v>
      </x:c>
      <x:c r="AC139" s="75" t="n">
        <x:v>0</x:v>
      </x:c>
      <x:c r="AD139" s="75" t="n">
        <x:v>80</x:v>
      </x:c>
      <x:c r="AE139" s="75" t="n">
        <x:v>20</x:v>
      </x:c>
      <x:c r="AF139" s="73" t="str">
        <x:v>B: 공식 과목별 70% 백분위 → 단순평균 파생</x:v>
      </x:c>
      <x:c r="AG139" s="73" t="str">
        <x:v>https://www.adiga.kr/ucp/uvt/uni/univDetailSelection.do?menuId=PCUVTINF2000&amp;searchSyr=2026&amp;unvCd=0000149</x:v>
      </x:c>
    </x:row>
    <x:row r="140" ht="18" customHeight="1">
      <x:c r="A140" s="73" t="n">
        <x:v>2025</x:v>
      </x:c>
      <x:c r="B140" s="73" t="str">
        <x:v>서울특별시</x:v>
      </x:c>
      <x:c r="C140" s="73" t="str">
        <x:v>사립</x:v>
      </x:c>
      <x:c r="D140" s="73" t="str">
        <x:v>연세대학교</x:v>
      </x:c>
      <x:c r="E140" s="73" t="str">
        <x:v>가</x:v>
      </x:c>
      <x:c r="F140" s="73" t="str">
        <x:v>일반전형</x:v>
      </x:c>
      <x:c r="G140" s="73" t="str">
        <x:v>화공생명공학부</x:v>
      </x:c>
      <x:c r="H140" s="73" t="n">
        <x:v>33</x:v>
      </x:c>
      <x:c r="I140" s="73" t="n">
        <x:v>0</x:v>
      </x:c>
      <x:c r="J140" s="73" t="n">
        <x:v>33</x:v>
      </x:c>
      <x:c r="K140" s="74" t="n">
        <x:v>4.73</x:v>
      </x:c>
      <x:c r="L140" s="73" t="n">
        <x:v>45</x:v>
      </x:c>
      <x:c r="M140" s="74" t="n">
        <x:v>700.4762</x:v>
      </x:c>
      <x:c r="N140" s="74" t="n">
        <x:v>699.0924</x:v>
      </x:c>
      <x:c r="O140" s="74" t="n">
        <x:v>1000</x:v>
      </x:c>
      <x:c r="P140" s="74" t="n">
        <x:v>88</x:v>
      </x:c>
      <x:c r="Q140" s="74" t="n">
        <x:v>98</x:v>
      </x:c>
      <x:c r="R140" s="74" t="n">
        <x:v>97</x:v>
      </x:c>
      <x:c r="S140" s="74" t="n">
        <x:v>93</x:v>
      </x:c>
      <x:c r="T140" s="74" t="n">
        <x:v>2</x:v>
      </x:c>
      <x:c r="U140" s="74" t="n">
        <x:v>2</x:v>
      </x:c>
      <x:c r="V140" s="74"/>
      <x:c r="W140" s="74" t="n">
        <x:f>IF(COUNTA(P140:S140)=4,AVERAGE(P140:S140),"")</x:f>
        <x:v>94</x:v>
      </x:c>
      <x:c r="X140" s="74" t="n">
        <x:f>IF(V140&lt;&gt;"",V140,W140)</x:f>
        <x:v>94</x:v>
      </x:c>
      <x:c r="Y140" s="73" t="str">
        <x:v>파생 단순평균(참고)</x:v>
      </x:c>
      <x:c r="Z140" s="74" t="n">
        <x:v>80</x:v>
      </x:c>
      <x:c r="AA140" s="74" t="n">
        <x:f>IF(X140&lt;&gt;"",Z140-X140,"")</x:f>
        <x:v>-14</x:v>
      </x:c>
      <x:c r="AB140" s="73" t="str">
        <x:f>IF(AA140="","",IF(AA140&gt;=5,"안정",IF(AA140&gt;=1,"적정",IF(AA140&gt;=-2,"소신","상향"))))</x:f>
        <x:v>상향</x:v>
      </x:c>
      <x:c r="AC140" s="75" t="n">
        <x:v>0</x:v>
      </x:c>
      <x:c r="AD140" s="75" t="n">
        <x:v>100</x:v>
      </x:c>
      <x:c r="AE140" s="75" t="n">
        <x:v>0</x:v>
      </x:c>
      <x:c r="AF140" s="73" t="str">
        <x:v>B: 공식 과목별 70% 백분위 → 단순평균 파생</x:v>
      </x:c>
      <x:c r="AG140" s="73" t="str">
        <x:v>https://www.adiga.kr/ucp/uvt/uni/univDetailSelection.do?menuId=PCUVTINF2000&amp;searchSyr=2026&amp;unvCd=0000149</x:v>
      </x:c>
    </x:row>
    <x:row r="141" ht="18" customHeight="1">
      <x:c r="A141" s="73" t="n">
        <x:v>2025</x:v>
      </x:c>
      <x:c r="B141" s="73" t="str">
        <x:v>서울특별시</x:v>
      </x:c>
      <x:c r="C141" s="73" t="str">
        <x:v>사립</x:v>
      </x:c>
      <x:c r="D141" s="73" t="str">
        <x:v>연세대학교</x:v>
      </x:c>
      <x:c r="E141" s="73" t="str">
        <x:v>가</x:v>
      </x:c>
      <x:c r="F141" s="73" t="str">
        <x:v>일반전형</x:v>
      </x:c>
      <x:c r="G141" s="73" t="str">
        <x:v>전기전자공학부</x:v>
      </x:c>
      <x:c r="H141" s="73" t="n">
        <x:v>75</x:v>
      </x:c>
      <x:c r="I141" s="73" t="n">
        <x:v>11</x:v>
      </x:c>
      <x:c r="J141" s="73" t="n">
        <x:v>86</x:v>
      </x:c>
      <x:c r="K141" s="74" t="n">
        <x:v>5.36</x:v>
      </x:c>
      <x:c r="L141" s="73" t="n">
        <x:v>111</x:v>
      </x:c>
      <x:c r="M141" s="74" t="n">
        <x:v>704.0081</x:v>
      </x:c>
      <x:c r="N141" s="74" t="n">
        <x:v>701.1039</x:v>
      </x:c>
      <x:c r="O141" s="74" t="n">
        <x:v>1000</x:v>
      </x:c>
      <x:c r="P141" s="74" t="n">
        <x:v>91</x:v>
      </x:c>
      <x:c r="Q141" s="74" t="n">
        <x:v>98</x:v>
      </x:c>
      <x:c r="R141" s="74" t="n">
        <x:v>94</x:v>
      </x:c>
      <x:c r="S141" s="74" t="n">
        <x:v>94</x:v>
      </x:c>
      <x:c r="T141" s="74" t="n">
        <x:v>2</x:v>
      </x:c>
      <x:c r="U141" s="74" t="n">
        <x:v>2</x:v>
      </x:c>
      <x:c r="V141" s="74"/>
      <x:c r="W141" s="74" t="n">
        <x:f>IF(COUNTA(P141:S141)=4,AVERAGE(P141:S141),"")</x:f>
        <x:v>94.25</x:v>
      </x:c>
      <x:c r="X141" s="74" t="n">
        <x:f>IF(V141&lt;&gt;"",V141,W141)</x:f>
        <x:v>94.25</x:v>
      </x:c>
      <x:c r="Y141" s="73" t="str">
        <x:v>파생 단순평균(참고)</x:v>
      </x:c>
      <x:c r="Z141" s="74" t="n">
        <x:v>80</x:v>
      </x:c>
      <x:c r="AA141" s="74" t="n">
        <x:f>IF(X141&lt;&gt;"",Z141-X141,"")</x:f>
        <x:v>-14.25</x:v>
      </x:c>
      <x:c r="AB141" s="73" t="str">
        <x:f>IF(AA141="","",IF(AA141&gt;=5,"안정",IF(AA141&gt;=1,"적정",IF(AA141&gt;=-2,"소신","상향"))))</x:f>
        <x:v>상향</x:v>
      </x:c>
      <x:c r="AC141" s="75" t="n">
        <x:v>0</x:v>
      </x:c>
      <x:c r="AD141" s="75" t="n">
        <x:v>97.62</x:v>
      </x:c>
      <x:c r="AE141" s="75" t="n">
        <x:v>2.38</x:v>
      </x:c>
      <x:c r="AF141" s="73" t="str">
        <x:v>B: 공식 과목별 70% 백분위 → 단순평균 파생</x:v>
      </x:c>
      <x:c r="AG141" s="73" t="str">
        <x:v>https://www.adiga.kr/ucp/uvt/uni/univDetailSelection.do?menuId=PCUVTINF2000&amp;searchSyr=2026&amp;unvCd=0000149</x:v>
      </x:c>
    </x:row>
    <x:row r="142" ht="18" customHeight="1">
      <x:c r="A142" s="73" t="n">
        <x:v>2025</x:v>
      </x:c>
      <x:c r="B142" s="73" t="str">
        <x:v>서울특별시</x:v>
      </x:c>
      <x:c r="C142" s="73" t="str">
        <x:v>사립</x:v>
      </x:c>
      <x:c r="D142" s="73" t="str">
        <x:v>연세대학교</x:v>
      </x:c>
      <x:c r="E142" s="73" t="str">
        <x:v>가</x:v>
      </x:c>
      <x:c r="F142" s="73" t="str">
        <x:v>일반전형</x:v>
      </x:c>
      <x:c r="G142" s="73" t="str">
        <x:v>건축공학과</x:v>
      </x:c>
      <x:c r="H142" s="73" t="n">
        <x:v>28</x:v>
      </x:c>
      <x:c r="I142" s="73" t="n">
        <x:v>0</x:v>
      </x:c>
      <x:c r="J142" s="73" t="n">
        <x:v>28</x:v>
      </x:c>
      <x:c r="K142" s="74" t="n">
        <x:v>2.82</x:v>
      </x:c>
      <x:c r="L142" s="73" t="n">
        <x:v>18</x:v>
      </x:c>
      <x:c r="M142" s="74" t="n">
        <x:v>697.4753</x:v>
      </x:c>
      <x:c r="N142" s="74" t="n">
        <x:v>694.8181</x:v>
      </x:c>
      <x:c r="O142" s="74" t="n">
        <x:v>1000</x:v>
      </x:c>
      <x:c r="P142" s="74" t="n">
        <x:v>88</x:v>
      </x:c>
      <x:c r="Q142" s="74" t="n">
        <x:v>97</x:v>
      </x:c>
      <x:c r="R142" s="74" t="n">
        <x:v>93</x:v>
      </x:c>
      <x:c r="S142" s="74" t="n">
        <x:v>94</x:v>
      </x:c>
      <x:c r="T142" s="74" t="n">
        <x:v>1</x:v>
      </x:c>
      <x:c r="U142" s="74" t="n">
        <x:v>1</x:v>
      </x:c>
      <x:c r="V142" s="74"/>
      <x:c r="W142" s="74" t="n">
        <x:f>IF(COUNTA(P142:S142)=4,AVERAGE(P142:S142),"")</x:f>
        <x:v>93</x:v>
      </x:c>
      <x:c r="X142" s="74" t="n">
        <x:f>IF(V142&lt;&gt;"",V142,W142)</x:f>
        <x:v>93</x:v>
      </x:c>
      <x:c r="Y142" s="73" t="str">
        <x:v>파생 단순평균(참고)</x:v>
      </x:c>
      <x:c r="Z142" s="74" t="n">
        <x:v>80</x:v>
      </x:c>
      <x:c r="AA142" s="74" t="n">
        <x:f>IF(X142&lt;&gt;"",Z142-X142,"")</x:f>
        <x:v>-13</x:v>
      </x:c>
      <x:c r="AB142" s="73" t="str">
        <x:f>IF(AA142="","",IF(AA142&gt;=5,"안정",IF(AA142&gt;=1,"적정",IF(AA142&gt;=-2,"소신","상향"))))</x:f>
        <x:v>상향</x:v>
      </x:c>
      <x:c r="AC142" s="75" t="n">
        <x:v>0</x:v>
      </x:c>
      <x:c r="AD142" s="75" t="n">
        <x:v>92.59</x:v>
      </x:c>
      <x:c r="AE142" s="75" t="n">
        <x:v>7.41</x:v>
      </x:c>
      <x:c r="AF142" s="73" t="str">
        <x:v>B: 공식 과목별 70% 백분위 → 단순평균 파생</x:v>
      </x:c>
      <x:c r="AG142" s="73" t="str">
        <x:v>https://www.adiga.kr/ucp/uvt/uni/univDetailSelection.do?menuId=PCUVTINF2000&amp;searchSyr=2026&amp;unvCd=0000149</x:v>
      </x:c>
    </x:row>
    <x:row r="143" ht="18" customHeight="1">
      <x:c r="A143" s="73" t="n">
        <x:v>2025</x:v>
      </x:c>
      <x:c r="B143" s="73" t="str">
        <x:v>서울특별시</x:v>
      </x:c>
      <x:c r="C143" s="73" t="str">
        <x:v>사립</x:v>
      </x:c>
      <x:c r="D143" s="73" t="str">
        <x:v>연세대학교</x:v>
      </x:c>
      <x:c r="E143" s="73" t="str">
        <x:v>가</x:v>
      </x:c>
      <x:c r="F143" s="73" t="str">
        <x:v>일반전형</x:v>
      </x:c>
      <x:c r="G143" s="73" t="str">
        <x:v>도시공학과</x:v>
      </x:c>
      <x:c r="H143" s="73" t="n">
        <x:v>14</x:v>
      </x:c>
      <x:c r="I143" s="73" t="n">
        <x:v>0</x:v>
      </x:c>
      <x:c r="J143" s="73" t="n">
        <x:v>14</x:v>
      </x:c>
      <x:c r="K143" s="74" t="n">
        <x:v>5.07</x:v>
      </x:c>
      <x:c r="L143" s="73" t="n">
        <x:v>1</x:v>
      </x:c>
      <x:c r="M143" s="74" t="n">
        <x:v>698.0952</x:v>
      </x:c>
      <x:c r="N143" s="74" t="n">
        <x:v>696.3485</x:v>
      </x:c>
      <x:c r="O143" s="74" t="n">
        <x:v>1000</x:v>
      </x:c>
      <x:c r="P143" s="74" t="n">
        <x:v>86</x:v>
      </x:c>
      <x:c r="Q143" s="74" t="n">
        <x:v>98</x:v>
      </x:c>
      <x:c r="R143" s="74" t="n">
        <x:v>97</x:v>
      </x:c>
      <x:c r="S143" s="74" t="n">
        <x:v>94</x:v>
      </x:c>
      <x:c r="T143" s="74" t="n">
        <x:v>1</x:v>
      </x:c>
      <x:c r="U143" s="74" t="n">
        <x:v>2</x:v>
      </x:c>
      <x:c r="V143" s="74"/>
      <x:c r="W143" s="74" t="n">
        <x:f>IF(COUNTA(P143:S143)=4,AVERAGE(P143:S143),"")</x:f>
        <x:v>93.75</x:v>
      </x:c>
      <x:c r="X143" s="74" t="n">
        <x:f>IF(V143&lt;&gt;"",V143,W143)</x:f>
        <x:v>93.75</x:v>
      </x:c>
      <x:c r="Y143" s="73" t="str">
        <x:v>파생 단순평균(참고)</x:v>
      </x:c>
      <x:c r="Z143" s="74" t="n">
        <x:v>80</x:v>
      </x:c>
      <x:c r="AA143" s="74" t="n">
        <x:f>IF(X143&lt;&gt;"",Z143-X143,"")</x:f>
        <x:v>-13.75</x:v>
      </x:c>
      <x:c r="AB143" s="73" t="str">
        <x:f>IF(AA143="","",IF(AA143&gt;=5,"안정",IF(AA143&gt;=1,"적정",IF(AA143&gt;=-2,"소신","상향"))))</x:f>
        <x:v>상향</x:v>
      </x:c>
      <x:c r="AC143" s="75" t="n">
        <x:v>0</x:v>
      </x:c>
      <x:c r="AD143" s="75" t="n">
        <x:v>92.86</x:v>
      </x:c>
      <x:c r="AE143" s="75" t="n">
        <x:v>7.14</x:v>
      </x:c>
      <x:c r="AF143" s="73" t="str">
        <x:v>B: 공식 과목별 70% 백분위 → 단순평균 파생</x:v>
      </x:c>
      <x:c r="AG143" s="73" t="str">
        <x:v>https://www.adiga.kr/ucp/uvt/uni/univDetailSelection.do?menuId=PCUVTINF2000&amp;searchSyr=2026&amp;unvCd=0000149</x:v>
      </x:c>
    </x:row>
    <x:row r="144" ht="18" customHeight="1">
      <x:c r="A144" s="73" t="n">
        <x:v>2025</x:v>
      </x:c>
      <x:c r="B144" s="73" t="str">
        <x:v>서울특별시</x:v>
      </x:c>
      <x:c r="C144" s="73" t="str">
        <x:v>사립</x:v>
      </x:c>
      <x:c r="D144" s="73" t="str">
        <x:v>연세대학교</x:v>
      </x:c>
      <x:c r="E144" s="73" t="str">
        <x:v>가</x:v>
      </x:c>
      <x:c r="F144" s="73" t="str">
        <x:v>일반전형</x:v>
      </x:c>
      <x:c r="G144" s="73" t="str">
        <x:v>사회환경시스템공학부</x:v>
      </x:c>
      <x:c r="H144" s="73" t="n">
        <x:v>28</x:v>
      </x:c>
      <x:c r="I144" s="73" t="n">
        <x:v>0</x:v>
      </x:c>
      <x:c r="J144" s="73" t="n">
        <x:v>28</x:v>
      </x:c>
      <x:c r="K144" s="74" t="n">
        <x:v>3.86</x:v>
      </x:c>
      <x:c r="L144" s="73" t="n">
        <x:v>4</x:v>
      </x:c>
      <x:c r="M144" s="74" t="n">
        <x:v>696.6032</x:v>
      </x:c>
      <x:c r="N144" s="74" t="n">
        <x:v>695.7591</x:v>
      </x:c>
      <x:c r="O144" s="74" t="n">
        <x:v>1000</x:v>
      </x:c>
      <x:c r="P144" s="74" t="n">
        <x:v>85</x:v>
      </x:c>
      <x:c r="Q144" s="74" t="n">
        <x:v>97</x:v>
      </x:c>
      <x:c r="R144" s="74" t="n">
        <x:v>96</x:v>
      </x:c>
      <x:c r="S144" s="74" t="n">
        <x:v>94</x:v>
      </x:c>
      <x:c r="T144" s="74" t="n">
        <x:v>2</x:v>
      </x:c>
      <x:c r="U144" s="74" t="n">
        <x:v>3</x:v>
      </x:c>
      <x:c r="V144" s="74"/>
      <x:c r="W144" s="74" t="n">
        <x:f>IF(COUNTA(P144:S144)=4,AVERAGE(P144:S144),"")</x:f>
        <x:v>93</x:v>
      </x:c>
      <x:c r="X144" s="74" t="n">
        <x:f>IF(V144&lt;&gt;"",V144,W144)</x:f>
        <x:v>93</x:v>
      </x:c>
      <x:c r="Y144" s="73" t="str">
        <x:v>파생 단순평균(참고)</x:v>
      </x:c>
      <x:c r="Z144" s="74" t="n">
        <x:v>80</x:v>
      </x:c>
      <x:c r="AA144" s="74" t="n">
        <x:f>IF(X144&lt;&gt;"",Z144-X144,"")</x:f>
        <x:v>-13</x:v>
      </x:c>
      <x:c r="AB144" s="73" t="str">
        <x:f>IF(AA144="","",IF(AA144&gt;=5,"안정",IF(AA144&gt;=1,"적정",IF(AA144&gt;=-2,"소신","상향"))))</x:f>
        <x:v>상향</x:v>
      </x:c>
      <x:c r="AC144" s="75" t="n">
        <x:v>0</x:v>
      </x:c>
      <x:c r="AD144" s="75" t="n">
        <x:v>92.86</x:v>
      </x:c>
      <x:c r="AE144" s="75" t="n">
        <x:v>7.14</x:v>
      </x:c>
      <x:c r="AF144" s="73" t="str">
        <x:v>B: 공식 과목별 70% 백분위 → 단순평균 파생</x:v>
      </x:c>
      <x:c r="AG144" s="73" t="str">
        <x:v>https://www.adiga.kr/ucp/uvt/uni/univDetailSelection.do?menuId=PCUVTINF2000&amp;searchSyr=2026&amp;unvCd=0000149</x:v>
      </x:c>
    </x:row>
    <x:row r="145" ht="18" customHeight="1">
      <x:c r="A145" s="73" t="n">
        <x:v>2025</x:v>
      </x:c>
      <x:c r="B145" s="73" t="str">
        <x:v>서울특별시</x:v>
      </x:c>
      <x:c r="C145" s="73" t="str">
        <x:v>사립</x:v>
      </x:c>
      <x:c r="D145" s="73" t="str">
        <x:v>연세대학교</x:v>
      </x:c>
      <x:c r="E145" s="73" t="str">
        <x:v>가</x:v>
      </x:c>
      <x:c r="F145" s="73" t="str">
        <x:v>일반전형</x:v>
      </x:c>
      <x:c r="G145" s="73" t="str">
        <x:v>기계공학부</x:v>
      </x:c>
      <x:c r="H145" s="73" t="n">
        <x:v>48</x:v>
      </x:c>
      <x:c r="I145" s="73" t="n">
        <x:v>0</x:v>
      </x:c>
      <x:c r="J145" s="73" t="n">
        <x:v>48</x:v>
      </x:c>
      <x:c r="K145" s="74" t="n">
        <x:v>3.42</x:v>
      </x:c>
      <x:c r="L145" s="73" t="n">
        <x:v>29</x:v>
      </x:c>
      <x:c r="M145" s="74" t="n">
        <x:v>700.8884</x:v>
      </x:c>
      <x:c r="N145" s="74" t="n">
        <x:v>700.1533</x:v>
      </x:c>
      <x:c r="O145" s="74" t="n">
        <x:v>1000</x:v>
      </x:c>
      <x:c r="P145" s="74" t="n">
        <x:v>89</x:v>
      </x:c>
      <x:c r="Q145" s="74" t="n">
        <x:v>97</x:v>
      </x:c>
      <x:c r="R145" s="74" t="n">
        <x:v>94</x:v>
      </x:c>
      <x:c r="S145" s="74" t="n">
        <x:v>94</x:v>
      </x:c>
      <x:c r="T145" s="74" t="n">
        <x:v>1</x:v>
      </x:c>
      <x:c r="U145" s="74" t="n">
        <x:v>2</x:v>
      </x:c>
      <x:c r="V145" s="74"/>
      <x:c r="W145" s="74" t="n">
        <x:f>IF(COUNTA(P145:S145)=4,AVERAGE(P145:S145),"")</x:f>
        <x:v>93.5</x:v>
      </x:c>
      <x:c r="X145" s="74" t="n">
        <x:f>IF(V145&lt;&gt;"",V145,W145)</x:f>
        <x:v>93.5</x:v>
      </x:c>
      <x:c r="Y145" s="73" t="str">
        <x:v>파생 단순평균(참고)</x:v>
      </x:c>
      <x:c r="Z145" s="74" t="n">
        <x:v>80</x:v>
      </x:c>
      <x:c r="AA145" s="74" t="n">
        <x:f>IF(X145&lt;&gt;"",Z145-X145,"")</x:f>
        <x:v>-13.5</x:v>
      </x:c>
      <x:c r="AB145" s="73" t="str">
        <x:f>IF(AA145="","",IF(AA145&gt;=5,"안정",IF(AA145&gt;=1,"적정",IF(AA145&gt;=-2,"소신","상향"))))</x:f>
        <x:v>상향</x:v>
      </x:c>
      <x:c r="AC145" s="75" t="n">
        <x:v>0</x:v>
      </x:c>
      <x:c r="AD145" s="75" t="n">
        <x:v>97.87</x:v>
      </x:c>
      <x:c r="AE145" s="75" t="n">
        <x:v>2.13</x:v>
      </x:c>
      <x:c r="AF145" s="73" t="str">
        <x:v>B: 공식 과목별 70% 백분위 → 단순평균 파생</x:v>
      </x:c>
      <x:c r="AG145" s="73" t="str">
        <x:v>https://www.adiga.kr/ucp/uvt/uni/univDetailSelection.do?menuId=PCUVTINF2000&amp;searchSyr=2026&amp;unvCd=0000149</x:v>
      </x:c>
    </x:row>
    <x:row r="146" ht="18" customHeight="1">
      <x:c r="A146" s="73" t="n">
        <x:v>2025</x:v>
      </x:c>
      <x:c r="B146" s="73" t="str">
        <x:v>서울특별시</x:v>
      </x:c>
      <x:c r="C146" s="73" t="str">
        <x:v>사립</x:v>
      </x:c>
      <x:c r="D146" s="73" t="str">
        <x:v>연세대학교</x:v>
      </x:c>
      <x:c r="E146" s="73" t="str">
        <x:v>가</x:v>
      </x:c>
      <x:c r="F146" s="73" t="str">
        <x:v>일반전형</x:v>
      </x:c>
      <x:c r="G146" s="73" t="str">
        <x:v>신소재공학부</x:v>
      </x:c>
      <x:c r="H146" s="73" t="n">
        <x:v>41</x:v>
      </x:c>
      <x:c r="I146" s="73" t="n">
        <x:v>0</x:v>
      </x:c>
      <x:c r="J146" s="73" t="n">
        <x:v>41</x:v>
      </x:c>
      <x:c r="K146" s="74" t="n">
        <x:v>5.46</x:v>
      </x:c>
      <x:c r="L146" s="73" t="n">
        <x:v>19</x:v>
      </x:c>
      <x:c r="M146" s="74" t="n">
        <x:v>701.0168</x:v>
      </x:c>
      <x:c r="N146" s="74" t="n">
        <x:v>697.8579</x:v>
      </x:c>
      <x:c r="O146" s="74" t="n">
        <x:v>1000</x:v>
      </x:c>
      <x:c r="P146" s="74" t="n">
        <x:v>89</x:v>
      </x:c>
      <x:c r="Q146" s="74" t="n">
        <x:v>97</x:v>
      </x:c>
      <x:c r="R146" s="74" t="n">
        <x:v>96</x:v>
      </x:c>
      <x:c r="S146" s="74" t="n">
        <x:v>91</x:v>
      </x:c>
      <x:c r="T146" s="74" t="n">
        <x:v>2</x:v>
      </x:c>
      <x:c r="U146" s="74" t="n">
        <x:v>2</x:v>
      </x:c>
      <x:c r="V146" s="74"/>
      <x:c r="W146" s="74" t="n">
        <x:f>IF(COUNTA(P146:S146)=4,AVERAGE(P146:S146),"")</x:f>
        <x:v>93.25</x:v>
      </x:c>
      <x:c r="X146" s="74" t="n">
        <x:f>IF(V146&lt;&gt;"",V146,W146)</x:f>
        <x:v>93.25</x:v>
      </x:c>
      <x:c r="Y146" s="73" t="str">
        <x:v>파생 단순평균(참고)</x:v>
      </x:c>
      <x:c r="Z146" s="74" t="n">
        <x:v>80</x:v>
      </x:c>
      <x:c r="AA146" s="74" t="n">
        <x:f>IF(X146&lt;&gt;"",Z146-X146,"")</x:f>
        <x:v>-13.25</x:v>
      </x:c>
      <x:c r="AB146" s="73" t="str">
        <x:f>IF(AA146="","",IF(AA146&gt;=5,"안정",IF(AA146&gt;=1,"적정",IF(AA146&gt;=-2,"소신","상향"))))</x:f>
        <x:v>상향</x:v>
      </x:c>
      <x:c r="AC146" s="75" t="n">
        <x:v>0</x:v>
      </x:c>
      <x:c r="AD146" s="75" t="n">
        <x:v>100</x:v>
      </x:c>
      <x:c r="AE146" s="75" t="n">
        <x:v>0</x:v>
      </x:c>
      <x:c r="AF146" s="73" t="str">
        <x:v>B: 공식 과목별 70% 백분위 → 단순평균 파생</x:v>
      </x:c>
      <x:c r="AG146" s="73" t="str">
        <x:v>https://www.adiga.kr/ucp/uvt/uni/univDetailSelection.do?menuId=PCUVTINF2000&amp;searchSyr=2026&amp;unvCd=0000149</x:v>
      </x:c>
    </x:row>
    <x:row r="147" ht="18" customHeight="1">
      <x:c r="A147" s="73" t="n">
        <x:v>2025</x:v>
      </x:c>
      <x:c r="B147" s="73" t="str">
        <x:v>서울특별시</x:v>
      </x:c>
      <x:c r="C147" s="73" t="str">
        <x:v>사립</x:v>
      </x:c>
      <x:c r="D147" s="73" t="str">
        <x:v>연세대학교</x:v>
      </x:c>
      <x:c r="E147" s="73" t="str">
        <x:v>가</x:v>
      </x:c>
      <x:c r="F147" s="73" t="str">
        <x:v>일반전형</x:v>
      </x:c>
      <x:c r="G147" s="73" t="str">
        <x:v>산업공학과</x:v>
      </x:c>
      <x:c r="H147" s="73" t="n">
        <x:v>16</x:v>
      </x:c>
      <x:c r="I147" s="73" t="n">
        <x:v>0</x:v>
      </x:c>
      <x:c r="J147" s="73" t="n">
        <x:v>16</x:v>
      </x:c>
      <x:c r="K147" s="74" t="n">
        <x:v>4.56</x:v>
      </x:c>
      <x:c r="L147" s="73" t="n">
        <x:v>8</x:v>
      </x:c>
      <x:c r="M147" s="74" t="n">
        <x:v>702.1588</x:v>
      </x:c>
      <x:c r="N147" s="74" t="n">
        <x:v>700.5839</x:v>
      </x:c>
      <x:c r="O147" s="74" t="n">
        <x:v>1000</x:v>
      </x:c>
      <x:c r="P147" s="74" t="n">
        <x:v>89</x:v>
      </x:c>
      <x:c r="Q147" s="74" t="n">
        <x:v>98</x:v>
      </x:c>
      <x:c r="R147" s="74" t="n">
        <x:v>97</x:v>
      </x:c>
      <x:c r="S147" s="74" t="n">
        <x:v>94</x:v>
      </x:c>
      <x:c r="T147" s="74" t="n">
        <x:v>2</x:v>
      </x:c>
      <x:c r="U147" s="74" t="n">
        <x:v>1</x:v>
      </x:c>
      <x:c r="V147" s="74"/>
      <x:c r="W147" s="74" t="n">
        <x:f>IF(COUNTA(P147:S147)=4,AVERAGE(P147:S147),"")</x:f>
        <x:v>94.5</x:v>
      </x:c>
      <x:c r="X147" s="74" t="n">
        <x:f>IF(V147&lt;&gt;"",V147,W147)</x:f>
        <x:v>94.5</x:v>
      </x:c>
      <x:c r="Y147" s="73" t="str">
        <x:v>파생 단순평균(참고)</x:v>
      </x:c>
      <x:c r="Z147" s="74" t="n">
        <x:v>80</x:v>
      </x:c>
      <x:c r="AA147" s="74" t="n">
        <x:f>IF(X147&lt;&gt;"",Z147-X147,"")</x:f>
        <x:v>-14.5</x:v>
      </x:c>
      <x:c r="AB147" s="73" t="str">
        <x:f>IF(AA147="","",IF(AA147&gt;=5,"안정",IF(AA147&gt;=1,"적정",IF(AA147&gt;=-2,"소신","상향"))))</x:f>
        <x:v>상향</x:v>
      </x:c>
      <x:c r="AC147" s="75" t="n">
        <x:v>0</x:v>
      </x:c>
      <x:c r="AD147" s="75" t="n">
        <x:v>87.5</x:v>
      </x:c>
      <x:c r="AE147" s="75" t="n">
        <x:v>12.5</x:v>
      </x:c>
      <x:c r="AF147" s="73" t="str">
        <x:v>B: 공식 과목별 70% 백분위 → 단순평균 파생</x:v>
      </x:c>
      <x:c r="AG147" s="73" t="str">
        <x:v>https://www.adiga.kr/ucp/uvt/uni/univDetailSelection.do?menuId=PCUVTINF2000&amp;searchSyr=2026&amp;unvCd=0000149</x:v>
      </x:c>
    </x:row>
    <x:row r="148" ht="18" customHeight="1">
      <x:c r="A148" s="73" t="n">
        <x:v>2025</x:v>
      </x:c>
      <x:c r="B148" s="73" t="str">
        <x:v>서울특별시</x:v>
      </x:c>
      <x:c r="C148" s="73" t="str">
        <x:v>사립</x:v>
      </x:c>
      <x:c r="D148" s="73" t="str">
        <x:v>서강대학교</x:v>
      </x:c>
      <x:c r="E148" s="73" t="str">
        <x:v>나</x:v>
      </x:c>
      <x:c r="F148" s="73" t="str">
        <x:v>일반전형</x:v>
      </x:c>
      <x:c r="G148" s="73" t="str">
        <x:v>인문학부</x:v>
      </x:c>
      <x:c r="H148" s="73" t="n">
        <x:v>46</x:v>
      </x:c>
      <x:c r="I148" s="73" t="n">
        <x:v>1</x:v>
      </x:c>
      <x:c r="J148" s="73" t="n">
        <x:v>47</x:v>
      </x:c>
      <x:c r="K148" s="74" t="n">
        <x:v>3.83</x:v>
      </x:c>
      <x:c r="L148" s="73" t="n">
        <x:v>49</x:v>
      </x:c>
      <x:c r="M148" s="74" t="n">
        <x:v>499.09</x:v>
      </x:c>
      <x:c r="N148" s="74" t="n">
        <x:v>498.53</x:v>
      </x:c>
      <x:c r="O148" s="74" t="n">
        <x:v>528.77</x:v>
      </x:c>
      <x:c r="P148" s="74" t="n">
        <x:v>100</x:v>
      </x:c>
      <x:c r="Q148" s="74" t="n">
        <x:v>92</x:v>
      </x:c>
      <x:c r="R148" s="74" t="n">
        <x:v>83</x:v>
      </x:c>
      <x:c r="S148" s="74" t="n">
        <x:v>68</x:v>
      </x:c>
      <x:c r="T148" s="74" t="n">
        <x:v>1</x:v>
      </x:c>
      <x:c r="U148" s="74" t="n">
        <x:v>2</x:v>
      </x:c>
      <x:c r="V148" s="74"/>
      <x:c r="W148" s="74" t="n">
        <x:f>IF(COUNTA(P148:S148)=4,AVERAGE(P148:S148),"")</x:f>
        <x:v>85.75</x:v>
      </x:c>
      <x:c r="X148" s="74" t="n">
        <x:f>IF(V148&lt;&gt;"",V148,W148)</x:f>
        <x:v>85.75</x:v>
      </x:c>
      <x:c r="Y148" s="73" t="str">
        <x:v>파생 단순평균(참고)</x:v>
      </x:c>
      <x:c r="Z148" s="74" t="n">
        <x:v>80</x:v>
      </x:c>
      <x:c r="AA148" s="74" t="n">
        <x:f>IF(X148&lt;&gt;"",Z148-X148,"")</x:f>
        <x:v>-5.75</x:v>
      </x:c>
      <x:c r="AB148" s="73" t="str">
        <x:f>IF(AA148="","",IF(AA148&gt;=5,"안정",IF(AA148&gt;=1,"적정",IF(AA148&gt;=-2,"소신","상향"))))</x:f>
        <x:v>상향</x:v>
      </x:c>
      <x:c r="AC148" s="75" t="n">
        <x:v>19.1</x:v>
      </x:c>
      <x:c r="AD148" s="75" t="n">
        <x:v>78.7</x:v>
      </x:c>
      <x:c r="AE148" s="75" t="n">
        <x:v>2.1</x:v>
      </x:c>
      <x:c r="AF148" s="73" t="str">
        <x:v>B: 공식 과목별 70% 백분위 → 단순평균 파생</x:v>
      </x:c>
      <x:c r="AG148" s="73" t="str">
        <x:v>https://www.adiga.kr/ucp/uvt/uni/univDetailSelection.do?menuId=PCUVTINF2000&amp;searchSyr=2026&amp;unvCd=0000120</x:v>
      </x:c>
    </x:row>
    <x:row r="149" ht="18" customHeight="1">
      <x:c r="A149" s="73" t="n">
        <x:v>2025</x:v>
      </x:c>
      <x:c r="B149" s="73" t="str">
        <x:v>서울특별시</x:v>
      </x:c>
      <x:c r="C149" s="73" t="str">
        <x:v>사립</x:v>
      </x:c>
      <x:c r="D149" s="73" t="str">
        <x:v>서강대학교</x:v>
      </x:c>
      <x:c r="E149" s="73" t="str">
        <x:v>나</x:v>
      </x:c>
      <x:c r="F149" s="73" t="str">
        <x:v>일반전형</x:v>
      </x:c>
      <x:c r="G149" s="73" t="str">
        <x:v>영문학부</x:v>
      </x:c>
      <x:c r="H149" s="73" t="n">
        <x:v>28</x:v>
      </x:c>
      <x:c r="I149" s="73" t="n">
        <x:v>0</x:v>
      </x:c>
      <x:c r="J149" s="73" t="n">
        <x:v>28</x:v>
      </x:c>
      <x:c r="K149" s="74" t="n">
        <x:v>4.93</x:v>
      </x:c>
      <x:c r="L149" s="73" t="n">
        <x:v>28</x:v>
      </x:c>
      <x:c r="M149" s="74" t="n">
        <x:v>498.83</x:v>
      </x:c>
      <x:c r="N149" s="74" t="n">
        <x:v>497.59</x:v>
      </x:c>
      <x:c r="O149" s="74" t="n">
        <x:v>528.77</x:v>
      </x:c>
      <x:c r="P149" s="74" t="n">
        <x:v>92</x:v>
      </x:c>
      <x:c r="Q149" s="74" t="n">
        <x:v>98</x:v>
      </x:c>
      <x:c r="R149" s="74" t="n">
        <x:v>72</x:v>
      </x:c>
      <x:c r="S149" s="74" t="n">
        <x:v>81</x:v>
      </x:c>
      <x:c r="T149" s="74" t="n">
        <x:v>3</x:v>
      </x:c>
      <x:c r="U149" s="74" t="n">
        <x:v>3</x:v>
      </x:c>
      <x:c r="V149" s="74"/>
      <x:c r="W149" s="74" t="n">
        <x:f>IF(COUNTA(P149:S149)=4,AVERAGE(P149:S149),"")</x:f>
        <x:v>85.75</x:v>
      </x:c>
      <x:c r="X149" s="74" t="n">
        <x:f>IF(V149&lt;&gt;"",V149,W149)</x:f>
        <x:v>85.75</x:v>
      </x:c>
      <x:c r="Y149" s="73" t="str">
        <x:v>파생 단순평균(참고)</x:v>
      </x:c>
      <x:c r="Z149" s="74" t="n">
        <x:v>80</x:v>
      </x:c>
      <x:c r="AA149" s="74" t="n">
        <x:f>IF(X149&lt;&gt;"",Z149-X149,"")</x:f>
        <x:v>-5.75</x:v>
      </x:c>
      <x:c r="AB149" s="73" t="str">
        <x:f>IF(AA149="","",IF(AA149&gt;=5,"안정",IF(AA149&gt;=1,"적정",IF(AA149&gt;=-2,"소신","상향"))))</x:f>
        <x:v>상향</x:v>
      </x:c>
      <x:c r="AC149" s="75" t="n">
        <x:v>14.8</x:v>
      </x:c>
      <x:c r="AD149" s="75" t="n">
        <x:v>85.2</x:v>
      </x:c>
      <x:c r="AE149" s="75" t="n">
        <x:v>0</x:v>
      </x:c>
      <x:c r="AF149" s="73" t="str">
        <x:v>B: 공식 과목별 70% 백분위 → 단순평균 파생</x:v>
      </x:c>
      <x:c r="AG149" s="73" t="str">
        <x:v>https://www.adiga.kr/ucp/uvt/uni/univDetailSelection.do?menuId=PCUVTINF2000&amp;searchSyr=2026&amp;unvCd=0000120</x:v>
      </x:c>
    </x:row>
    <x:row r="150" ht="18" customHeight="1">
      <x:c r="A150" s="73" t="n">
        <x:v>2025</x:v>
      </x:c>
      <x:c r="B150" s="73" t="str">
        <x:v>서울특별시</x:v>
      </x:c>
      <x:c r="C150" s="73" t="str">
        <x:v>사립</x:v>
      </x:c>
      <x:c r="D150" s="73" t="str">
        <x:v>서강대학교</x:v>
      </x:c>
      <x:c r="E150" s="73" t="str">
        <x:v>나</x:v>
      </x:c>
      <x:c r="F150" s="73" t="str">
        <x:v>일반전형</x:v>
      </x:c>
      <x:c r="G150" s="73" t="str">
        <x:v>유럽문화학과</x:v>
      </x:c>
      <x:c r="H150" s="73" t="n">
        <x:v>15</x:v>
      </x:c>
      <x:c r="I150" s="73" t="n">
        <x:v>2</x:v>
      </x:c>
      <x:c r="J150" s="73" t="n">
        <x:v>17</x:v>
      </x:c>
      <x:c r="K150" s="74" t="n">
        <x:v>5.4</x:v>
      </x:c>
      <x:c r="L150" s="73" t="n">
        <x:v>26</x:v>
      </x:c>
      <x:c r="M150" s="74" t="n">
        <x:v>498.43</x:v>
      </x:c>
      <x:c r="N150" s="74" t="n">
        <x:v>498.32</x:v>
      </x:c>
      <x:c r="O150" s="74" t="n">
        <x:v>528.77</x:v>
      </x:c>
      <x:c r="P150" s="74" t="n">
        <x:v>94</x:v>
      </x:c>
      <x:c r="Q150" s="74" t="n">
        <x:v>95</x:v>
      </x:c>
      <x:c r="R150" s="74" t="n">
        <x:v>96</x:v>
      </x:c>
      <x:c r="S150" s="74" t="n">
        <x:v>90</x:v>
      </x:c>
      <x:c r="T150" s="74" t="n">
        <x:v>2</x:v>
      </x:c>
      <x:c r="U150" s="74" t="n">
        <x:v>2</x:v>
      </x:c>
      <x:c r="V150" s="74"/>
      <x:c r="W150" s="74" t="n">
        <x:f>IF(COUNTA(P150:S150)=4,AVERAGE(P150:S150),"")</x:f>
        <x:v>93.75</x:v>
      </x:c>
      <x:c r="X150" s="74" t="n">
        <x:f>IF(V150&lt;&gt;"",V150,W150)</x:f>
        <x:v>93.75</x:v>
      </x:c>
      <x:c r="Y150" s="73" t="str">
        <x:v>파생 단순평균(참고)</x:v>
      </x:c>
      <x:c r="Z150" s="74" t="n">
        <x:v>80</x:v>
      </x:c>
      <x:c r="AA150" s="74" t="n">
        <x:f>IF(X150&lt;&gt;"",Z150-X150,"")</x:f>
        <x:v>-13.75</x:v>
      </x:c>
      <x:c r="AB150" s="73" t="str">
        <x:f>IF(AA150="","",IF(AA150&gt;=5,"안정",IF(AA150&gt;=1,"적정",IF(AA150&gt;=-2,"소신","상향"))))</x:f>
        <x:v>상향</x:v>
      </x:c>
      <x:c r="AC150" s="75" t="n">
        <x:v>23.5</x:v>
      </x:c>
      <x:c r="AD150" s="75" t="n">
        <x:v>70.6</x:v>
      </x:c>
      <x:c r="AE150" s="75" t="n">
        <x:v>5.9</x:v>
      </x:c>
      <x:c r="AF150" s="73" t="str">
        <x:v>B: 공식 과목별 70% 백분위 → 단순평균 파생</x:v>
      </x:c>
      <x:c r="AG150" s="73" t="str">
        <x:v>https://www.adiga.kr/ucp/uvt/uni/univDetailSelection.do?menuId=PCUVTINF2000&amp;searchSyr=2026&amp;unvCd=0000120</x:v>
      </x:c>
    </x:row>
    <x:row r="151" ht="18" customHeight="1">
      <x:c r="A151" s="73" t="n">
        <x:v>2025</x:v>
      </x:c>
      <x:c r="B151" s="73" t="str">
        <x:v>서울특별시</x:v>
      </x:c>
      <x:c r="C151" s="73" t="str">
        <x:v>사립</x:v>
      </x:c>
      <x:c r="D151" s="73" t="str">
        <x:v>서강대학교</x:v>
      </x:c>
      <x:c r="E151" s="73" t="str">
        <x:v>나</x:v>
      </x:c>
      <x:c r="F151" s="73" t="str">
        <x:v>일반전형</x:v>
      </x:c>
      <x:c r="G151" s="73" t="str">
        <x:v>중국문화학과</x:v>
      </x:c>
      <x:c r="H151" s="73" t="n">
        <x:v>12</x:v>
      </x:c>
      <x:c r="I151" s="73" t="n">
        <x:v>0</x:v>
      </x:c>
      <x:c r="J151" s="73" t="n">
        <x:v>12</x:v>
      </x:c>
      <x:c r="K151" s="74" t="n">
        <x:v>5.5</x:v>
      </x:c>
      <x:c r="L151" s="73" t="n">
        <x:v>4</x:v>
      </x:c>
      <x:c r="M151" s="74" t="n">
        <x:v>498.81</x:v>
      </x:c>
      <x:c r="N151" s="74" t="n">
        <x:v>498.71</x:v>
      </x:c>
      <x:c r="O151" s="74" t="n">
        <x:v>528.77</x:v>
      </x:c>
      <x:c r="P151" s="74" t="n">
        <x:v>96</x:v>
      </x:c>
      <x:c r="Q151" s="74" t="n">
        <x:v>97</x:v>
      </x:c>
      <x:c r="R151" s="74" t="n">
        <x:v>72</x:v>
      </x:c>
      <x:c r="S151" s="74" t="n">
        <x:v>85</x:v>
      </x:c>
      <x:c r="T151" s="74" t="n">
        <x:v>3</x:v>
      </x:c>
      <x:c r="U151" s="74" t="n">
        <x:v>1</x:v>
      </x:c>
      <x:c r="V151" s="74"/>
      <x:c r="W151" s="74" t="n">
        <x:f>IF(COUNTA(P151:S151)=4,AVERAGE(P151:S151),"")</x:f>
        <x:v>87.5</x:v>
      </x:c>
      <x:c r="X151" s="74" t="n">
        <x:f>IF(V151&lt;&gt;"",V151,W151)</x:f>
        <x:v>87.5</x:v>
      </x:c>
      <x:c r="Y151" s="73" t="str">
        <x:v>파생 단순평균(참고)</x:v>
      </x:c>
      <x:c r="Z151" s="74" t="n">
        <x:v>80</x:v>
      </x:c>
      <x:c r="AA151" s="74" t="n">
        <x:f>IF(X151&lt;&gt;"",Z151-X151,"")</x:f>
        <x:v>-7.5</x:v>
      </x:c>
      <x:c r="AB151" s="73" t="str">
        <x:f>IF(AA151="","",IF(AA151&gt;=5,"안정",IF(AA151&gt;=1,"적정",IF(AA151&gt;=-2,"소신","상향"))))</x:f>
        <x:v>상향</x:v>
      </x:c>
      <x:c r="AC151" s="75" t="n">
        <x:v>27.3</x:v>
      </x:c>
      <x:c r="AD151" s="75" t="n">
        <x:v>72.7</x:v>
      </x:c>
      <x:c r="AE151" s="75" t="n">
        <x:v>0</x:v>
      </x:c>
      <x:c r="AF151" s="73" t="str">
        <x:v>B: 공식 과목별 70% 백분위 → 단순평균 파생</x:v>
      </x:c>
      <x:c r="AG151" s="73" t="str">
        <x:v>https://www.adiga.kr/ucp/uvt/uni/univDetailSelection.do?menuId=PCUVTINF2000&amp;searchSyr=2026&amp;unvCd=0000120</x:v>
      </x:c>
    </x:row>
    <x:row r="152" ht="18" customHeight="1">
      <x:c r="A152" s="73" t="n">
        <x:v>2025</x:v>
      </x:c>
      <x:c r="B152" s="73" t="str">
        <x:v>서울특별시</x:v>
      </x:c>
      <x:c r="C152" s="73" t="str">
        <x:v>사립</x:v>
      </x:c>
      <x:c r="D152" s="73" t="str">
        <x:v>서강대학교</x:v>
      </x:c>
      <x:c r="E152" s="73" t="str">
        <x:v>나</x:v>
      </x:c>
      <x:c r="F152" s="73" t="str">
        <x:v>일반전형</x:v>
      </x:c>
      <x:c r="G152" s="73" t="str">
        <x:v>사회과학부</x:v>
      </x:c>
      <x:c r="H152" s="73" t="n">
        <x:v>28</x:v>
      </x:c>
      <x:c r="I152" s="73" t="n">
        <x:v>2</x:v>
      </x:c>
      <x:c r="J152" s="73" t="n">
        <x:v>30</x:v>
      </x:c>
      <x:c r="K152" s="74" t="n">
        <x:v>4.79</x:v>
      </x:c>
      <x:c r="L152" s="73" t="n">
        <x:v>50</x:v>
      </x:c>
      <x:c r="M152" s="74" t="n">
        <x:v>498.93</x:v>
      </x:c>
      <x:c r="N152" s="74" t="n">
        <x:v>496.86</x:v>
      </x:c>
      <x:c r="O152" s="74" t="n">
        <x:v>528.77</x:v>
      </x:c>
      <x:c r="P152" s="74" t="n">
        <x:v>95</x:v>
      </x:c>
      <x:c r="Q152" s="74" t="n">
        <x:v>97</x:v>
      </x:c>
      <x:c r="R152" s="74" t="n">
        <x:v>72</x:v>
      </x:c>
      <x:c r="S152" s="74" t="n">
        <x:v>74</x:v>
      </x:c>
      <x:c r="T152" s="74" t="n">
        <x:v>2</x:v>
      </x:c>
      <x:c r="U152" s="74" t="n">
        <x:v>2</x:v>
      </x:c>
      <x:c r="V152" s="74"/>
      <x:c r="W152" s="74" t="n">
        <x:f>IF(COUNTA(P152:S152)=4,AVERAGE(P152:S152),"")</x:f>
        <x:v>84.5</x:v>
      </x:c>
      <x:c r="X152" s="74" t="n">
        <x:f>IF(V152&lt;&gt;"",V152,W152)</x:f>
        <x:v>84.5</x:v>
      </x:c>
      <x:c r="Y152" s="73" t="str">
        <x:v>파생 단순평균(참고)</x:v>
      </x:c>
      <x:c r="Z152" s="74" t="n">
        <x:v>80</x:v>
      </x:c>
      <x:c r="AA152" s="74" t="n">
        <x:f>IF(X152&lt;&gt;"",Z152-X152,"")</x:f>
        <x:v>-4.5</x:v>
      </x:c>
      <x:c r="AB152" s="73" t="str">
        <x:f>IF(AA152="","",IF(AA152&gt;=5,"안정",IF(AA152&gt;=1,"적정",IF(AA152&gt;=-2,"소신","상향"))))</x:f>
        <x:v>상향</x:v>
      </x:c>
      <x:c r="AC152" s="75" t="n">
        <x:v>20</x:v>
      </x:c>
      <x:c r="AD152" s="75" t="n">
        <x:v>80</x:v>
      </x:c>
      <x:c r="AE152" s="75" t="n">
        <x:v>0</x:v>
      </x:c>
      <x:c r="AF152" s="73" t="str">
        <x:v>B: 공식 과목별 70% 백분위 → 단순평균 파생</x:v>
      </x:c>
      <x:c r="AG152" s="73" t="str">
        <x:v>https://www.adiga.kr/ucp/uvt/uni/univDetailSelection.do?menuId=PCUVTINF2000&amp;searchSyr=2026&amp;unvCd=0000120</x:v>
      </x:c>
    </x:row>
    <x:row r="153" ht="18" customHeight="1">
      <x:c r="A153" s="73" t="n">
        <x:v>2025</x:v>
      </x:c>
      <x:c r="B153" s="73" t="str">
        <x:v>서울특별시</x:v>
      </x:c>
      <x:c r="C153" s="73" t="str">
        <x:v>사립</x:v>
      </x:c>
      <x:c r="D153" s="73" t="str">
        <x:v>서강대학교</x:v>
      </x:c>
      <x:c r="E153" s="73" t="str">
        <x:v>나</x:v>
      </x:c>
      <x:c r="F153" s="73" t="str">
        <x:v>일반전형</x:v>
      </x:c>
      <x:c r="G153" s="73" t="str">
        <x:v>경제학과</x:v>
      </x:c>
      <x:c r="H153" s="73" t="n">
        <x:v>55</x:v>
      </x:c>
      <x:c r="I153" s="73" t="n">
        <x:v>4</x:v>
      </x:c>
      <x:c r="J153" s="73" t="n">
        <x:v>59</x:v>
      </x:c>
      <x:c r="K153" s="74" t="n">
        <x:v>4.33</x:v>
      </x:c>
      <x:c r="L153" s="73" t="n">
        <x:v>96</x:v>
      </x:c>
      <x:c r="M153" s="74" t="n">
        <x:v>500.75</x:v>
      </x:c>
      <x:c r="N153" s="74" t="n">
        <x:v>500.1</x:v>
      </x:c>
      <x:c r="O153" s="74" t="n">
        <x:v>528.77</x:v>
      </x:c>
      <x:c r="P153" s="74" t="n">
        <x:v>93</x:v>
      </x:c>
      <x:c r="Q153" s="74" t="n">
        <x:v>97</x:v>
      </x:c>
      <x:c r="R153" s="74" t="n">
        <x:v>85</x:v>
      </x:c>
      <x:c r="S153" s="74" t="n">
        <x:v>94</x:v>
      </x:c>
      <x:c r="T153" s="74" t="n">
        <x:v>2</x:v>
      </x:c>
      <x:c r="U153" s="74" t="n">
        <x:v>1</x:v>
      </x:c>
      <x:c r="V153" s="74"/>
      <x:c r="W153" s="74" t="n">
        <x:f>IF(COUNTA(P153:S153)=4,AVERAGE(P153:S153),"")</x:f>
        <x:v>92.25</x:v>
      </x:c>
      <x:c r="X153" s="74" t="n">
        <x:f>IF(V153&lt;&gt;"",V153,W153)</x:f>
        <x:v>92.25</x:v>
      </x:c>
      <x:c r="Y153" s="73" t="str">
        <x:v>파생 단순평균(참고)</x:v>
      </x:c>
      <x:c r="Z153" s="74" t="n">
        <x:v>80</x:v>
      </x:c>
      <x:c r="AA153" s="74" t="n">
        <x:f>IF(X153&lt;&gt;"",Z153-X153,"")</x:f>
        <x:v>-12.25</x:v>
      </x:c>
      <x:c r="AB153" s="73" t="str">
        <x:f>IF(AA153="","",IF(AA153&gt;=5,"안정",IF(AA153&gt;=1,"적정",IF(AA153&gt;=-2,"소신","상향"))))</x:f>
        <x:v>상향</x:v>
      </x:c>
      <x:c r="AC153" s="75" t="n">
        <x:v>10.3</x:v>
      </x:c>
      <x:c r="AD153" s="75" t="n">
        <x:v>84.5</x:v>
      </x:c>
      <x:c r="AE153" s="75" t="n">
        <x:v>5.2</x:v>
      </x:c>
      <x:c r="AF153" s="73" t="str">
        <x:v>B: 공식 과목별 70% 백분위 → 단순평균 파생</x:v>
      </x:c>
      <x:c r="AG153" s="73" t="str">
        <x:v>https://www.adiga.kr/ucp/uvt/uni/univDetailSelection.do?menuId=PCUVTINF2000&amp;searchSyr=2026&amp;unvCd=0000120</x:v>
      </x:c>
    </x:row>
    <x:row r="154" ht="18" customHeight="1">
      <x:c r="A154" s="73" t="n">
        <x:v>2025</x:v>
      </x:c>
      <x:c r="B154" s="73" t="str">
        <x:v>서울특별시</x:v>
      </x:c>
      <x:c r="C154" s="73" t="str">
        <x:v>사립</x:v>
      </x:c>
      <x:c r="D154" s="73" t="str">
        <x:v>서강대학교</x:v>
      </x:c>
      <x:c r="E154" s="73" t="str">
        <x:v>나</x:v>
      </x:c>
      <x:c r="F154" s="73" t="str">
        <x:v>일반전형</x:v>
      </x:c>
      <x:c r="G154" s="73" t="str">
        <x:v>경영학부</x:v>
      </x:c>
      <x:c r="H154" s="73" t="n">
        <x:v>80</x:v>
      </x:c>
      <x:c r="I154" s="73" t="n">
        <x:v>3</x:v>
      </x:c>
      <x:c r="J154" s="73" t="n">
        <x:v>83</x:v>
      </x:c>
      <x:c r="K154" s="74" t="n">
        <x:v>4.9</x:v>
      </x:c>
      <x:c r="L154" s="73" t="n">
        <x:v>133</x:v>
      </x:c>
      <x:c r="M154" s="74" t="n">
        <x:v>500.68</x:v>
      </x:c>
      <x:c r="N154" s="74" t="n">
        <x:v>499.94</x:v>
      </x:c>
      <x:c r="O154" s="74" t="n">
        <x:v>528.77</x:v>
      </x:c>
      <x:c r="P154" s="74" t="n">
        <x:v>98</x:v>
      </x:c>
      <x:c r="Q154" s="74" t="n">
        <x:v>92</x:v>
      </x:c>
      <x:c r="R154" s="74" t="n">
        <x:v>90</x:v>
      </x:c>
      <x:c r="S154" s="74" t="n">
        <x:v>91</x:v>
      </x:c>
      <x:c r="T154" s="74" t="n">
        <x:v>1</x:v>
      </x:c>
      <x:c r="U154" s="74" t="n">
        <x:v>2</x:v>
      </x:c>
      <x:c r="V154" s="74"/>
      <x:c r="W154" s="74" t="n">
        <x:f>IF(COUNTA(P154:S154)=4,AVERAGE(P154:S154),"")</x:f>
        <x:v>92.75</x:v>
      </x:c>
      <x:c r="X154" s="74" t="n">
        <x:f>IF(V154&lt;&gt;"",V154,W154)</x:f>
        <x:v>92.75</x:v>
      </x:c>
      <x:c r="Y154" s="73" t="str">
        <x:v>파생 단순평균(참고)</x:v>
      </x:c>
      <x:c r="Z154" s="74" t="n">
        <x:v>80</x:v>
      </x:c>
      <x:c r="AA154" s="74" t="n">
        <x:f>IF(X154&lt;&gt;"",Z154-X154,"")</x:f>
        <x:v>-12.75</x:v>
      </x:c>
      <x:c r="AB154" s="73" t="str">
        <x:f>IF(AA154="","",IF(AA154&gt;=5,"안정",IF(AA154&gt;=1,"적정",IF(AA154&gt;=-2,"소신","상향"))))</x:f>
        <x:v>상향</x:v>
      </x:c>
      <x:c r="AC154" s="75" t="n">
        <x:v>16.5</x:v>
      </x:c>
      <x:c r="AD154" s="75" t="n">
        <x:v>82.3</x:v>
      </x:c>
      <x:c r="AE154" s="75" t="n">
        <x:v>1.3</x:v>
      </x:c>
      <x:c r="AF154" s="73" t="str">
        <x:v>B: 공식 과목별 70% 백분위 → 단순평균 파생</x:v>
      </x:c>
      <x:c r="AG154" s="73" t="str">
        <x:v>https://www.adiga.kr/ucp/uvt/uni/univDetailSelection.do?menuId=PCUVTINF2000&amp;searchSyr=2026&amp;unvCd=0000120</x:v>
      </x:c>
    </x:row>
    <x:row r="155" ht="18" customHeight="1">
      <x:c r="A155" s="73" t="n">
        <x:v>2025</x:v>
      </x:c>
      <x:c r="B155" s="73" t="str">
        <x:v>서울특별시</x:v>
      </x:c>
      <x:c r="C155" s="73" t="str">
        <x:v>사립</x:v>
      </x:c>
      <x:c r="D155" s="73" t="str">
        <x:v>서강대학교</x:v>
      </x:c>
      <x:c r="E155" s="73" t="str">
        <x:v>나</x:v>
      </x:c>
      <x:c r="F155" s="73" t="str">
        <x:v>일반전형</x:v>
      </x:c>
      <x:c r="G155" s="73" t="str">
        <x:v>글로벌한국학부</x:v>
      </x:c>
      <x:c r="H155" s="73" t="n">
        <x:v>6</x:v>
      </x:c>
      <x:c r="I155" s="73" t="n">
        <x:v>0</x:v>
      </x:c>
      <x:c r="J155" s="73" t="n">
        <x:v>6</x:v>
      </x:c>
      <x:c r="K155" s="74" t="n">
        <x:v>6.83</x:v>
      </x:c>
      <x:c r="L155" s="73" t="n">
        <x:v>3</x:v>
      </x:c>
      <x:c r="M155" s="74" t="n">
        <x:v>498.58</x:v>
      </x:c>
      <x:c r="N155" s="74" t="n">
        <x:v>498.58</x:v>
      </x:c>
      <x:c r="O155" s="74" t="n">
        <x:v>528.77</x:v>
      </x:c>
      <x:c r="P155" s="74" t="n">
        <x:v>94</x:v>
      </x:c>
      <x:c r="Q155" s="74" t="n">
        <x:v>97</x:v>
      </x:c>
      <x:c r="R155" s="74" t="n">
        <x:v>88</x:v>
      </x:c>
      <x:c r="S155" s="74" t="n">
        <x:v>75</x:v>
      </x:c>
      <x:c r="T155" s="74" t="n">
        <x:v>2</x:v>
      </x:c>
      <x:c r="U155" s="74" t="n">
        <x:v>2</x:v>
      </x:c>
      <x:c r="V155" s="74"/>
      <x:c r="W155" s="74" t="n">
        <x:f>IF(COUNTA(P155:S155)=4,AVERAGE(P155:S155),"")</x:f>
        <x:v>88.5</x:v>
      </x:c>
      <x:c r="X155" s="74" t="n">
        <x:f>IF(V155&lt;&gt;"",V155,W155)</x:f>
        <x:v>88.5</x:v>
      </x:c>
      <x:c r="Y155" s="73" t="str">
        <x:v>파생 단순평균(참고)</x:v>
      </x:c>
      <x:c r="Z155" s="74" t="n">
        <x:v>80</x:v>
      </x:c>
      <x:c r="AA155" s="74" t="n">
        <x:f>IF(X155&lt;&gt;"",Z155-X155,"")</x:f>
        <x:v>-8.5</x:v>
      </x:c>
      <x:c r="AB155" s="73" t="str">
        <x:f>IF(AA155="","",IF(AA155&gt;=5,"안정",IF(AA155&gt;=1,"적정",IF(AA155&gt;=-2,"소신","상향"))))</x:f>
        <x:v>상향</x:v>
      </x:c>
      <x:c r="AC155" s="75" t="n">
        <x:v>16.7</x:v>
      </x:c>
      <x:c r="AD155" s="75" t="n">
        <x:v>83.3</x:v>
      </x:c>
      <x:c r="AE155" s="75" t="n">
        <x:v>0</x:v>
      </x:c>
      <x:c r="AF155" s="73" t="str">
        <x:v>B: 공식 과목별 70% 백분위 → 단순평균 파생</x:v>
      </x:c>
      <x:c r="AG155" s="73" t="str">
        <x:v>https://www.adiga.kr/ucp/uvt/uni/univDetailSelection.do?menuId=PCUVTINF2000&amp;searchSyr=2026&amp;unvCd=0000120</x:v>
      </x:c>
    </x:row>
    <x:row r="156" ht="18" customHeight="1">
      <x:c r="A156" s="73" t="n">
        <x:v>2025</x:v>
      </x:c>
      <x:c r="B156" s="73" t="str">
        <x:v>서울특별시</x:v>
      </x:c>
      <x:c r="C156" s="73" t="str">
        <x:v>사립</x:v>
      </x:c>
      <x:c r="D156" s="73" t="str">
        <x:v>서강대학교</x:v>
      </x:c>
      <x:c r="E156" s="73" t="str">
        <x:v>나</x:v>
      </x:c>
      <x:c r="F156" s="73" t="str">
        <x:v>일반전형</x:v>
      </x:c>
      <x:c r="G156" s="73" t="str">
        <x:v>지식융합미디어학부</x:v>
      </x:c>
      <x:c r="H156" s="73" t="n">
        <x:v>23</x:v>
      </x:c>
      <x:c r="I156" s="73" t="n">
        <x:v>0</x:v>
      </x:c>
      <x:c r="J156" s="73" t="n">
        <x:v>23</x:v>
      </x:c>
      <x:c r="K156" s="74" t="n">
        <x:v>5.09</x:v>
      </x:c>
      <x:c r="L156" s="73" t="n">
        <x:v>29</x:v>
      </x:c>
      <x:c r="M156" s="74" t="n">
        <x:v>500.05</x:v>
      </x:c>
      <x:c r="N156" s="74" t="n">
        <x:v>498.87</x:v>
      </x:c>
      <x:c r="O156" s="74" t="n">
        <x:v>528.77</x:v>
      </x:c>
      <x:c r="P156" s="74" t="n">
        <x:v>94</x:v>
      </x:c>
      <x:c r="Q156" s="74" t="n">
        <x:v>97</x:v>
      </x:c>
      <x:c r="R156" s="74" t="n">
        <x:v>90</x:v>
      </x:c>
      <x:c r="S156" s="74" t="n">
        <x:v>75</x:v>
      </x:c>
      <x:c r="T156" s="74" t="n">
        <x:v>2</x:v>
      </x:c>
      <x:c r="U156" s="74" t="n">
        <x:v>2</x:v>
      </x:c>
      <x:c r="V156" s="74"/>
      <x:c r="W156" s="74" t="n">
        <x:f>IF(COUNTA(P156:S156)=4,AVERAGE(P156:S156),"")</x:f>
        <x:v>89</x:v>
      </x:c>
      <x:c r="X156" s="74" t="n">
        <x:f>IF(V156&lt;&gt;"",V156,W156)</x:f>
        <x:v>89</x:v>
      </x:c>
      <x:c r="Y156" s="73" t="str">
        <x:v>파생 단순평균(참고)</x:v>
      </x:c>
      <x:c r="Z156" s="74" t="n">
        <x:v>80</x:v>
      </x:c>
      <x:c r="AA156" s="74" t="n">
        <x:f>IF(X156&lt;&gt;"",Z156-X156,"")</x:f>
        <x:v>-9</x:v>
      </x:c>
      <x:c r="AB156" s="73" t="str">
        <x:f>IF(AA156="","",IF(AA156&gt;=5,"안정",IF(AA156&gt;=1,"적정",IF(AA156&gt;=-2,"소신","상향"))))</x:f>
        <x:v>상향</x:v>
      </x:c>
      <x:c r="AC156" s="75" t="n">
        <x:v>0</x:v>
      </x:c>
      <x:c r="AD156" s="75" t="n">
        <x:v>100</x:v>
      </x:c>
      <x:c r="AE156" s="75" t="n">
        <x:v>0</x:v>
      </x:c>
      <x:c r="AF156" s="73" t="str">
        <x:v>B: 공식 과목별 70% 백분위 → 단순평균 파생</x:v>
      </x:c>
      <x:c r="AG156" s="73" t="str">
        <x:v>https://www.adiga.kr/ucp/uvt/uni/univDetailSelection.do?menuId=PCUVTINF2000&amp;searchSyr=2026&amp;unvCd=0000120</x:v>
      </x:c>
    </x:row>
    <x:row r="157" ht="18" customHeight="1">
      <x:c r="A157" s="73" t="n">
        <x:v>2025</x:v>
      </x:c>
      <x:c r="B157" s="73" t="str">
        <x:v>서울특별시</x:v>
      </x:c>
      <x:c r="C157" s="73" t="str">
        <x:v>사립</x:v>
      </x:c>
      <x:c r="D157" s="73" t="str">
        <x:v>서강대학교</x:v>
      </x:c>
      <x:c r="E157" s="73" t="str">
        <x:v>나</x:v>
      </x:c>
      <x:c r="F157" s="73" t="str">
        <x:v>일반전형</x:v>
      </x:c>
      <x:c r="G157" s="73" t="str">
        <x:v>수학과</x:v>
      </x:c>
      <x:c r="H157" s="73" t="n">
        <x:v>15</x:v>
      </x:c>
      <x:c r="I157" s="73" t="n">
        <x:v>0</x:v>
      </x:c>
      <x:c r="J157" s="73" t="n">
        <x:v>15</x:v>
      </x:c>
      <x:c r="K157" s="74" t="n">
        <x:v>6.4</x:v>
      </x:c>
      <x:c r="L157" s="73" t="n">
        <x:v>16</x:v>
      </x:c>
      <x:c r="M157" s="74" t="n">
        <x:v>501.97</x:v>
      </x:c>
      <x:c r="N157" s="74" t="n">
        <x:v>501.31</x:v>
      </x:c>
      <x:c r="O157" s="74" t="n">
        <x:v>529.36</x:v>
      </x:c>
      <x:c r="P157" s="74" t="n">
        <x:v>94</x:v>
      </x:c>
      <x:c r="Q157" s="74" t="n">
        <x:v>97</x:v>
      </x:c>
      <x:c r="R157" s="74" t="n">
        <x:v>87</x:v>
      </x:c>
      <x:c r="S157" s="74" t="n">
        <x:v>85</x:v>
      </x:c>
      <x:c r="T157" s="74" t="n">
        <x:v>1</x:v>
      </x:c>
      <x:c r="U157" s="74" t="n">
        <x:v>1</x:v>
      </x:c>
      <x:c r="V157" s="74"/>
      <x:c r="W157" s="74" t="n">
        <x:f>IF(COUNTA(P157:S157)=4,AVERAGE(P157:S157),"")</x:f>
        <x:v>90.75</x:v>
      </x:c>
      <x:c r="X157" s="74" t="n">
        <x:f>IF(V157&lt;&gt;"",V157,W157)</x:f>
        <x:v>90.75</x:v>
      </x:c>
      <x:c r="Y157" s="73" t="str">
        <x:v>파생 단순평균(참고)</x:v>
      </x:c>
      <x:c r="Z157" s="74" t="n">
        <x:v>80</x:v>
      </x:c>
      <x:c r="AA157" s="74" t="n">
        <x:f>IF(X157&lt;&gt;"",Z157-X157,"")</x:f>
        <x:v>-10.75</x:v>
      </x:c>
      <x:c r="AB157" s="73" t="str">
        <x:f>IF(AA157="","",IF(AA157&gt;=5,"안정",IF(AA157&gt;=1,"적정",IF(AA157&gt;=-2,"소신","상향"))))</x:f>
        <x:v>상향</x:v>
      </x:c>
      <x:c r="AC157" s="75" t="n">
        <x:v>0</x:v>
      </x:c>
      <x:c r="AD157" s="75" t="n">
        <x:v>92.9</x:v>
      </x:c>
      <x:c r="AE157" s="75" t="n">
        <x:v>7.1</x:v>
      </x:c>
      <x:c r="AF157" s="73" t="str">
        <x:v>B: 공식 과목별 70% 백분위 → 단순평균 파생</x:v>
      </x:c>
      <x:c r="AG157" s="73" t="str">
        <x:v>https://www.adiga.kr/ucp/uvt/uni/univDetailSelection.do?menuId=PCUVTINF2000&amp;searchSyr=2026&amp;unvCd=0000120</x:v>
      </x:c>
    </x:row>
    <x:row r="158" ht="18" customHeight="1">
      <x:c r="A158" s="73" t="n">
        <x:v>2025</x:v>
      </x:c>
      <x:c r="B158" s="73" t="str">
        <x:v>서울특별시</x:v>
      </x:c>
      <x:c r="C158" s="73" t="str">
        <x:v>사립</x:v>
      </x:c>
      <x:c r="D158" s="73" t="str">
        <x:v>서강대학교</x:v>
      </x:c>
      <x:c r="E158" s="73" t="str">
        <x:v>나</x:v>
      </x:c>
      <x:c r="F158" s="73" t="str">
        <x:v>일반전형</x:v>
      </x:c>
      <x:c r="G158" s="73" t="str">
        <x:v>물리학과</x:v>
      </x:c>
      <x:c r="H158" s="73" t="n">
        <x:v>15</x:v>
      </x:c>
      <x:c r="I158" s="73" t="n">
        <x:v>1</x:v>
      </x:c>
      <x:c r="J158" s="73" t="n">
        <x:v>16</x:v>
      </x:c>
      <x:c r="K158" s="74" t="n">
        <x:v>4.94</x:v>
      </x:c>
      <x:c r="L158" s="73" t="n">
        <x:v>20</x:v>
      </x:c>
      <x:c r="M158" s="74" t="n">
        <x:v>501.69</x:v>
      </x:c>
      <x:c r="N158" s="74" t="n">
        <x:v>501.47</x:v>
      </x:c>
      <x:c r="O158" s="74" t="n">
        <x:v>529.36</x:v>
      </x:c>
      <x:c r="P158" s="74" t="n">
        <x:v>94</x:v>
      </x:c>
      <x:c r="Q158" s="74" t="n">
        <x:v>99</x:v>
      </x:c>
      <x:c r="R158" s="74" t="n">
        <x:v>72</x:v>
      </x:c>
      <x:c r="S158" s="74" t="n">
        <x:v>83</x:v>
      </x:c>
      <x:c r="T158" s="74" t="n">
        <x:v>3</x:v>
      </x:c>
      <x:c r="U158" s="74" t="n">
        <x:v>4</x:v>
      </x:c>
      <x:c r="V158" s="74"/>
      <x:c r="W158" s="74" t="n">
        <x:f>IF(COUNTA(P158:S158)=4,AVERAGE(P158:S158),"")</x:f>
        <x:v>87</x:v>
      </x:c>
      <x:c r="X158" s="74" t="n">
        <x:f>IF(V158&lt;&gt;"",V158,W158)</x:f>
        <x:v>87</x:v>
      </x:c>
      <x:c r="Y158" s="73" t="str">
        <x:v>파생 단순평균(참고)</x:v>
      </x:c>
      <x:c r="Z158" s="74" t="n">
        <x:v>80</x:v>
      </x:c>
      <x:c r="AA158" s="74" t="n">
        <x:f>IF(X158&lt;&gt;"",Z158-X158,"")</x:f>
        <x:v>-7</x:v>
      </x:c>
      <x:c r="AB158" s="73" t="str">
        <x:f>IF(AA158="","",IF(AA158&gt;=5,"안정",IF(AA158&gt;=1,"적정",IF(AA158&gt;=-2,"소신","상향"))))</x:f>
        <x:v>상향</x:v>
      </x:c>
      <x:c r="AC158" s="75" t="n">
        <x:v>0</x:v>
      </x:c>
      <x:c r="AD158" s="75" t="n">
        <x:v>100</x:v>
      </x:c>
      <x:c r="AE158" s="75" t="n">
        <x:v>0</x:v>
      </x:c>
      <x:c r="AF158" s="73" t="str">
        <x:v>B: 공식 과목별 70% 백분위 → 단순평균 파생</x:v>
      </x:c>
      <x:c r="AG158" s="73" t="str">
        <x:v>https://www.adiga.kr/ucp/uvt/uni/univDetailSelection.do?menuId=PCUVTINF2000&amp;searchSyr=2026&amp;unvCd=0000120</x:v>
      </x:c>
    </x:row>
    <x:row r="159" ht="18" customHeight="1">
      <x:c r="A159" s="73" t="n">
        <x:v>2025</x:v>
      </x:c>
      <x:c r="B159" s="73" t="str">
        <x:v>서울특별시</x:v>
      </x:c>
      <x:c r="C159" s="73" t="str">
        <x:v>사립</x:v>
      </x:c>
      <x:c r="D159" s="73" t="str">
        <x:v>성균관대학교</x:v>
      </x:c>
      <x:c r="E159" s="73" t="str">
        <x:v>가</x:v>
      </x:c>
      <x:c r="F159" s="73" t="str">
        <x:v>일반전형</x:v>
      </x:c>
      <x:c r="G159" s="73" t="str">
        <x:v>교육학과</x:v>
      </x:c>
      <x:c r="H159" s="73" t="n">
        <x:v>15</x:v>
      </x:c>
      <x:c r="I159" s="73" t="n">
        <x:v>0</x:v>
      </x:c>
      <x:c r="J159" s="73" t="n">
        <x:v>15</x:v>
      </x:c>
      <x:c r="K159" s="74" t="n">
        <x:v>3.33</x:v>
      </x:c>
      <x:c r="L159" s="73" t="n">
        <x:v>6</x:v>
      </x:c>
      <x:c r="M159" s="74" t="n">
        <x:v>644.83</x:v>
      </x:c>
      <x:c r="N159" s="74" t="n">
        <x:v>644.15</x:v>
      </x:c>
      <x:c r="O159" s="74" t="n">
        <x:v>1000</x:v>
      </x:c>
      <x:c r="P159" s="74" t="n">
        <x:v>98</x:v>
      </x:c>
      <x:c r="Q159" s="74" t="n">
        <x:v>78</x:v>
      </x:c>
      <x:c r="R159" s="74" t="n">
        <x:v>88</x:v>
      </x:c>
      <x:c r="S159" s="74" t="n">
        <x:v>99</x:v>
      </x:c>
      <x:c r="T159" s="74" t="n">
        <x:v>2</x:v>
      </x:c>
      <x:c r="U159" s="74" t="n">
        <x:v>1</x:v>
      </x:c>
      <x:c r="V159" s="74"/>
      <x:c r="W159" s="74" t="n">
        <x:f>IF(COUNTA(P159:S159)=4,AVERAGE(P159:S159),"")</x:f>
        <x:v>90.75</x:v>
      </x:c>
      <x:c r="X159" s="74" t="n">
        <x:f>IF(V159&lt;&gt;"",V159,W159)</x:f>
        <x:v>90.75</x:v>
      </x:c>
      <x:c r="Y159" s="73" t="str">
        <x:v>파생 단순평균(참고)</x:v>
      </x:c>
      <x:c r="Z159" s="74" t="n">
        <x:v>80</x:v>
      </x:c>
      <x:c r="AA159" s="74" t="n">
        <x:f>IF(X159&lt;&gt;"",Z159-X159,"")</x:f>
        <x:v>-10.75</x:v>
      </x:c>
      <x:c r="AB159" s="73" t="str">
        <x:f>IF(AA159="","",IF(AA159&gt;=5,"안정",IF(AA159&gt;=1,"적정",IF(AA159&gt;=-2,"소신","상향"))))</x:f>
        <x:v>상향</x:v>
      </x:c>
      <x:c r="AC159" s="75" t="n">
        <x:v>56.3</x:v>
      </x:c>
      <x:c r="AD159" s="75" t="n">
        <x:v>43.8</x:v>
      </x:c>
      <x:c r="AE159" s="75" t="n">
        <x:v>0</x:v>
      </x:c>
      <x:c r="AF159" s="73" t="str">
        <x:v>B: 공식 과목별 70% 백분위 → 단순평균 파생</x:v>
      </x:c>
      <x:c r="AG159" s="73" t="str">
        <x:v>https://www.adiga.kr/ucp/uvt/uni/univDetailSelection.do?menuId=PCUVTINF2000&amp;searchSyr=2026&amp;unvCd=0000133</x:v>
      </x:c>
    </x:row>
    <x:row r="160" ht="18" customHeight="1">
      <x:c r="A160" s="73" t="n">
        <x:v>2025</x:v>
      </x:c>
      <x:c r="B160" s="73" t="str">
        <x:v>서울특별시</x:v>
      </x:c>
      <x:c r="C160" s="73" t="str">
        <x:v>사립</x:v>
      </x:c>
      <x:c r="D160" s="73" t="str">
        <x:v>성균관대학교</x:v>
      </x:c>
      <x:c r="E160" s="73" t="str">
        <x:v>가</x:v>
      </x:c>
      <x:c r="F160" s="73" t="str">
        <x:v>일반전형</x:v>
      </x:c>
      <x:c r="G160" s="73" t="str">
        <x:v>글로벌경제학과</x:v>
      </x:c>
      <x:c r="H160" s="73" t="n">
        <x:v>30</x:v>
      </x:c>
      <x:c r="I160" s="73" t="n">
        <x:v>0</x:v>
      </x:c>
      <x:c r="J160" s="73" t="n">
        <x:v>30</x:v>
      </x:c>
      <x:c r="K160" s="74" t="n">
        <x:v>5.1</x:v>
      </x:c>
      <x:c r="L160" s="73" t="n">
        <x:v>15</x:v>
      </x:c>
      <x:c r="M160" s="74" t="n">
        <x:v>648.31</x:v>
      </x:c>
      <x:c r="N160" s="74" t="n">
        <x:v>645.53</x:v>
      </x:c>
      <x:c r="O160" s="74" t="n">
        <x:v>1000</x:v>
      </x:c>
      <x:c r="P160" s="74" t="n">
        <x:v>96</x:v>
      </x:c>
      <x:c r="Q160" s="74" t="n">
        <x:v>93</x:v>
      </x:c>
      <x:c r="R160" s="74" t="n">
        <x:v>92</x:v>
      </x:c>
      <x:c r="S160" s="74" t="n">
        <x:v>91</x:v>
      </x:c>
      <x:c r="T160" s="74" t="n">
        <x:v>3</x:v>
      </x:c>
      <x:c r="U160" s="74" t="n">
        <x:v>3</x:v>
      </x:c>
      <x:c r="V160" s="74"/>
      <x:c r="W160" s="74" t="n">
        <x:f>IF(COUNTA(P160:S160)=4,AVERAGE(P160:S160),"")</x:f>
        <x:v>93</x:v>
      </x:c>
      <x:c r="X160" s="74" t="n">
        <x:f>IF(V160&lt;&gt;"",V160,W160)</x:f>
        <x:v>93</x:v>
      </x:c>
      <x:c r="Y160" s="73" t="str">
        <x:v>파생 단순평균(참고)</x:v>
      </x:c>
      <x:c r="Z160" s="74" t="n">
        <x:v>80</x:v>
      </x:c>
      <x:c r="AA160" s="74" t="n">
        <x:f>IF(X160&lt;&gt;"",Z160-X160,"")</x:f>
        <x:v>-13</x:v>
      </x:c>
      <x:c r="AB160" s="73" t="str">
        <x:f>IF(AA160="","",IF(AA160&gt;=5,"안정",IF(AA160&gt;=1,"적정",IF(AA160&gt;=-2,"소신","상향"))))</x:f>
        <x:v>상향</x:v>
      </x:c>
      <x:c r="AC160" s="75" t="n">
        <x:v>24.1</x:v>
      </x:c>
      <x:c r="AD160" s="75" t="n">
        <x:v>75.9</x:v>
      </x:c>
      <x:c r="AE160" s="75" t="n">
        <x:v>0</x:v>
      </x:c>
      <x:c r="AF160" s="73" t="str">
        <x:v>B: 공식 과목별 70% 백분위 → 단순평균 파생</x:v>
      </x:c>
      <x:c r="AG160" s="73" t="str">
        <x:v>https://www.adiga.kr/ucp/uvt/uni/univDetailSelection.do?menuId=PCUVTINF2000&amp;searchSyr=2026&amp;unvCd=0000133</x:v>
      </x:c>
    </x:row>
    <x:row r="161" ht="18" customHeight="1">
      <x:c r="A161" s="73" t="n">
        <x:v>2025</x:v>
      </x:c>
      <x:c r="B161" s="73" t="str">
        <x:v>서울특별시</x:v>
      </x:c>
      <x:c r="C161" s="73" t="str">
        <x:v>사립</x:v>
      </x:c>
      <x:c r="D161" s="73" t="str">
        <x:v>성균관대학교</x:v>
      </x:c>
      <x:c r="E161" s="73" t="str">
        <x:v>가</x:v>
      </x:c>
      <x:c r="F161" s="73" t="str">
        <x:v>일반전형</x:v>
      </x:c>
      <x:c r="G161" s="73" t="str">
        <x:v>글로벌융합학부</x:v>
      </x:c>
      <x:c r="H161" s="73" t="n">
        <x:v>10</x:v>
      </x:c>
      <x:c r="I161" s="73" t="n">
        <x:v>1</x:v>
      </x:c>
      <x:c r="J161" s="73" t="n">
        <x:v>11</x:v>
      </x:c>
      <x:c r="K161" s="74" t="n">
        <x:v>6.45</x:v>
      </x:c>
      <x:c r="L161" s="73" t="n">
        <x:v>5</x:v>
      </x:c>
      <x:c r="M161" s="74" t="n">
        <x:v>651.49</x:v>
      </x:c>
      <x:c r="N161" s="74" t="n">
        <x:v>650.35</x:v>
      </x:c>
      <x:c r="O161" s="74" t="n">
        <x:v>1000</x:v>
      </x:c>
      <x:c r="P161" s="74" t="n">
        <x:v>97</x:v>
      </x:c>
      <x:c r="Q161" s="74" t="n">
        <x:v>95</x:v>
      </x:c>
      <x:c r="R161" s="74" t="n">
        <x:v>84</x:v>
      </x:c>
      <x:c r="S161" s="74" t="n">
        <x:v>98</x:v>
      </x:c>
      <x:c r="T161" s="74" t="n">
        <x:v>2</x:v>
      </x:c>
      <x:c r="U161" s="74" t="n">
        <x:v>3</x:v>
      </x:c>
      <x:c r="V161" s="74"/>
      <x:c r="W161" s="74" t="n">
        <x:f>IF(COUNTA(P161:S161)=4,AVERAGE(P161:S161),"")</x:f>
        <x:v>93.5</x:v>
      </x:c>
      <x:c r="X161" s="74" t="n">
        <x:f>IF(V161&lt;&gt;"",V161,W161)</x:f>
        <x:v>93.5</x:v>
      </x:c>
      <x:c r="Y161" s="73" t="str">
        <x:v>파생 단순평균(참고)</x:v>
      </x:c>
      <x:c r="Z161" s="74" t="n">
        <x:v>80</x:v>
      </x:c>
      <x:c r="AA161" s="74" t="n">
        <x:f>IF(X161&lt;&gt;"",Z161-X161,"")</x:f>
        <x:v>-13.5</x:v>
      </x:c>
      <x:c r="AB161" s="73" t="str">
        <x:f>IF(AA161="","",IF(AA161&gt;=5,"안정",IF(AA161&gt;=1,"적정",IF(AA161&gt;=-2,"소신","상향"))))</x:f>
        <x:v>상향</x:v>
      </x:c>
      <x:c r="AC161" s="75" t="n">
        <x:v>9.1</x:v>
      </x:c>
      <x:c r="AD161" s="75" t="n">
        <x:v>90.9</x:v>
      </x:c>
      <x:c r="AE161" s="75" t="n">
        <x:v>0</x:v>
      </x:c>
      <x:c r="AF161" s="73" t="str">
        <x:v>B: 공식 과목별 70% 백분위 → 단순평균 파생</x:v>
      </x:c>
      <x:c r="AG161" s="73" t="str">
        <x:v>https://www.adiga.kr/ucp/uvt/uni/univDetailSelection.do?menuId=PCUVTINF2000&amp;searchSyr=2026&amp;unvCd=0000133</x:v>
      </x:c>
    </x:row>
    <x:row r="162" ht="18" customHeight="1">
      <x:c r="A162" s="73" t="n">
        <x:v>2025</x:v>
      </x:c>
      <x:c r="B162" s="73" t="str">
        <x:v>서울특별시</x:v>
      </x:c>
      <x:c r="C162" s="73" t="str">
        <x:v>사립</x:v>
      </x:c>
      <x:c r="D162" s="73" t="str">
        <x:v>성균관대학교</x:v>
      </x:c>
      <x:c r="E162" s="73" t="str">
        <x:v>가</x:v>
      </x:c>
      <x:c r="F162" s="73" t="str">
        <x:v>일반전형</x:v>
      </x:c>
      <x:c r="G162" s="73" t="str">
        <x:v>반도체시스템공학과</x:v>
      </x:c>
      <x:c r="H162" s="73" t="n">
        <x:v>20</x:v>
      </x:c>
      <x:c r="I162" s="73" t="n">
        <x:v>5</x:v>
      </x:c>
      <x:c r="J162" s="73" t="n">
        <x:v>25</x:v>
      </x:c>
      <x:c r="K162" s="74" t="n">
        <x:v>4.44</x:v>
      </x:c>
      <x:c r="L162" s="73" t="n">
        <x:v>13</x:v>
      </x:c>
      <x:c r="M162" s="74" t="n">
        <x:v>670.65</x:v>
      </x:c>
      <x:c r="N162" s="74" t="n">
        <x:v>669.92</x:v>
      </x:c>
      <x:c r="O162" s="74" t="n">
        <x:v>1000</x:v>
      </x:c>
      <x:c r="P162" s="74" t="n">
        <x:v>95</x:v>
      </x:c>
      <x:c r="Q162" s="74" t="n">
        <x:v>98</x:v>
      </x:c>
      <x:c r="R162" s="74" t="n">
        <x:v>96</x:v>
      </x:c>
      <x:c r="S162" s="74" t="n">
        <x:v>94</x:v>
      </x:c>
      <x:c r="T162" s="74" t="n">
        <x:v>2</x:v>
      </x:c>
      <x:c r="U162" s="74" t="n">
        <x:v>1</x:v>
      </x:c>
      <x:c r="V162" s="74"/>
      <x:c r="W162" s="74" t="n">
        <x:f>IF(COUNTA(P162:S162)=4,AVERAGE(P162:S162),"")</x:f>
        <x:v>95.75</x:v>
      </x:c>
      <x:c r="X162" s="74" t="n">
        <x:f>IF(V162&lt;&gt;"",V162,W162)</x:f>
        <x:v>95.75</x:v>
      </x:c>
      <x:c r="Y162" s="73" t="str">
        <x:v>파생 단순평균(참고)</x:v>
      </x:c>
      <x:c r="Z162" s="74" t="n">
        <x:v>80</x:v>
      </x:c>
      <x:c r="AA162" s="74" t="n">
        <x:f>IF(X162&lt;&gt;"",Z162-X162,"")</x:f>
        <x:v>-15.75</x:v>
      </x:c>
      <x:c r="AB162" s="73" t="str">
        <x:f>IF(AA162="","",IF(AA162&gt;=5,"안정",IF(AA162&gt;=1,"적정",IF(AA162&gt;=-2,"소신","상향"))))</x:f>
        <x:v>상향</x:v>
      </x:c>
      <x:c r="AC162" s="75" t="n">
        <x:v>0</x:v>
      </x:c>
      <x:c r="AD162" s="75" t="n">
        <x:v>96</x:v>
      </x:c>
      <x:c r="AE162" s="75" t="n">
        <x:v>4</x:v>
      </x:c>
      <x:c r="AF162" s="73" t="str">
        <x:v>B: 공식 과목별 70% 백분위 → 단순평균 파생</x:v>
      </x:c>
      <x:c r="AG162" s="73" t="str">
        <x:v>https://www.adiga.kr/ucp/uvt/uni/univDetailSelection.do?menuId=PCUVTINF2000&amp;searchSyr=2026&amp;unvCd=0000133</x:v>
      </x:c>
    </x:row>
    <x:row r="163" ht="18" customHeight="1">
      <x:c r="A163" s="73" t="n">
        <x:v>2025</x:v>
      </x:c>
      <x:c r="B163" s="73" t="str">
        <x:v>서울특별시</x:v>
      </x:c>
      <x:c r="C163" s="73" t="str">
        <x:v>사립</x:v>
      </x:c>
      <x:c r="D163" s="73" t="str">
        <x:v>성균관대학교</x:v>
      </x:c>
      <x:c r="E163" s="73" t="str">
        <x:v>가</x:v>
      </x:c>
      <x:c r="F163" s="73" t="str">
        <x:v>일반전형</x:v>
      </x:c>
      <x:c r="G163" s="73" t="str">
        <x:v>사회과학계열</x:v>
      </x:c>
      <x:c r="H163" s="73" t="n">
        <x:v>216</x:v>
      </x:c>
      <x:c r="I163" s="73" t="n">
        <x:v>1</x:v>
      </x:c>
      <x:c r="J163" s="73" t="n">
        <x:v>217</x:v>
      </x:c>
      <x:c r="K163" s="74" t="n">
        <x:v>3.6</x:v>
      </x:c>
      <x:c r="L163" s="73" t="n">
        <x:v>95</x:v>
      </x:c>
      <x:c r="M163" s="74" t="n">
        <x:v>645.13</x:v>
      </x:c>
      <x:c r="N163" s="74" t="n">
        <x:v>643.69</x:v>
      </x:c>
      <x:c r="O163" s="74" t="n">
        <x:v>1000</x:v>
      </x:c>
      <x:c r="P163" s="74" t="n">
        <x:v>96</x:v>
      </x:c>
      <x:c r="Q163" s="74" t="n">
        <x:v>92</x:v>
      </x:c>
      <x:c r="R163" s="74" t="n">
        <x:v>90</x:v>
      </x:c>
      <x:c r="S163" s="74" t="n">
        <x:v>91</x:v>
      </x:c>
      <x:c r="T163" s="74" t="n">
        <x:v>1</x:v>
      </x:c>
      <x:c r="U163" s="74" t="n">
        <x:v>1</x:v>
      </x:c>
      <x:c r="V163" s="74"/>
      <x:c r="W163" s="74" t="n">
        <x:f>IF(COUNTA(P163:S163)=4,AVERAGE(P163:S163),"")</x:f>
        <x:v>92.25</x:v>
      </x:c>
      <x:c r="X163" s="74" t="n">
        <x:f>IF(V163&lt;&gt;"",V163,W163)</x:f>
        <x:v>92.25</x:v>
      </x:c>
      <x:c r="Y163" s="73" t="str">
        <x:v>파생 단순평균(참고)</x:v>
      </x:c>
      <x:c r="Z163" s="74" t="n">
        <x:v>80</x:v>
      </x:c>
      <x:c r="AA163" s="74" t="n">
        <x:f>IF(X163&lt;&gt;"",Z163-X163,"")</x:f>
        <x:v>-12.25</x:v>
      </x:c>
      <x:c r="AB163" s="73" t="str">
        <x:f>IF(AA163="","",IF(AA163&gt;=5,"안정",IF(AA163&gt;=1,"적정",IF(AA163&gt;=-2,"소신","상향"))))</x:f>
        <x:v>상향</x:v>
      </x:c>
      <x:c r="AC163" s="75" t="n">
        <x:v>42.6</x:v>
      </x:c>
      <x:c r="AD163" s="75" t="n">
        <x:v>53.7</x:v>
      </x:c>
      <x:c r="AE163" s="75" t="n">
        <x:v>3.7</x:v>
      </x:c>
      <x:c r="AF163" s="73" t="str">
        <x:v>B: 공식 과목별 70% 백분위 → 단순평균 파생</x:v>
      </x:c>
      <x:c r="AG163" s="73" t="str">
        <x:v>https://www.adiga.kr/ucp/uvt/uni/univDetailSelection.do?menuId=PCUVTINF2000&amp;searchSyr=2026&amp;unvCd=0000133</x:v>
      </x:c>
    </x:row>
    <x:row r="164" ht="18" customHeight="1">
      <x:c r="A164" s="73" t="n">
        <x:v>2025</x:v>
      </x:c>
      <x:c r="B164" s="73" t="str">
        <x:v>서울특별시</x:v>
      </x:c>
      <x:c r="C164" s="73" t="str">
        <x:v>사립</x:v>
      </x:c>
      <x:c r="D164" s="73" t="str">
        <x:v>성균관대학교</x:v>
      </x:c>
      <x:c r="E164" s="73" t="str">
        <x:v>가</x:v>
      </x:c>
      <x:c r="F164" s="73" t="str">
        <x:v>일반전형</x:v>
      </x:c>
      <x:c r="G164" s="73" t="str">
        <x:v>약학과</x:v>
      </x:c>
      <x:c r="H164" s="73" t="n">
        <x:v>30</x:v>
      </x:c>
      <x:c r="I164" s="73" t="n">
        <x:v>0</x:v>
      </x:c>
      <x:c r="J164" s="73" t="n">
        <x:v>30</x:v>
      </x:c>
      <x:c r="K164" s="74" t="n">
        <x:v>6.9</x:v>
      </x:c>
      <x:c r="L164" s="73" t="n">
        <x:v>47</x:v>
      </x:c>
      <x:c r="M164" s="74" t="n">
        <x:v>679.56</x:v>
      </x:c>
      <x:c r="N164" s="74" t="n">
        <x:v>678.92</x:v>
      </x:c>
      <x:c r="O164" s="74" t="n">
        <x:v>1000</x:v>
      </x:c>
      <x:c r="P164" s="74" t="n">
        <x:v>99</x:v>
      </x:c>
      <x:c r="Q164" s="74" t="n">
        <x:v>98</x:v>
      </x:c>
      <x:c r="R164" s="74" t="n">
        <x:v>100</x:v>
      </x:c>
      <x:c r="S164" s="74" t="n">
        <x:v>94</x:v>
      </x:c>
      <x:c r="T164" s="74" t="n">
        <x:v>2</x:v>
      </x:c>
      <x:c r="U164" s="74" t="n">
        <x:v>1</x:v>
      </x:c>
      <x:c r="V164" s="74"/>
      <x:c r="W164" s="74" t="n">
        <x:f>IF(COUNTA(P164:S164)=4,AVERAGE(P164:S164),"")</x:f>
        <x:v>97.75</x:v>
      </x:c>
      <x:c r="X164" s="74" t="n">
        <x:f>IF(V164&lt;&gt;"",V164,W164)</x:f>
        <x:v>97.75</x:v>
      </x:c>
      <x:c r="Y164" s="73" t="str">
        <x:v>파생 단순평균(참고)</x:v>
      </x:c>
      <x:c r="Z164" s="74" t="n">
        <x:v>80</x:v>
      </x:c>
      <x:c r="AA164" s="74" t="n">
        <x:f>IF(X164&lt;&gt;"",Z164-X164,"")</x:f>
        <x:v>-17.75</x:v>
      </x:c>
      <x:c r="AB164" s="73" t="str">
        <x:f>IF(AA164="","",IF(AA164&gt;=5,"안정",IF(AA164&gt;=1,"적정",IF(AA164&gt;=-2,"소신","상향"))))</x:f>
        <x:v>상향</x:v>
      </x:c>
      <x:c r="AC164" s="75" t="n">
        <x:v>0</x:v>
      </x:c>
      <x:c r="AD164" s="75" t="n">
        <x:v>96.8</x:v>
      </x:c>
      <x:c r="AE164" s="75" t="n">
        <x:v>3.2</x:v>
      </x:c>
      <x:c r="AF164" s="73" t="str">
        <x:v>B: 공식 과목별 70% 백분위 → 단순평균 파생</x:v>
      </x:c>
      <x:c r="AG164" s="73" t="str">
        <x:v>https://www.adiga.kr/ucp/uvt/uni/univDetailSelection.do?menuId=PCUVTINF2000&amp;searchSyr=2026&amp;unvCd=0000133</x:v>
      </x:c>
    </x:row>
    <x:row r="165" ht="18" customHeight="1">
      <x:c r="A165" s="73" t="n">
        <x:v>2025</x:v>
      </x:c>
      <x:c r="B165" s="73" t="str">
        <x:v>서울특별시</x:v>
      </x:c>
      <x:c r="C165" s="73" t="str">
        <x:v>사립</x:v>
      </x:c>
      <x:c r="D165" s="73" t="str">
        <x:v>성균관대학교</x:v>
      </x:c>
      <x:c r="E165" s="73" t="str">
        <x:v>가</x:v>
      </x:c>
      <x:c r="F165" s="73" t="str">
        <x:v>일반전형</x:v>
      </x:c>
      <x:c r="G165" s="73" t="str">
        <x:v>의상학과</x:v>
      </x:c>
      <x:c r="H165" s="73" t="n">
        <x:v>15</x:v>
      </x:c>
      <x:c r="I165" s="73" t="n">
        <x:v>0</x:v>
      </x:c>
      <x:c r="J165" s="73" t="n">
        <x:v>15</x:v>
      </x:c>
      <x:c r="K165" s="74" t="n">
        <x:v>4.27</x:v>
      </x:c>
      <x:c r="L165" s="73" t="n">
        <x:v>5</x:v>
      </x:c>
      <x:c r="M165" s="74" t="n">
        <x:v>643.9</x:v>
      </x:c>
      <x:c r="N165" s="74" t="n">
        <x:v>643.39</x:v>
      </x:c>
      <x:c r="O165" s="74" t="n">
        <x:v>1000</x:v>
      </x:c>
      <x:c r="P165" s="74" t="n">
        <x:v>98</x:v>
      </x:c>
      <x:c r="Q165" s="74" t="n">
        <x:v>83</x:v>
      </x:c>
      <x:c r="R165" s="74" t="n">
        <x:v>97</x:v>
      </x:c>
      <x:c r="S165" s="74" t="n">
        <x:v>85</x:v>
      </x:c>
      <x:c r="T165" s="74" t="n">
        <x:v>2</x:v>
      </x:c>
      <x:c r="U165" s="74" t="n">
        <x:v>1</x:v>
      </x:c>
      <x:c r="V165" s="74"/>
      <x:c r="W165" s="74" t="n">
        <x:f>IF(COUNTA(P165:S165)=4,AVERAGE(P165:S165),"")</x:f>
        <x:v>90.75</x:v>
      </x:c>
      <x:c r="X165" s="74" t="n">
        <x:f>IF(V165&lt;&gt;"",V165,W165)</x:f>
        <x:v>90.75</x:v>
      </x:c>
      <x:c r="Y165" s="73" t="str">
        <x:v>파생 단순평균(참고)</x:v>
      </x:c>
      <x:c r="Z165" s="74" t="n">
        <x:v>80</x:v>
      </x:c>
      <x:c r="AA165" s="74" t="n">
        <x:f>IF(X165&lt;&gt;"",Z165-X165,"")</x:f>
        <x:v>-10.75</x:v>
      </x:c>
      <x:c r="AB165" s="73" t="str">
        <x:f>IF(AA165="","",IF(AA165&gt;=5,"안정",IF(AA165&gt;=1,"적정",IF(AA165&gt;=-2,"소신","상향"))))</x:f>
        <x:v>상향</x:v>
      </x:c>
      <x:c r="AC165" s="75" t="n">
        <x:v>46.7</x:v>
      </x:c>
      <x:c r="AD165" s="75" t="n">
        <x:v>46.7</x:v>
      </x:c>
      <x:c r="AE165" s="75" t="n">
        <x:v>6.7</x:v>
      </x:c>
      <x:c r="AF165" s="73" t="str">
        <x:v>B: 공식 과목별 70% 백분위 → 단순평균 파생</x:v>
      </x:c>
      <x:c r="AG165" s="73" t="str">
        <x:v>https://www.adiga.kr/ucp/uvt/uni/univDetailSelection.do?menuId=PCUVTINF2000&amp;searchSyr=2026&amp;unvCd=0000133</x:v>
      </x:c>
    </x:row>
    <x:row r="166" ht="18" customHeight="1">
      <x:c r="A166" s="73" t="n">
        <x:v>2025</x:v>
      </x:c>
      <x:c r="B166" s="73" t="str">
        <x:v>서울특별시</x:v>
      </x:c>
      <x:c r="C166" s="73" t="str">
        <x:v>사립</x:v>
      </x:c>
      <x:c r="D166" s="73" t="str">
        <x:v>성균관대학교</x:v>
      </x:c>
      <x:c r="E166" s="73" t="str">
        <x:v>가</x:v>
      </x:c>
      <x:c r="F166" s="73" t="str">
        <x:v>일반전형</x:v>
      </x:c>
      <x:c r="G166" s="73" t="str">
        <x:v>의예과</x:v>
      </x:c>
      <x:c r="H166" s="73" t="n">
        <x:v>50</x:v>
      </x:c>
      <x:c r="I166" s="73" t="n">
        <x:v>0</x:v>
      </x:c>
      <x:c r="J166" s="73" t="n">
        <x:v>50</x:v>
      </x:c>
      <x:c r="K166" s="74" t="n">
        <x:v>3.8</x:v>
      </x:c>
      <x:c r="L166" s="73" t="n">
        <x:v>11</x:v>
      </x:c>
      <x:c r="M166" s="74" t="n">
        <x:v>692.42</x:v>
      </x:c>
      <x:c r="N166" s="74" t="n">
        <x:v>691.85</x:v>
      </x:c>
      <x:c r="O166" s="74" t="n">
        <x:v>1000</x:v>
      </x:c>
      <x:c r="P166" s="74" t="n">
        <x:v>98</x:v>
      </x:c>
      <x:c r="Q166" s="74" t="n">
        <x:v>100</x:v>
      </x:c>
      <x:c r="R166" s="74" t="n">
        <x:v>98</x:v>
      </x:c>
      <x:c r="S166" s="74" t="n">
        <x:v>100</x:v>
      </x:c>
      <x:c r="T166" s="74" t="n">
        <x:v>2</x:v>
      </x:c>
      <x:c r="U166" s="74" t="n">
        <x:v>1</x:v>
      </x:c>
      <x:c r="V166" s="74"/>
      <x:c r="W166" s="74" t="n">
        <x:f>IF(COUNTA(P166:S166)=4,AVERAGE(P166:S166),"")</x:f>
        <x:v>99</x:v>
      </x:c>
      <x:c r="X166" s="74" t="n">
        <x:f>IF(V166&lt;&gt;"",V166,W166)</x:f>
        <x:v>99</x:v>
      </x:c>
      <x:c r="Y166" s="73" t="str">
        <x:v>파생 단순평균(참고)</x:v>
      </x:c>
      <x:c r="Z166" s="74" t="n">
        <x:v>80</x:v>
      </x:c>
      <x:c r="AA166" s="74" t="n">
        <x:f>IF(X166&lt;&gt;"",Z166-X166,"")</x:f>
        <x:v>-19</x:v>
      </x:c>
      <x:c r="AB166" s="73" t="str">
        <x:f>IF(AA166="","",IF(AA166&gt;=5,"안정",IF(AA166&gt;=1,"적정",IF(AA166&gt;=-2,"소신","상향"))))</x:f>
        <x:v>상향</x:v>
      </x:c>
      <x:c r="AC166" s="75" t="n">
        <x:v>0</x:v>
      </x:c>
      <x:c r="AD166" s="75" t="n">
        <x:v>100</x:v>
      </x:c>
      <x:c r="AE166" s="75" t="n">
        <x:v>0</x:v>
      </x:c>
      <x:c r="AF166" s="73" t="str">
        <x:v>B: 공식 과목별 70% 백분위 → 단순평균 파생</x:v>
      </x:c>
      <x:c r="AG166" s="73" t="str">
        <x:v>https://www.adiga.kr/ucp/uvt/uni/univDetailSelection.do?menuId=PCUVTINF2000&amp;searchSyr=2026&amp;unvCd=0000133</x:v>
      </x:c>
    </x:row>
    <x:row r="167" ht="18" customHeight="1">
      <x:c r="A167" s="73" t="n">
        <x:v>2025</x:v>
      </x:c>
      <x:c r="B167" s="73" t="str">
        <x:v>서울특별시</x:v>
      </x:c>
      <x:c r="C167" s="73" t="str">
        <x:v>사립</x:v>
      </x:c>
      <x:c r="D167" s="73" t="str">
        <x:v>성균관대학교</x:v>
      </x:c>
      <x:c r="E167" s="73" t="str">
        <x:v>가</x:v>
      </x:c>
      <x:c r="F167" s="73" t="str">
        <x:v>일반전형</x:v>
      </x:c>
      <x:c r="G167" s="73" t="str">
        <x:v>자연과학계열</x:v>
      </x:c>
      <x:c r="H167" s="73" t="n">
        <x:v>158</x:v>
      </x:c>
      <x:c r="I167" s="73" t="n">
        <x:v>4</x:v>
      </x:c>
      <x:c r="J167" s="73" t="n">
        <x:v>162</x:v>
      </x:c>
      <x:c r="K167" s="74" t="n">
        <x:v>3.86</x:v>
      </x:c>
      <x:c r="L167" s="73" t="n">
        <x:v>153</x:v>
      </x:c>
      <x:c r="M167" s="74" t="n">
        <x:v>655.21</x:v>
      </x:c>
      <x:c r="N167" s="74" t="n">
        <x:v>654.21</x:v>
      </x:c>
      <x:c r="O167" s="74" t="n">
        <x:v>1000</x:v>
      </x:c>
      <x:c r="P167" s="74" t="n">
        <x:v>95</x:v>
      </x:c>
      <x:c r="Q167" s="74" t="n">
        <x:v>96</x:v>
      </x:c>
      <x:c r="R167" s="74" t="n">
        <x:v>90</x:v>
      </x:c>
      <x:c r="S167" s="74" t="n">
        <x:v>88</x:v>
      </x:c>
      <x:c r="T167" s="74" t="n">
        <x:v>3</x:v>
      </x:c>
      <x:c r="U167" s="74" t="n">
        <x:v>5</x:v>
      </x:c>
      <x:c r="V167" s="74"/>
      <x:c r="W167" s="74" t="n">
        <x:f>IF(COUNTA(P167:S167)=4,AVERAGE(P167:S167),"")</x:f>
        <x:v>92.25</x:v>
      </x:c>
      <x:c r="X167" s="74" t="n">
        <x:f>IF(V167&lt;&gt;"",V167,W167)</x:f>
        <x:v>92.25</x:v>
      </x:c>
      <x:c r="Y167" s="73" t="str">
        <x:v>파생 단순평균(참고)</x:v>
      </x:c>
      <x:c r="Z167" s="74" t="n">
        <x:v>80</x:v>
      </x:c>
      <x:c r="AA167" s="74" t="n">
        <x:f>IF(X167&lt;&gt;"",Z167-X167,"")</x:f>
        <x:v>-12.25</x:v>
      </x:c>
      <x:c r="AB167" s="73" t="str">
        <x:f>IF(AA167="","",IF(AA167&gt;=5,"안정",IF(AA167&gt;=1,"적정",IF(AA167&gt;=-2,"소신","상향"))))</x:f>
        <x:v>상향</x:v>
      </x:c>
      <x:c r="AC167" s="75" t="n">
        <x:v>0</x:v>
      </x:c>
      <x:c r="AD167" s="75" t="n">
        <x:v>98.1</x:v>
      </x:c>
      <x:c r="AE167" s="75" t="n">
        <x:v>1.9</x:v>
      </x:c>
      <x:c r="AF167" s="73" t="str">
        <x:v>B: 공식 과목별 70% 백분위 → 단순평균 파생</x:v>
      </x:c>
      <x:c r="AG167" s="73" t="str">
        <x:v>https://www.adiga.kr/ucp/uvt/uni/univDetailSelection.do?menuId=PCUVTINF2000&amp;searchSyr=2026&amp;unvCd=0000133</x:v>
      </x:c>
    </x:row>
    <x:row r="168" ht="18" customHeight="1">
      <x:c r="A168" s="73" t="n">
        <x:v>2025</x:v>
      </x:c>
      <x:c r="B168" s="73" t="str">
        <x:v>서울특별시</x:v>
      </x:c>
      <x:c r="C168" s="73" t="str">
        <x:v>사립</x:v>
      </x:c>
      <x:c r="D168" s="73" t="str">
        <x:v>성균관대학교</x:v>
      </x:c>
      <x:c r="E168" s="73" t="str">
        <x:v>가</x:v>
      </x:c>
      <x:c r="F168" s="73" t="str">
        <x:v>일반전형</x:v>
      </x:c>
      <x:c r="G168" s="73" t="str">
        <x:v>컴퓨터교육과</x:v>
      </x:c>
      <x:c r="H168" s="73" t="n">
        <x:v>15</x:v>
      </x:c>
      <x:c r="I168" s="73" t="n">
        <x:v>0</x:v>
      </x:c>
      <x:c r="J168" s="73" t="n">
        <x:v>15</x:v>
      </x:c>
      <x:c r="K168" s="74" t="n">
        <x:v>3.73</x:v>
      </x:c>
      <x:c r="L168" s="73" t="n">
        <x:v>7</x:v>
      </x:c>
      <x:c r="M168" s="74" t="n">
        <x:v>655.55</x:v>
      </x:c>
      <x:c r="N168" s="74" t="n">
        <x:v>654.71</x:v>
      </x:c>
      <x:c r="O168" s="74" t="n">
        <x:v>800</x:v>
      </x:c>
      <x:c r="P168" s="74" t="n">
        <x:v>89</x:v>
      </x:c>
      <x:c r="Q168" s="74" t="n">
        <x:v>95</x:v>
      </x:c>
      <x:c r="R168" s="74" t="n">
        <x:v>94</x:v>
      </x:c>
      <x:c r="S168" s="74" t="n">
        <x:v>98</x:v>
      </x:c>
      <x:c r="T168" s="74" t="n">
        <x:v>1</x:v>
      </x:c>
      <x:c r="U168" s="74" t="n">
        <x:v>1</x:v>
      </x:c>
      <x:c r="V168" s="74"/>
      <x:c r="W168" s="74" t="n">
        <x:f>IF(COUNTA(P168:S168)=4,AVERAGE(P168:S168),"")</x:f>
        <x:v>94</x:v>
      </x:c>
      <x:c r="X168" s="74" t="n">
        <x:f>IF(V168&lt;&gt;"",V168,W168)</x:f>
        <x:v>94</x:v>
      </x:c>
      <x:c r="Y168" s="73" t="str">
        <x:v>파생 단순평균(참고)</x:v>
      </x:c>
      <x:c r="Z168" s="74" t="n">
        <x:v>80</x:v>
      </x:c>
      <x:c r="AA168" s="74" t="n">
        <x:f>IF(X168&lt;&gt;"",Z168-X168,"")</x:f>
        <x:v>-14</x:v>
      </x:c>
      <x:c r="AB168" s="73" t="str">
        <x:f>IF(AA168="","",IF(AA168&gt;=5,"안정",IF(AA168&gt;=1,"적정",IF(AA168&gt;=-2,"소신","상향"))))</x:f>
        <x:v>상향</x:v>
      </x:c>
      <x:c r="AC168" s="75" t="n">
        <x:v>0</x:v>
      </x:c>
      <x:c r="AD168" s="75" t="n">
        <x:v>100</x:v>
      </x:c>
      <x:c r="AE168" s="75" t="n">
        <x:v>0</x:v>
      </x:c>
      <x:c r="AF168" s="73" t="str">
        <x:v>B: 공식 과목별 70% 백분위 → 단순평균 파생</x:v>
      </x:c>
      <x:c r="AG168" s="73" t="str">
        <x:v>https://www.adiga.kr/ucp/uvt/uni/univDetailSelection.do?menuId=PCUVTINF2000&amp;searchSyr=2026&amp;unvCd=0000133</x:v>
      </x:c>
    </x:row>
    <x:row r="169" ht="18" customHeight="1">
      <x:c r="A169" s="73" t="n">
        <x:v>2025</x:v>
      </x:c>
      <x:c r="B169" s="73" t="str">
        <x:v>서울특별시</x:v>
      </x:c>
      <x:c r="C169" s="73" t="str">
        <x:v>사립</x:v>
      </x:c>
      <x:c r="D169" s="73" t="str">
        <x:v>성균관대학교</x:v>
      </x:c>
      <x:c r="E169" s="73" t="str">
        <x:v>나</x:v>
      </x:c>
      <x:c r="F169" s="73" t="str">
        <x:v>일반전형</x:v>
      </x:c>
      <x:c r="G169" s="73" t="str">
        <x:v>건설환경공학부</x:v>
      </x:c>
      <x:c r="H169" s="73" t="n">
        <x:v>10</x:v>
      </x:c>
      <x:c r="I169" s="73" t="n">
        <x:v>0</x:v>
      </x:c>
      <x:c r="J169" s="73" t="n">
        <x:v>10</x:v>
      </x:c>
      <x:c r="K169" s="74" t="n">
        <x:v>7</x:v>
      </x:c>
      <x:c r="L169" s="73" t="n">
        <x:v>15</x:v>
      </x:c>
      <x:c r="M169" s="74" t="n">
        <x:v>656.92</x:v>
      </x:c>
      <x:c r="N169" s="74" t="n">
        <x:v>656.65</x:v>
      </x:c>
      <x:c r="O169" s="74" t="n">
        <x:v>1000</x:v>
      </x:c>
      <x:c r="P169" s="74" t="n">
        <x:v>89</x:v>
      </x:c>
      <x:c r="Q169" s="74" t="n">
        <x:v>93</x:v>
      </x:c>
      <x:c r="R169" s="74" t="n">
        <x:v>99</x:v>
      </x:c>
      <x:c r="S169" s="74" t="n">
        <x:v>99</x:v>
      </x:c>
      <x:c r="T169" s="74" t="n">
        <x:v>2</x:v>
      </x:c>
      <x:c r="U169" s="74" t="n">
        <x:v>3</x:v>
      </x:c>
      <x:c r="V169" s="74"/>
      <x:c r="W169" s="74" t="n">
        <x:f>IF(COUNTA(P169:S169)=4,AVERAGE(P169:S169),"")</x:f>
        <x:v>95</x:v>
      </x:c>
      <x:c r="X169" s="74" t="n">
        <x:f>IF(V169&lt;&gt;"",V169,W169)</x:f>
        <x:v>95</x:v>
      </x:c>
      <x:c r="Y169" s="73" t="str">
        <x:v>파생 단순평균(참고)</x:v>
      </x:c>
      <x:c r="Z169" s="74" t="n">
        <x:v>80</x:v>
      </x:c>
      <x:c r="AA169" s="74" t="n">
        <x:f>IF(X169&lt;&gt;"",Z169-X169,"")</x:f>
        <x:v>-15</x:v>
      </x:c>
      <x:c r="AB169" s="73" t="str">
        <x:f>IF(AA169="","",IF(AA169&gt;=5,"안정",IF(AA169&gt;=1,"적정",IF(AA169&gt;=-2,"소신","상향"))))</x:f>
        <x:v>상향</x:v>
      </x:c>
      <x:c r="AC169" s="75" t="n">
        <x:v>0</x:v>
      </x:c>
      <x:c r="AD169" s="75" t="n">
        <x:v>100</x:v>
      </x:c>
      <x:c r="AE169" s="75" t="n">
        <x:v>0</x:v>
      </x:c>
      <x:c r="AF169" s="73" t="str">
        <x:v>B: 공식 과목별 70% 백분위 → 단순평균 파생</x:v>
      </x:c>
      <x:c r="AG169" s="73" t="str">
        <x:v>https://www.adiga.kr/ucp/uvt/uni/univDetailSelection.do?menuId=PCUVTINF2000&amp;searchSyr=2026&amp;unvCd=0000133</x:v>
      </x:c>
    </x:row>
    <x:row r="170" ht="18" customHeight="1">
      <x:c r="A170" s="73" t="n">
        <x:v>2025</x:v>
      </x:c>
      <x:c r="B170" s="73" t="str">
        <x:v>서울특별시</x:v>
      </x:c>
      <x:c r="C170" s="73" t="str">
        <x:v>사립</x:v>
      </x:c>
      <x:c r="D170" s="73" t="str">
        <x:v>성균관대학교</x:v>
      </x:c>
      <x:c r="E170" s="73" t="str">
        <x:v>나</x:v>
      </x:c>
      <x:c r="F170" s="73" t="str">
        <x:v>일반전형</x:v>
      </x:c>
      <x:c r="G170" s="73" t="str">
        <x:v>경영학과</x:v>
      </x:c>
      <x:c r="H170" s="73" t="n">
        <x:v>91</x:v>
      </x:c>
      <x:c r="I170" s="73" t="n">
        <x:v>0</x:v>
      </x:c>
      <x:c r="J170" s="73" t="n">
        <x:v>91</x:v>
      </x:c>
      <x:c r="K170" s="74" t="n">
        <x:v>4.79</x:v>
      </x:c>
      <x:c r="L170" s="73" t="n">
        <x:v>204</x:v>
      </x:c>
      <x:c r="M170" s="74" t="n">
        <x:v>647.78</x:v>
      </x:c>
      <x:c r="N170" s="74" t="n">
        <x:v>646.77</x:v>
      </x:c>
      <x:c r="O170" s="74" t="n">
        <x:v>1000</x:v>
      </x:c>
      <x:c r="P170" s="74" t="n">
        <x:v>98</x:v>
      </x:c>
      <x:c r="Q170" s="74" t="n">
        <x:v>87</x:v>
      </x:c>
      <x:c r="R170" s="74" t="n">
        <x:v>94</x:v>
      </x:c>
      <x:c r="S170" s="74" t="n">
        <x:v>91</x:v>
      </x:c>
      <x:c r="T170" s="74" t="n">
        <x:v>3</x:v>
      </x:c>
      <x:c r="U170" s="74" t="n">
        <x:v>2</x:v>
      </x:c>
      <x:c r="V170" s="74"/>
      <x:c r="W170" s="74" t="n">
        <x:f>IF(COUNTA(P170:S170)=4,AVERAGE(P170:S170),"")</x:f>
        <x:v>92.5</x:v>
      </x:c>
      <x:c r="X170" s="74" t="n">
        <x:f>IF(V170&lt;&gt;"",V170,W170)</x:f>
        <x:v>92.5</x:v>
      </x:c>
      <x:c r="Y170" s="73" t="str">
        <x:v>파생 단순평균(참고)</x:v>
      </x:c>
      <x:c r="Z170" s="74" t="n">
        <x:v>80</x:v>
      </x:c>
      <x:c r="AA170" s="74" t="n">
        <x:f>IF(X170&lt;&gt;"",Z170-X170,"")</x:f>
        <x:v>-12.5</x:v>
      </x:c>
      <x:c r="AB170" s="73" t="str">
        <x:f>IF(AA170="","",IF(AA170&gt;=5,"안정",IF(AA170&gt;=1,"적정",IF(AA170&gt;=-2,"소신","상향"))))</x:f>
        <x:v>상향</x:v>
      </x:c>
      <x:c r="AC170" s="75" t="n">
        <x:v>39.6</x:v>
      </x:c>
      <x:c r="AD170" s="75" t="n">
        <x:v>58.2</x:v>
      </x:c>
      <x:c r="AE170" s="75" t="n">
        <x:v>2.2</x:v>
      </x:c>
      <x:c r="AF170" s="73" t="str">
        <x:v>B: 공식 과목별 70% 백분위 → 단순평균 파생</x:v>
      </x:c>
      <x:c r="AG170" s="73" t="str">
        <x:v>https://www.adiga.kr/ucp/uvt/uni/univDetailSelection.do?menuId=PCUVTINF2000&amp;searchSyr=2026&amp;unvCd=0000133</x:v>
      </x:c>
    </x:row>
    <x:row r="171" ht="18" customHeight="1">
      <x:c r="A171" s="73" t="n">
        <x:v>2025</x:v>
      </x:c>
      <x:c r="B171" s="73" t="str">
        <x:v>서울특별시</x:v>
      </x:c>
      <x:c r="C171" s="73" t="str">
        <x:v>사립</x:v>
      </x:c>
      <x:c r="D171" s="73" t="str">
        <x:v>한양대학교</x:v>
      </x:c>
      <x:c r="E171" s="73" t="str">
        <x:v>가</x:v>
      </x:c>
      <x:c r="F171" s="73" t="str">
        <x:v>일반전형</x:v>
      </x:c>
      <x:c r="G171" s="73" t="str">
        <x:v>건축학부</x:v>
      </x:c>
      <x:c r="H171" s="73" t="n">
        <x:v>18</x:v>
      </x:c>
      <x:c r="I171" s="73" t="n">
        <x:v>0</x:v>
      </x:c>
      <x:c r="J171" s="73" t="n">
        <x:v>18</x:v>
      </x:c>
      <x:c r="K171" s="74" t="n">
        <x:v>3.5</x:v>
      </x:c>
      <x:c r="L171" s="73" t="n">
        <x:v>11</x:v>
      </x:c>
      <x:c r="M171" s="74" t="n">
        <x:v>943.56</x:v>
      </x:c>
      <x:c r="N171" s="74" t="n">
        <x:v>941.99</x:v>
      </x:c>
      <x:c r="O171" s="74" t="n">
        <x:v>1000</x:v>
      </x:c>
      <x:c r="P171" s="74" t="n">
        <x:v>86</x:v>
      </x:c>
      <x:c r="Q171" s="74" t="n">
        <x:v>99</x:v>
      </x:c>
      <x:c r="R171" s="74" t="n">
        <x:v>69</x:v>
      </x:c>
      <x:c r="S171" s="74" t="n">
        <x:v>94</x:v>
      </x:c>
      <x:c r="T171" s="74" t="n">
        <x:v>3</x:v>
      </x:c>
      <x:c r="U171" s="74" t="n">
        <x:v>2</x:v>
      </x:c>
      <x:c r="V171" s="74"/>
      <x:c r="W171" s="74" t="n">
        <x:f>IF(COUNTA(P171:S171)=4,AVERAGE(P171:S171),"")</x:f>
        <x:v>87</x:v>
      </x:c>
      <x:c r="X171" s="74" t="n">
        <x:f>IF(V171&lt;&gt;"",V171,W171)</x:f>
        <x:v>87</x:v>
      </x:c>
      <x:c r="Y171" s="73" t="str">
        <x:v>파생 단순평균(참고)</x:v>
      </x:c>
      <x:c r="Z171" s="74" t="n">
        <x:v>80</x:v>
      </x:c>
      <x:c r="AA171" s="74" t="n">
        <x:f>IF(X171&lt;&gt;"",Z171-X171,"")</x:f>
        <x:v>-7</x:v>
      </x:c>
      <x:c r="AB171" s="73" t="str">
        <x:f>IF(AA171="","",IF(AA171&gt;=5,"안정",IF(AA171&gt;=1,"적정",IF(AA171&gt;=-2,"소신","상향"))))</x:f>
        <x:v>상향</x:v>
      </x:c>
      <x:c r="AC171" s="75"/>
      <x:c r="AD171" s="75" t="n">
        <x:v>83.3</x:v>
      </x:c>
      <x:c r="AE171" s="75" t="n">
        <x:v>16.7</x:v>
      </x:c>
      <x:c r="AF171" s="73" t="str">
        <x:v>B: 공식 과목별 70% 백분위 → 단순평균 파생</x:v>
      </x:c>
      <x:c r="AG171" s="73" t="str">
        <x:v>https://www.adiga.kr/ucp/uvt/uni/univDetailSelection.do?menuId=PCUVTINF2000&amp;searchSyr=2026&amp;unvCd=0000203</x:v>
      </x:c>
    </x:row>
    <x:row r="172" ht="18" customHeight="1">
      <x:c r="A172" s="73" t="n">
        <x:v>2025</x:v>
      </x:c>
      <x:c r="B172" s="73" t="str">
        <x:v>서울특별시</x:v>
      </x:c>
      <x:c r="C172" s="73" t="str">
        <x:v>사립</x:v>
      </x:c>
      <x:c r="D172" s="73" t="str">
        <x:v>한양대학교</x:v>
      </x:c>
      <x:c r="E172" s="73" t="str">
        <x:v>가</x:v>
      </x:c>
      <x:c r="F172" s="73" t="str">
        <x:v>일반전형</x:v>
      </x:c>
      <x:c r="G172" s="73" t="str">
        <x:v>건축공학부</x:v>
      </x:c>
      <x:c r="H172" s="73" t="n">
        <x:v>16</x:v>
      </x:c>
      <x:c r="I172" s="73" t="n">
        <x:v>1</x:v>
      </x:c>
      <x:c r="J172" s="73" t="n">
        <x:v>17</x:v>
      </x:c>
      <x:c r="K172" s="74" t="n">
        <x:v>4.2</x:v>
      </x:c>
      <x:c r="L172" s="73" t="n">
        <x:v>11</x:v>
      </x:c>
      <x:c r="M172" s="74" t="n">
        <x:v>943.53</x:v>
      </x:c>
      <x:c r="N172" s="74" t="n">
        <x:v>942.35</x:v>
      </x:c>
      <x:c r="O172" s="74" t="n">
        <x:v>1000</x:v>
      </x:c>
      <x:c r="P172" s="74" t="n">
        <x:v>96</x:v>
      </x:c>
      <x:c r="Q172" s="74" t="n">
        <x:v>97</x:v>
      </x:c>
      <x:c r="R172" s="74" t="n">
        <x:v>72</x:v>
      </x:c>
      <x:c r="S172" s="74" t="n">
        <x:v>90</x:v>
      </x:c>
      <x:c r="T172" s="74" t="n">
        <x:v>2</x:v>
      </x:c>
      <x:c r="U172" s="74" t="n">
        <x:v>2</x:v>
      </x:c>
      <x:c r="V172" s="74"/>
      <x:c r="W172" s="74" t="n">
        <x:f>IF(COUNTA(P172:S172)=4,AVERAGE(P172:S172),"")</x:f>
        <x:v>88.75</x:v>
      </x:c>
      <x:c r="X172" s="74" t="n">
        <x:f>IF(V172&lt;&gt;"",V172,W172)</x:f>
        <x:v>88.75</x:v>
      </x:c>
      <x:c r="Y172" s="73" t="str">
        <x:v>파생 단순평균(참고)</x:v>
      </x:c>
      <x:c r="Z172" s="74" t="n">
        <x:v>80</x:v>
      </x:c>
      <x:c r="AA172" s="74" t="n">
        <x:f>IF(X172&lt;&gt;"",Z172-X172,"")</x:f>
        <x:v>-8.75</x:v>
      </x:c>
      <x:c r="AB172" s="73" t="str">
        <x:f>IF(AA172="","",IF(AA172&gt;=5,"안정",IF(AA172&gt;=1,"적정",IF(AA172&gt;=-2,"소신","상향"))))</x:f>
        <x:v>상향</x:v>
      </x:c>
      <x:c r="AC172" s="75"/>
      <x:c r="AD172" s="75" t="n">
        <x:v>81.2</x:v>
      </x:c>
      <x:c r="AE172" s="75" t="n">
        <x:v>18.8</x:v>
      </x:c>
      <x:c r="AF172" s="73" t="str">
        <x:v>B: 공식 과목별 70% 백분위 → 단순평균 파생</x:v>
      </x:c>
      <x:c r="AG172" s="73" t="str">
        <x:v>https://www.adiga.kr/ucp/uvt/uni/univDetailSelection.do?menuId=PCUVTINF2000&amp;searchSyr=2026&amp;unvCd=0000203</x:v>
      </x:c>
    </x:row>
    <x:row r="173" ht="18" customHeight="1">
      <x:c r="A173" s="73" t="n">
        <x:v>2025</x:v>
      </x:c>
      <x:c r="B173" s="73" t="str">
        <x:v>서울특별시</x:v>
      </x:c>
      <x:c r="C173" s="73" t="str">
        <x:v>사립</x:v>
      </x:c>
      <x:c r="D173" s="73" t="str">
        <x:v>한양대학교</x:v>
      </x:c>
      <x:c r="E173" s="73" t="str">
        <x:v>가</x:v>
      </x:c>
      <x:c r="F173" s="73" t="str">
        <x:v>일반전형</x:v>
      </x:c>
      <x:c r="G173" s="73" t="str">
        <x:v>건설환경공학과</x:v>
      </x:c>
      <x:c r="H173" s="73" t="n">
        <x:v>22</x:v>
      </x:c>
      <x:c r="I173" s="73" t="n">
        <x:v>1</x:v>
      </x:c>
      <x:c r="J173" s="73" t="n">
        <x:v>23</x:v>
      </x:c>
      <x:c r="K173" s="74" t="n">
        <x:v>4.2</x:v>
      </x:c>
      <x:c r="L173" s="73" t="n">
        <x:v>26</x:v>
      </x:c>
      <x:c r="M173" s="74" t="n">
        <x:v>942.38</x:v>
      </x:c>
      <x:c r="N173" s="74" t="n">
        <x:v>941.45</x:v>
      </x:c>
      <x:c r="O173" s="74" t="n">
        <x:v>1000</x:v>
      </x:c>
      <x:c r="P173" s="74" t="n">
        <x:v>97</x:v>
      </x:c>
      <x:c r="Q173" s="74" t="n">
        <x:v>95</x:v>
      </x:c>
      <x:c r="R173" s="74" t="n">
        <x:v>99</x:v>
      </x:c>
      <x:c r="S173" s="74" t="n">
        <x:v>93</x:v>
      </x:c>
      <x:c r="T173" s="74" t="n">
        <x:v>4</x:v>
      </x:c>
      <x:c r="U173" s="74" t="n">
        <x:v>1</x:v>
      </x:c>
      <x:c r="V173" s="74"/>
      <x:c r="W173" s="74" t="n">
        <x:f>IF(COUNTA(P173:S173)=4,AVERAGE(P173:S173),"")</x:f>
        <x:v>96</x:v>
      </x:c>
      <x:c r="X173" s="74" t="n">
        <x:f>IF(V173&lt;&gt;"",V173,W173)</x:f>
        <x:v>96</x:v>
      </x:c>
      <x:c r="Y173" s="73" t="str">
        <x:v>파생 단순평균(참고)</x:v>
      </x:c>
      <x:c r="Z173" s="74" t="n">
        <x:v>80</x:v>
      </x:c>
      <x:c r="AA173" s="74" t="n">
        <x:f>IF(X173&lt;&gt;"",Z173-X173,"")</x:f>
        <x:v>-16</x:v>
      </x:c>
      <x:c r="AB173" s="73" t="str">
        <x:f>IF(AA173="","",IF(AA173&gt;=5,"안정",IF(AA173&gt;=1,"적정",IF(AA173&gt;=-2,"소신","상향"))))</x:f>
        <x:v>상향</x:v>
      </x:c>
      <x:c r="AC173" s="75"/>
      <x:c r="AD173" s="75" t="n">
        <x:v>100</x:v>
      </x:c>
      <x:c r="AE173" s="75"/>
      <x:c r="AF173" s="73" t="str">
        <x:v>B: 공식 과목별 70% 백분위 → 단순평균 파생</x:v>
      </x:c>
      <x:c r="AG173" s="73" t="str">
        <x:v>https://www.adiga.kr/ucp/uvt/uni/univDetailSelection.do?menuId=PCUVTINF2000&amp;searchSyr=2026&amp;unvCd=0000203</x:v>
      </x:c>
    </x:row>
    <x:row r="174" ht="18" customHeight="1">
      <x:c r="A174" s="73" t="n">
        <x:v>2025</x:v>
      </x:c>
      <x:c r="B174" s="73" t="str">
        <x:v>서울특별시</x:v>
      </x:c>
      <x:c r="C174" s="73" t="str">
        <x:v>사립</x:v>
      </x:c>
      <x:c r="D174" s="73" t="str">
        <x:v>한양대학교</x:v>
      </x:c>
      <x:c r="E174" s="73" t="str">
        <x:v>가</x:v>
      </x:c>
      <x:c r="F174" s="73" t="str">
        <x:v>일반전형</x:v>
      </x:c>
      <x:c r="G174" s="73" t="str">
        <x:v>도시공학과</x:v>
      </x:c>
      <x:c r="H174" s="73" t="n">
        <x:v>16</x:v>
      </x:c>
      <x:c r="I174" s="73" t="n">
        <x:v>0</x:v>
      </x:c>
      <x:c r="J174" s="73" t="n">
        <x:v>16</x:v>
      </x:c>
      <x:c r="K174" s="74" t="n">
        <x:v>4.9</x:v>
      </x:c>
      <x:c r="L174" s="73" t="n">
        <x:v>17</x:v>
      </x:c>
      <x:c r="M174" s="74" t="n">
        <x:v>941.35</x:v>
      </x:c>
      <x:c r="N174" s="74" t="n">
        <x:v>937.48</x:v>
      </x:c>
      <x:c r="O174" s="74" t="n">
        <x:v>1000</x:v>
      </x:c>
      <x:c r="P174" s="74" t="n">
        <x:v>88</x:v>
      </x:c>
      <x:c r="Q174" s="74" t="n">
        <x:v>97</x:v>
      </x:c>
      <x:c r="R174" s="74" t="n">
        <x:v>90</x:v>
      </x:c>
      <x:c r="S174" s="74" t="n">
        <x:v>85</x:v>
      </x:c>
      <x:c r="T174" s="74" t="n">
        <x:v>1</x:v>
      </x:c>
      <x:c r="U174" s="74" t="n">
        <x:v>2</x:v>
      </x:c>
      <x:c r="V174" s="74"/>
      <x:c r="W174" s="74" t="n">
        <x:f>IF(COUNTA(P174:S174)=4,AVERAGE(P174:S174),"")</x:f>
        <x:v>90</x:v>
      </x:c>
      <x:c r="X174" s="74" t="n">
        <x:f>IF(V174&lt;&gt;"",V174,W174)</x:f>
        <x:v>90</x:v>
      </x:c>
      <x:c r="Y174" s="73" t="str">
        <x:v>파생 단순평균(참고)</x:v>
      </x:c>
      <x:c r="Z174" s="74" t="n">
        <x:v>80</x:v>
      </x:c>
      <x:c r="AA174" s="74" t="n">
        <x:f>IF(X174&lt;&gt;"",Z174-X174,"")</x:f>
        <x:v>-10</x:v>
      </x:c>
      <x:c r="AB174" s="73" t="str">
        <x:f>IF(AA174="","",IF(AA174&gt;=5,"안정",IF(AA174&gt;=1,"적정",IF(AA174&gt;=-2,"소신","상향"))))</x:f>
        <x:v>상향</x:v>
      </x:c>
      <x:c r="AC174" s="75"/>
      <x:c r="AD174" s="75" t="n">
        <x:v>100</x:v>
      </x:c>
      <x:c r="AE174" s="75"/>
      <x:c r="AF174" s="73" t="str">
        <x:v>B: 공식 과목별 70% 백분위 → 단순평균 파생</x:v>
      </x:c>
      <x:c r="AG174" s="73" t="str">
        <x:v>https://www.adiga.kr/ucp/uvt/uni/univDetailSelection.do?menuId=PCUVTINF2000&amp;searchSyr=2026&amp;unvCd=0000203</x:v>
      </x:c>
    </x:row>
    <x:row r="175" ht="18" customHeight="1">
      <x:c r="A175" s="73" t="n">
        <x:v>2025</x:v>
      </x:c>
      <x:c r="B175" s="73" t="str">
        <x:v>서울특별시</x:v>
      </x:c>
      <x:c r="C175" s="73" t="str">
        <x:v>사립</x:v>
      </x:c>
      <x:c r="D175" s="73" t="str">
        <x:v>한양대학교</x:v>
      </x:c>
      <x:c r="E175" s="73" t="str">
        <x:v>가</x:v>
      </x:c>
      <x:c r="F175" s="73" t="str">
        <x:v>일반전형</x:v>
      </x:c>
      <x:c r="G175" s="73" t="str">
        <x:v>자원환경공학과</x:v>
      </x:c>
      <x:c r="H175" s="73" t="n">
        <x:v>13</x:v>
      </x:c>
      <x:c r="I175" s="73" t="n">
        <x:v>0</x:v>
      </x:c>
      <x:c r="J175" s="73" t="n">
        <x:v>13</x:v>
      </x:c>
      <x:c r="K175" s="74" t="n">
        <x:v>4.2</x:v>
      </x:c>
      <x:c r="L175" s="73" t="n">
        <x:v>12</x:v>
      </x:c>
      <x:c r="M175" s="74" t="n">
        <x:v>940.79</x:v>
      </x:c>
      <x:c r="N175" s="74" t="n">
        <x:v>940.35</x:v>
      </x:c>
      <x:c r="O175" s="74" t="n">
        <x:v>1000</x:v>
      </x:c>
      <x:c r="P175" s="74" t="n">
        <x:v>95</x:v>
      </x:c>
      <x:c r="Q175" s="74" t="n">
        <x:v>95</x:v>
      </x:c>
      <x:c r="R175" s="74" t="n">
        <x:v>83</x:v>
      </x:c>
      <x:c r="S175" s="74" t="n">
        <x:v>96</x:v>
      </x:c>
      <x:c r="T175" s="74" t="n">
        <x:v>2</x:v>
      </x:c>
      <x:c r="U175" s="74" t="n">
        <x:v>2</x:v>
      </x:c>
      <x:c r="V175" s="74"/>
      <x:c r="W175" s="74" t="n">
        <x:f>IF(COUNTA(P175:S175)=4,AVERAGE(P175:S175),"")</x:f>
        <x:v>92.25</x:v>
      </x:c>
      <x:c r="X175" s="74" t="n">
        <x:f>IF(V175&lt;&gt;"",V175,W175)</x:f>
        <x:v>92.25</x:v>
      </x:c>
      <x:c r="Y175" s="73" t="str">
        <x:v>파생 단순평균(참고)</x:v>
      </x:c>
      <x:c r="Z175" s="74" t="n">
        <x:v>80</x:v>
      </x:c>
      <x:c r="AA175" s="74" t="n">
        <x:f>IF(X175&lt;&gt;"",Z175-X175,"")</x:f>
        <x:v>-12.25</x:v>
      </x:c>
      <x:c r="AB175" s="73" t="str">
        <x:f>IF(AA175="","",IF(AA175&gt;=5,"안정",IF(AA175&gt;=1,"적정",IF(AA175&gt;=-2,"소신","상향"))))</x:f>
        <x:v>상향</x:v>
      </x:c>
      <x:c r="AC175" s="75"/>
      <x:c r="AD175" s="75" t="n">
        <x:v>100</x:v>
      </x:c>
      <x:c r="AE175" s="75"/>
      <x:c r="AF175" s="73" t="str">
        <x:v>B: 공식 과목별 70% 백분위 → 단순평균 파생</x:v>
      </x:c>
      <x:c r="AG175" s="73" t="str">
        <x:v>https://www.adiga.kr/ucp/uvt/uni/univDetailSelection.do?menuId=PCUVTINF2000&amp;searchSyr=2026&amp;unvCd=0000203</x:v>
      </x:c>
    </x:row>
    <x:row r="176" ht="18" customHeight="1">
      <x:c r="A176" s="73" t="n">
        <x:v>2025</x:v>
      </x:c>
      <x:c r="B176" s="73" t="str">
        <x:v>서울특별시</x:v>
      </x:c>
      <x:c r="C176" s="73" t="str">
        <x:v>사립</x:v>
      </x:c>
      <x:c r="D176" s="73" t="str">
        <x:v>한양대학교</x:v>
      </x:c>
      <x:c r="E176" s="73" t="str">
        <x:v>가</x:v>
      </x:c>
      <x:c r="F176" s="73" t="str">
        <x:v>일반전형</x:v>
      </x:c>
      <x:c r="G176" s="73" t="str">
        <x:v>융합전자공학부</x:v>
      </x:c>
      <x:c r="H176" s="73" t="n">
        <x:v>63</x:v>
      </x:c>
      <x:c r="I176" s="73" t="n">
        <x:v>0</x:v>
      </x:c>
      <x:c r="J176" s="73" t="n">
        <x:v>63</x:v>
      </x:c>
      <x:c r="K176" s="74" t="n">
        <x:v>3.3</x:v>
      </x:c>
      <x:c r="L176" s="73" t="n">
        <x:v>24</x:v>
      </x:c>
      <x:c r="M176" s="74" t="n">
        <x:v>955.78</x:v>
      </x:c>
      <x:c r="N176" s="74" t="n">
        <x:v>954.22</x:v>
      </x:c>
      <x:c r="O176" s="74" t="n">
        <x:v>1000</x:v>
      </x:c>
      <x:c r="P176" s="74" t="n">
        <x:v>94</x:v>
      </x:c>
      <x:c r="Q176" s="74" t="n">
        <x:v>99</x:v>
      </x:c>
      <x:c r="R176" s="74" t="n">
        <x:v>83</x:v>
      </x:c>
      <x:c r="S176" s="74" t="n">
        <x:v>75</x:v>
      </x:c>
      <x:c r="T176" s="74" t="n">
        <x:v>2</x:v>
      </x:c>
      <x:c r="U176" s="74" t="n">
        <x:v>1</x:v>
      </x:c>
      <x:c r="V176" s="74"/>
      <x:c r="W176" s="74" t="n">
        <x:f>IF(COUNTA(P176:S176)=4,AVERAGE(P176:S176),"")</x:f>
        <x:v>87.75</x:v>
      </x:c>
      <x:c r="X176" s="74" t="n">
        <x:f>IF(V176&lt;&gt;"",V176,W176)</x:f>
        <x:v>87.75</x:v>
      </x:c>
      <x:c r="Y176" s="73" t="str">
        <x:v>파생 단순평균(참고)</x:v>
      </x:c>
      <x:c r="Z176" s="74" t="n">
        <x:v>80</x:v>
      </x:c>
      <x:c r="AA176" s="74" t="n">
        <x:f>IF(X176&lt;&gt;"",Z176-X176,"")</x:f>
        <x:v>-7.75</x:v>
      </x:c>
      <x:c r="AB176" s="73" t="str">
        <x:f>IF(AA176="","",IF(AA176&gt;=5,"안정",IF(AA176&gt;=1,"적정",IF(AA176&gt;=-2,"소신","상향"))))</x:f>
        <x:v>상향</x:v>
      </x:c>
      <x:c r="AC176" s="75"/>
      <x:c r="AD176" s="75" t="n">
        <x:v>96.8</x:v>
      </x:c>
      <x:c r="AE176" s="75" t="n">
        <x:v>3.2</x:v>
      </x:c>
      <x:c r="AF176" s="73" t="str">
        <x:v>B: 공식 과목별 70% 백분위 → 단순평균 파생</x:v>
      </x:c>
      <x:c r="AG176" s="73" t="str">
        <x:v>https://www.adiga.kr/ucp/uvt/uni/univDetailSelection.do?menuId=PCUVTINF2000&amp;searchSyr=2026&amp;unvCd=0000203</x:v>
      </x:c>
    </x:row>
    <x:row r="177" ht="18" customHeight="1">
      <x:c r="A177" s="73" t="n">
        <x:v>2025</x:v>
      </x:c>
      <x:c r="B177" s="73" t="str">
        <x:v>서울특별시</x:v>
      </x:c>
      <x:c r="C177" s="73" t="str">
        <x:v>사립</x:v>
      </x:c>
      <x:c r="D177" s="73" t="str">
        <x:v>한양대학교</x:v>
      </x:c>
      <x:c r="E177" s="73" t="str">
        <x:v>가</x:v>
      </x:c>
      <x:c r="F177" s="73" t="str">
        <x:v>일반전형</x:v>
      </x:c>
      <x:c r="G177" s="73" t="str">
        <x:v>컴퓨터소프트웨어학부</x:v>
      </x:c>
      <x:c r="H177" s="73" t="n">
        <x:v>65</x:v>
      </x:c>
      <x:c r="I177" s="73" t="n">
        <x:v>0</x:v>
      </x:c>
      <x:c r="J177" s="73" t="n">
        <x:v>65</x:v>
      </x:c>
      <x:c r="K177" s="74" t="n">
        <x:v>3.1</x:v>
      </x:c>
      <x:c r="L177" s="73" t="n">
        <x:v>22</x:v>
      </x:c>
      <x:c r="M177" s="74" t="n">
        <x:v>951.16</x:v>
      </x:c>
      <x:c r="N177" s="74" t="n">
        <x:v>946.18</x:v>
      </x:c>
      <x:c r="O177" s="74" t="n">
        <x:v>1000</x:v>
      </x:c>
      <x:c r="P177" s="74" t="n">
        <x:v>91</x:v>
      </x:c>
      <x:c r="Q177" s="74" t="n">
        <x:v>98</x:v>
      </x:c>
      <x:c r="R177" s="74" t="n">
        <x:v>94</x:v>
      </x:c>
      <x:c r="S177" s="74" t="n">
        <x:v>90</x:v>
      </x:c>
      <x:c r="T177" s="74" t="n">
        <x:v>2</x:v>
      </x:c>
      <x:c r="U177" s="74" t="n">
        <x:v>1</x:v>
      </x:c>
      <x:c r="V177" s="74"/>
      <x:c r="W177" s="74" t="n">
        <x:f>IF(COUNTA(P177:S177)=4,AVERAGE(P177:S177),"")</x:f>
        <x:v>93.25</x:v>
      </x:c>
      <x:c r="X177" s="74" t="n">
        <x:f>IF(V177&lt;&gt;"",V177,W177)</x:f>
        <x:v>93.25</x:v>
      </x:c>
      <x:c r="Y177" s="73" t="str">
        <x:v>파생 단순평균(참고)</x:v>
      </x:c>
      <x:c r="Z177" s="74" t="n">
        <x:v>80</x:v>
      </x:c>
      <x:c r="AA177" s="74" t="n">
        <x:f>IF(X177&lt;&gt;"",Z177-X177,"")</x:f>
        <x:v>-13.25</x:v>
      </x:c>
      <x:c r="AB177" s="73" t="str">
        <x:f>IF(AA177="","",IF(AA177&gt;=5,"안정",IF(AA177&gt;=1,"적정",IF(AA177&gt;=-2,"소신","상향"))))</x:f>
        <x:v>상향</x:v>
      </x:c>
      <x:c r="AC177" s="75"/>
      <x:c r="AD177" s="75" t="n">
        <x:v>98.5</x:v>
      </x:c>
      <x:c r="AE177" s="75" t="n">
        <x:v>1.5</x:v>
      </x:c>
      <x:c r="AF177" s="73" t="str">
        <x:v>B: 공식 과목별 70% 백분위 → 단순평균 파생</x:v>
      </x:c>
      <x:c r="AG177" s="73" t="str">
        <x:v>https://www.adiga.kr/ucp/uvt/uni/univDetailSelection.do?menuId=PCUVTINF2000&amp;searchSyr=2026&amp;unvCd=0000203</x:v>
      </x:c>
    </x:row>
    <x:row r="178" ht="18" customHeight="1">
      <x:c r="A178" s="73" t="n">
        <x:v>2025</x:v>
      </x:c>
      <x:c r="B178" s="73" t="str">
        <x:v>서울특별시</x:v>
      </x:c>
      <x:c r="C178" s="73" t="str">
        <x:v>사립</x:v>
      </x:c>
      <x:c r="D178" s="73" t="str">
        <x:v>한양대학교</x:v>
      </x:c>
      <x:c r="E178" s="73" t="str">
        <x:v>가</x:v>
      </x:c>
      <x:c r="F178" s="73" t="str">
        <x:v>일반전형</x:v>
      </x:c>
      <x:c r="G178" s="73" t="str">
        <x:v>전기공학전공</x:v>
      </x:c>
      <x:c r="H178" s="73" t="n">
        <x:v>26</x:v>
      </x:c>
      <x:c r="I178" s="73" t="n">
        <x:v>1</x:v>
      </x:c>
      <x:c r="J178" s="73" t="n">
        <x:v>27</x:v>
      </x:c>
      <x:c r="K178" s="74" t="n">
        <x:v>5.8</x:v>
      </x:c>
      <x:c r="L178" s="73" t="n">
        <x:v>12</x:v>
      </x:c>
      <x:c r="M178" s="74" t="n">
        <x:v>946.58</x:v>
      </x:c>
      <x:c r="N178" s="74" t="n">
        <x:v>941.63</x:v>
      </x:c>
      <x:c r="O178" s="74" t="n">
        <x:v>1000</x:v>
      </x:c>
      <x:c r="P178" s="74" t="n">
        <x:v>94</x:v>
      </x:c>
      <x:c r="Q178" s="74" t="n">
        <x:v>98</x:v>
      </x:c>
      <x:c r="R178" s="74" t="n">
        <x:v>81</x:v>
      </x:c>
      <x:c r="S178" s="74" t="n">
        <x:v>77</x:v>
      </x:c>
      <x:c r="T178" s="74" t="n">
        <x:v>3</x:v>
      </x:c>
      <x:c r="U178" s="74" t="n">
        <x:v>1</x:v>
      </x:c>
      <x:c r="V178" s="74"/>
      <x:c r="W178" s="74" t="n">
        <x:f>IF(COUNTA(P178:S178)=4,AVERAGE(P178:S178),"")</x:f>
        <x:v>87.5</x:v>
      </x:c>
      <x:c r="X178" s="74" t="n">
        <x:f>IF(V178&lt;&gt;"",V178,W178)</x:f>
        <x:v>87.5</x:v>
      </x:c>
      <x:c r="Y178" s="73" t="str">
        <x:v>파생 단순평균(참고)</x:v>
      </x:c>
      <x:c r="Z178" s="74" t="n">
        <x:v>80</x:v>
      </x:c>
      <x:c r="AA178" s="74" t="n">
        <x:f>IF(X178&lt;&gt;"",Z178-X178,"")</x:f>
        <x:v>-7.5</x:v>
      </x:c>
      <x:c r="AB178" s="73" t="str">
        <x:f>IF(AA178="","",IF(AA178&gt;=5,"안정",IF(AA178&gt;=1,"적정",IF(AA178&gt;=-2,"소신","상향"))))</x:f>
        <x:v>상향</x:v>
      </x:c>
      <x:c r="AC178" s="75"/>
      <x:c r="AD178" s="75" t="n">
        <x:v>96.2</x:v>
      </x:c>
      <x:c r="AE178" s="75" t="n">
        <x:v>3.8</x:v>
      </x:c>
      <x:c r="AF178" s="73" t="str">
        <x:v>B: 공식 과목별 70% 백분위 → 단순평균 파생</x:v>
      </x:c>
      <x:c r="AG178" s="73" t="str">
        <x:v>https://www.adiga.kr/ucp/uvt/uni/univDetailSelection.do?menuId=PCUVTINF2000&amp;searchSyr=2026&amp;unvCd=0000203</x:v>
      </x:c>
    </x:row>
    <x:row r="179" ht="18" customHeight="1">
      <x:c r="A179" s="73" t="n">
        <x:v>2025</x:v>
      </x:c>
      <x:c r="B179" s="73" t="str">
        <x:v>서울특별시</x:v>
      </x:c>
      <x:c r="C179" s="73" t="str">
        <x:v>사립</x:v>
      </x:c>
      <x:c r="D179" s="73" t="str">
        <x:v>한양대학교</x:v>
      </x:c>
      <x:c r="E179" s="73" t="str">
        <x:v>가</x:v>
      </x:c>
      <x:c r="F179" s="73" t="str">
        <x:v>일반전형</x:v>
      </x:c>
      <x:c r="G179" s="73" t="str">
        <x:v>바이오메디컬공학전공</x:v>
      </x:c>
      <x:c r="H179" s="73" t="n">
        <x:v>12</x:v>
      </x:c>
      <x:c r="I179" s="73" t="n">
        <x:v>0</x:v>
      </x:c>
      <x:c r="J179" s="73" t="n">
        <x:v>12</x:v>
      </x:c>
      <x:c r="K179" s="74" t="n">
        <x:v>4.7</x:v>
      </x:c>
      <x:c r="L179" s="73" t="n">
        <x:v>11</x:v>
      </x:c>
      <x:c r="M179" s="74" t="n">
        <x:v>947.54</x:v>
      </x:c>
      <x:c r="N179" s="74" t="n">
        <x:v>945.11</x:v>
      </x:c>
      <x:c r="O179" s="74" t="n">
        <x:v>1000</x:v>
      </x:c>
      <x:c r="P179" s="74" t="n">
        <x:v>97</x:v>
      </x:c>
      <x:c r="Q179" s="74" t="n">
        <x:v>97</x:v>
      </x:c>
      <x:c r="R179" s="74" t="n">
        <x:v>81</x:v>
      </x:c>
      <x:c r="S179" s="74" t="n">
        <x:v>83</x:v>
      </x:c>
      <x:c r="T179" s="74" t="n">
        <x:v>2</x:v>
      </x:c>
      <x:c r="U179" s="74" t="n">
        <x:v>4</x:v>
      </x:c>
      <x:c r="V179" s="74"/>
      <x:c r="W179" s="74" t="n">
        <x:f>IF(COUNTA(P179:S179)=4,AVERAGE(P179:S179),"")</x:f>
        <x:v>89.5</x:v>
      </x:c>
      <x:c r="X179" s="74" t="n">
        <x:f>IF(V179&lt;&gt;"",V179,W179)</x:f>
        <x:v>89.5</x:v>
      </x:c>
      <x:c r="Y179" s="73" t="str">
        <x:v>파생 단순평균(참고)</x:v>
      </x:c>
      <x:c r="Z179" s="74" t="n">
        <x:v>80</x:v>
      </x:c>
      <x:c r="AA179" s="74" t="n">
        <x:f>IF(X179&lt;&gt;"",Z179-X179,"")</x:f>
        <x:v>-9.5</x:v>
      </x:c>
      <x:c r="AB179" s="73" t="str">
        <x:f>IF(AA179="","",IF(AA179&gt;=5,"안정",IF(AA179&gt;=1,"적정",IF(AA179&gt;=-2,"소신","상향"))))</x:f>
        <x:v>상향</x:v>
      </x:c>
      <x:c r="AC179" s="75"/>
      <x:c r="AD179" s="75" t="n">
        <x:v>84.6</x:v>
      </x:c>
      <x:c r="AE179" s="75" t="n">
        <x:v>15.4</x:v>
      </x:c>
      <x:c r="AF179" s="73" t="str">
        <x:v>B: 공식 과목별 70% 백분위 → 단순평균 파생</x:v>
      </x:c>
      <x:c r="AG179" s="73" t="str">
        <x:v>https://www.adiga.kr/ucp/uvt/uni/univDetailSelection.do?menuId=PCUVTINF2000&amp;searchSyr=2026&amp;unvCd=0000203</x:v>
      </x:c>
    </x:row>
    <x:row r="180" ht="18" customHeight="1">
      <x:c r="A180" s="73" t="n">
        <x:v>2025</x:v>
      </x:c>
      <x:c r="B180" s="73" t="str">
        <x:v>서울특별시</x:v>
      </x:c>
      <x:c r="C180" s="73" t="str">
        <x:v>사립</x:v>
      </x:c>
      <x:c r="D180" s="73" t="str">
        <x:v>한양대학교</x:v>
      </x:c>
      <x:c r="E180" s="73" t="str">
        <x:v>가</x:v>
      </x:c>
      <x:c r="F180" s="73" t="str">
        <x:v>일반전형</x:v>
      </x:c>
      <x:c r="G180" s="73" t="str">
        <x:v>유기나노공학과</x:v>
      </x:c>
      <x:c r="H180" s="73" t="n">
        <x:v>14</x:v>
      </x:c>
      <x:c r="I180" s="73" t="n">
        <x:v>0</x:v>
      </x:c>
      <x:c r="J180" s="73" t="n">
        <x:v>14</x:v>
      </x:c>
      <x:c r="K180" s="74" t="n">
        <x:v>4.4</x:v>
      </x:c>
      <x:c r="L180" s="73" t="n">
        <x:v>14</x:v>
      </x:c>
      <x:c r="M180" s="74" t="n">
        <x:v>946.46</x:v>
      </x:c>
      <x:c r="N180" s="74" t="n">
        <x:v>941.81</x:v>
      </x:c>
      <x:c r="O180" s="74" t="n">
        <x:v>1000</x:v>
      </x:c>
      <x:c r="P180" s="74" t="n">
        <x:v>77</x:v>
      </x:c>
      <x:c r="Q180" s="74" t="n">
        <x:v>99</x:v>
      </x:c>
      <x:c r="R180" s="74" t="n">
        <x:v>93</x:v>
      </x:c>
      <x:c r="S180" s="74" t="n">
        <x:v>94</x:v>
      </x:c>
      <x:c r="T180" s="74" t="n">
        <x:v>3</x:v>
      </x:c>
      <x:c r="U180" s="74" t="n">
        <x:v>3</x:v>
      </x:c>
      <x:c r="V180" s="74"/>
      <x:c r="W180" s="74" t="n">
        <x:f>IF(COUNTA(P180:S180)=4,AVERAGE(P180:S180),"")</x:f>
        <x:v>90.75</x:v>
      </x:c>
      <x:c r="X180" s="74" t="n">
        <x:f>IF(V180&lt;&gt;"",V180,W180)</x:f>
        <x:v>90.75</x:v>
      </x:c>
      <x:c r="Y180" s="73" t="str">
        <x:v>파생 단순평균(참고)</x:v>
      </x:c>
      <x:c r="Z180" s="74" t="n">
        <x:v>80</x:v>
      </x:c>
      <x:c r="AA180" s="74" t="n">
        <x:f>IF(X180&lt;&gt;"",Z180-X180,"")</x:f>
        <x:v>-10.75</x:v>
      </x:c>
      <x:c r="AB180" s="73" t="str">
        <x:f>IF(AA180="","",IF(AA180&gt;=5,"안정",IF(AA180&gt;=1,"적정",IF(AA180&gt;=-2,"소신","상향"))))</x:f>
        <x:v>상향</x:v>
      </x:c>
      <x:c r="AC180" s="75"/>
      <x:c r="AD180" s="75" t="n">
        <x:v>100</x:v>
      </x:c>
      <x:c r="AE180" s="75"/>
      <x:c r="AF180" s="73" t="str">
        <x:v>B: 공식 과목별 70% 백분위 → 단순평균 파생</x:v>
      </x:c>
      <x:c r="AG180" s="73" t="str">
        <x:v>https://www.adiga.kr/ucp/uvt/uni/univDetailSelection.do?menuId=PCUVTINF2000&amp;searchSyr=2026&amp;unvCd=0000203</x:v>
      </x:c>
    </x:row>
    <x:row r="181" ht="18" customHeight="1">
      <x:c r="A181" s="73" t="n">
        <x:v>2025</x:v>
      </x:c>
      <x:c r="B181" s="73" t="str">
        <x:v>서울특별시</x:v>
      </x:c>
      <x:c r="C181" s="73" t="str">
        <x:v>사립</x:v>
      </x:c>
      <x:c r="D181" s="73" t="str">
        <x:v>한양대학교</x:v>
      </x:c>
      <x:c r="E181" s="73" t="str">
        <x:v>가</x:v>
      </x:c>
      <x:c r="F181" s="73" t="str">
        <x:v>일반전형</x:v>
      </x:c>
      <x:c r="G181" s="73" t="str">
        <x:v>기계공학부</x:v>
      </x:c>
      <x:c r="H181" s="73" t="n">
        <x:v>65</x:v>
      </x:c>
      <x:c r="I181" s="73" t="n">
        <x:v>0</x:v>
      </x:c>
      <x:c r="J181" s="73" t="n">
        <x:v>65</x:v>
      </x:c>
      <x:c r="K181" s="74" t="n">
        <x:v>3.2</x:v>
      </x:c>
      <x:c r="L181" s="73" t="n">
        <x:v>57</x:v>
      </x:c>
      <x:c r="M181" s="74" t="n">
        <x:v>948.55</x:v>
      </x:c>
      <x:c r="N181" s="74" t="n">
        <x:v>947.41</x:v>
      </x:c>
      <x:c r="O181" s="74" t="n">
        <x:v>1000</x:v>
      </x:c>
      <x:c r="P181" s="74" t="n">
        <x:v>95</x:v>
      </x:c>
      <x:c r="Q181" s="74" t="n">
        <x:v>97</x:v>
      </x:c>
      <x:c r="R181" s="74" t="n">
        <x:v>90</x:v>
      </x:c>
      <x:c r="S181" s="74" t="n">
        <x:v>83</x:v>
      </x:c>
      <x:c r="T181" s="74" t="n">
        <x:v>1</x:v>
      </x:c>
      <x:c r="U181" s="74" t="n">
        <x:v>1</x:v>
      </x:c>
      <x:c r="V181" s="74"/>
      <x:c r="W181" s="74" t="n">
        <x:f>IF(COUNTA(P181:S181)=4,AVERAGE(P181:S181),"")</x:f>
        <x:v>91.25</x:v>
      </x:c>
      <x:c r="X181" s="74" t="n">
        <x:f>IF(V181&lt;&gt;"",V181,W181)</x:f>
        <x:v>91.25</x:v>
      </x:c>
      <x:c r="Y181" s="73" t="str">
        <x:v>파생 단순평균(참고)</x:v>
      </x:c>
      <x:c r="Z181" s="74" t="n">
        <x:v>80</x:v>
      </x:c>
      <x:c r="AA181" s="74" t="n">
        <x:f>IF(X181&lt;&gt;"",Z181-X181,"")</x:f>
        <x:v>-11.25</x:v>
      </x:c>
      <x:c r="AB181" s="73" t="str">
        <x:f>IF(AA181="","",IF(AA181&gt;=5,"안정",IF(AA181&gt;=1,"적정",IF(AA181&gt;=-2,"소신","상향"))))</x:f>
        <x:v>상향</x:v>
      </x:c>
      <x:c r="AC181" s="75"/>
      <x:c r="AD181" s="75" t="n">
        <x:v>100</x:v>
      </x:c>
      <x:c r="AE181" s="75"/>
      <x:c r="AF181" s="73" t="str">
        <x:v>B: 공식 과목별 70% 백분위 → 단순평균 파생</x:v>
      </x:c>
      <x:c r="AG181" s="73" t="str">
        <x:v>https://www.adiga.kr/ucp/uvt/uni/univDetailSelection.do?menuId=PCUVTINF2000&amp;searchSyr=2026&amp;unvCd=0000203</x:v>
      </x:c>
    </x:row>
    <x:row r="182" ht="18" customHeight="1">
      <x:c r="A182" s="73" t="n">
        <x:v>2025</x:v>
      </x:c>
      <x:c r="B182" s="73" t="str">
        <x:v>서울특별시</x:v>
      </x:c>
      <x:c r="C182" s="73" t="str">
        <x:v>사립</x:v>
      </x:c>
      <x:c r="D182" s="73" t="str">
        <x:v>한양대학교</x:v>
      </x:c>
      <x:c r="E182" s="73" t="str">
        <x:v>가</x:v>
      </x:c>
      <x:c r="F182" s="73" t="str">
        <x:v>일반전형</x:v>
      </x:c>
      <x:c r="G182" s="73" t="str">
        <x:v>원자력공학과</x:v>
      </x:c>
      <x:c r="H182" s="73" t="n">
        <x:v>17</x:v>
      </x:c>
      <x:c r="I182" s="73" t="n">
        <x:v>0</x:v>
      </x:c>
      <x:c r="J182" s="73" t="n">
        <x:v>17</x:v>
      </x:c>
      <x:c r="K182" s="74" t="n">
        <x:v>3.5</x:v>
      </x:c>
      <x:c r="L182" s="73" t="n">
        <x:v>15</x:v>
      </x:c>
      <x:c r="M182" s="74" t="n">
        <x:v>947.02</x:v>
      </x:c>
      <x:c r="N182" s="74" t="n">
        <x:v>946.04</x:v>
      </x:c>
      <x:c r="O182" s="74" t="n">
        <x:v>1000</x:v>
      </x:c>
      <x:c r="P182" s="74" t="n">
        <x:v>98</x:v>
      </x:c>
      <x:c r="Q182" s="74" t="n">
        <x:v>97</x:v>
      </x:c>
      <x:c r="R182" s="74" t="n">
        <x:v>81</x:v>
      </x:c>
      <x:c r="S182" s="74" t="n">
        <x:v>81</x:v>
      </x:c>
      <x:c r="T182" s="74" t="n">
        <x:v>2</x:v>
      </x:c>
      <x:c r="U182" s="74" t="n">
        <x:v>2</x:v>
      </x:c>
      <x:c r="V182" s="74"/>
      <x:c r="W182" s="74" t="n">
        <x:f>IF(COUNTA(P182:S182)=4,AVERAGE(P182:S182),"")</x:f>
        <x:v>89.25</x:v>
      </x:c>
      <x:c r="X182" s="74" t="n">
        <x:f>IF(V182&lt;&gt;"",V182,W182)</x:f>
        <x:v>89.25</x:v>
      </x:c>
      <x:c r="Y182" s="73" t="str">
        <x:v>파생 단순평균(참고)</x:v>
      </x:c>
      <x:c r="Z182" s="74" t="n">
        <x:v>80</x:v>
      </x:c>
      <x:c r="AA182" s="74" t="n">
        <x:f>IF(X182&lt;&gt;"",Z182-X182,"")</x:f>
        <x:v>-9.25</x:v>
      </x:c>
      <x:c r="AB182" s="73" t="str">
        <x:f>IF(AA182="","",IF(AA182&gt;=5,"안정",IF(AA182&gt;=1,"적정",IF(AA182&gt;=-2,"소신","상향"))))</x:f>
        <x:v>상향</x:v>
      </x:c>
      <x:c r="AC182" s="75"/>
      <x:c r="AD182" s="75" t="n">
        <x:v>94.1</x:v>
      </x:c>
      <x:c r="AE182" s="75" t="n">
        <x:v>5.9</x:v>
      </x:c>
      <x:c r="AF182" s="73" t="str">
        <x:v>B: 공식 과목별 70% 백분위 → 단순평균 파생</x:v>
      </x:c>
      <x:c r="AG182" s="73" t="str">
        <x:v>https://www.adiga.kr/ucp/uvt/uni/univDetailSelection.do?menuId=PCUVTINF2000&amp;searchSyr=2026&amp;unvCd=0000203</x:v>
      </x:c>
    </x:row>
    <x:row r="183" ht="18" customHeight="1">
      <x:c r="A183" s="73" t="n">
        <x:v>2025</x:v>
      </x:c>
      <x:c r="B183" s="73" t="str">
        <x:v>서울특별시</x:v>
      </x:c>
      <x:c r="C183" s="73" t="str">
        <x:v>사립</x:v>
      </x:c>
      <x:c r="D183" s="73" t="str">
        <x:v>한양대학교</x:v>
      </x:c>
      <x:c r="E183" s="73" t="str">
        <x:v>가</x:v>
      </x:c>
      <x:c r="F183" s="73" t="str">
        <x:v>일반전형</x:v>
      </x:c>
      <x:c r="G183" s="73" t="str">
        <x:v>산업공학과</x:v>
      </x:c>
      <x:c r="H183" s="73" t="n">
        <x:v>20</x:v>
      </x:c>
      <x:c r="I183" s="73" t="n">
        <x:v>1</x:v>
      </x:c>
      <x:c r="J183" s="73" t="n">
        <x:v>21</x:v>
      </x:c>
      <x:c r="K183" s="74" t="n">
        <x:v>5.3</x:v>
      </x:c>
      <x:c r="L183" s="73" t="n">
        <x:v>7</x:v>
      </x:c>
      <x:c r="M183" s="74" t="n">
        <x:v>948.26</x:v>
      </x:c>
      <x:c r="N183" s="74" t="n">
        <x:v>947.62</x:v>
      </x:c>
      <x:c r="O183" s="74" t="n">
        <x:v>1000</x:v>
      </x:c>
      <x:c r="P183" s="74" t="n">
        <x:v>83</x:v>
      </x:c>
      <x:c r="Q183" s="74" t="n">
        <x:v>98</x:v>
      </x:c>
      <x:c r="R183" s="74" t="n">
        <x:v>99</x:v>
      </x:c>
      <x:c r="S183" s="74" t="n">
        <x:v>97</x:v>
      </x:c>
      <x:c r="T183" s="74" t="n">
        <x:v>3</x:v>
      </x:c>
      <x:c r="U183" s="74" t="n">
        <x:v>4</x:v>
      </x:c>
      <x:c r="V183" s="74"/>
      <x:c r="W183" s="74" t="n">
        <x:f>IF(COUNTA(P183:S183)=4,AVERAGE(P183:S183),"")</x:f>
        <x:v>94.25</x:v>
      </x:c>
      <x:c r="X183" s="74" t="n">
        <x:f>IF(V183&lt;&gt;"",V183,W183)</x:f>
        <x:v>94.25</x:v>
      </x:c>
      <x:c r="Y183" s="73" t="str">
        <x:v>파생 단순평균(참고)</x:v>
      </x:c>
      <x:c r="Z183" s="74" t="n">
        <x:v>80</x:v>
      </x:c>
      <x:c r="AA183" s="74" t="n">
        <x:f>IF(X183&lt;&gt;"",Z183-X183,"")</x:f>
        <x:v>-14.25</x:v>
      </x:c>
      <x:c r="AB183" s="73" t="str">
        <x:f>IF(AA183="","",IF(AA183&gt;=5,"안정",IF(AA183&gt;=1,"적정",IF(AA183&gt;=-2,"소신","상향"))))</x:f>
        <x:v>상향</x:v>
      </x:c>
      <x:c r="AC183" s="75"/>
      <x:c r="AD183" s="75" t="n">
        <x:v>95.2</x:v>
      </x:c>
      <x:c r="AE183" s="75" t="n">
        <x:v>4.8</x:v>
      </x:c>
      <x:c r="AF183" s="73" t="str">
        <x:v>B: 공식 과목별 70% 백분위 → 단순평균 파생</x:v>
      </x:c>
      <x:c r="AG183" s="73" t="str">
        <x:v>https://www.adiga.kr/ucp/uvt/uni/univDetailSelection.do?menuId=PCUVTINF2000&amp;searchSyr=2026&amp;unvCd=0000203</x:v>
      </x:c>
    </x:row>
    <x:row r="184" ht="18" customHeight="1">
      <x:c r="A184" s="73" t="n">
        <x:v>2025</x:v>
      </x:c>
      <x:c r="B184" s="73" t="str">
        <x:v>서울특별시</x:v>
      </x:c>
      <x:c r="C184" s="73" t="str">
        <x:v>사립</x:v>
      </x:c>
      <x:c r="D184" s="73" t="str">
        <x:v>한양대학교</x:v>
      </x:c>
      <x:c r="E184" s="73" t="str">
        <x:v>가</x:v>
      </x:c>
      <x:c r="F184" s="73" t="str">
        <x:v>일반전형</x:v>
      </x:c>
      <x:c r="G184" s="73" t="str">
        <x:v>의예과</x:v>
      </x:c>
      <x:c r="H184" s="73" t="n">
        <x:v>52</x:v>
      </x:c>
      <x:c r="I184" s="73" t="n">
        <x:v>0</x:v>
      </x:c>
      <x:c r="J184" s="73" t="n">
        <x:v>52</x:v>
      </x:c>
      <x:c r="K184" s="74" t="n">
        <x:v>4.1</x:v>
      </x:c>
      <x:c r="L184" s="73" t="n">
        <x:v>16</x:v>
      </x:c>
      <x:c r="M184" s="74" t="n">
        <x:v>993.77</x:v>
      </x:c>
      <x:c r="N184" s="74" t="n">
        <x:v>993.26</x:v>
      </x:c>
      <x:c r="O184" s="74" t="n">
        <x:v>1000</x:v>
      </x:c>
      <x:c r="P184" s="74" t="n">
        <x:v>100</x:v>
      </x:c>
      <x:c r="Q184" s="74" t="n">
        <x:v>100</x:v>
      </x:c>
      <x:c r="R184" s="74" t="n">
        <x:v>84</x:v>
      </x:c>
      <x:c r="S184" s="74" t="n">
        <x:v>96</x:v>
      </x:c>
      <x:c r="T184" s="74" t="n">
        <x:v>1</x:v>
      </x:c>
      <x:c r="U184" s="74" t="n">
        <x:v>2</x:v>
      </x:c>
      <x:c r="V184" s="74"/>
      <x:c r="W184" s="74" t="n">
        <x:f>IF(COUNTA(P184:S184)=4,AVERAGE(P184:S184),"")</x:f>
        <x:v>95</x:v>
      </x:c>
      <x:c r="X184" s="74" t="n">
        <x:f>IF(V184&lt;&gt;"",V184,W184)</x:f>
        <x:v>95</x:v>
      </x:c>
      <x:c r="Y184" s="73" t="str">
        <x:v>파생 단순평균(참고)</x:v>
      </x:c>
      <x:c r="Z184" s="74" t="n">
        <x:v>80</x:v>
      </x:c>
      <x:c r="AA184" s="74" t="n">
        <x:f>IF(X184&lt;&gt;"",Z184-X184,"")</x:f>
        <x:v>-15</x:v>
      </x:c>
      <x:c r="AB184" s="73" t="str">
        <x:f>IF(AA184="","",IF(AA184&gt;=5,"안정",IF(AA184&gt;=1,"적정",IF(AA184&gt;=-2,"소신","상향"))))</x:f>
        <x:v>상향</x:v>
      </x:c>
      <x:c r="AC184" s="75"/>
      <x:c r="AD184" s="75" t="n">
        <x:v>100</x:v>
      </x:c>
      <x:c r="AE184" s="75"/>
      <x:c r="AF184" s="73" t="str">
        <x:v>B: 공식 과목별 70% 백분위 → 단순평균 파생</x:v>
      </x:c>
      <x:c r="AG184" s="73" t="str">
        <x:v>https://www.adiga.kr/ucp/uvt/uni/univDetailSelection.do?menuId=PCUVTINF2000&amp;searchSyr=2026&amp;unvCd=0000203</x:v>
      </x:c>
    </x:row>
    <x:row r="185" ht="18" customHeight="1">
      <x:c r="A185" s="73" t="n">
        <x:v>2025</x:v>
      </x:c>
      <x:c r="B185" s="73" t="str">
        <x:v>서울특별시</x:v>
      </x:c>
      <x:c r="C185" s="73" t="str">
        <x:v>사립</x:v>
      </x:c>
      <x:c r="D185" s="73" t="str">
        <x:v>한양대학교</x:v>
      </x:c>
      <x:c r="E185" s="73" t="str">
        <x:v>가</x:v>
      </x:c>
      <x:c r="F185" s="73" t="str">
        <x:v>일반전형</x:v>
      </x:c>
      <x:c r="G185" s="73" t="str">
        <x:v>간호학과</x:v>
      </x:c>
      <x:c r="H185" s="73" t="n">
        <x:v>13</x:v>
      </x:c>
      <x:c r="I185" s="73" t="n">
        <x:v>0</x:v>
      </x:c>
      <x:c r="J185" s="73" t="n">
        <x:v>13</x:v>
      </x:c>
      <x:c r="K185" s="74" t="n">
        <x:v>3.5</x:v>
      </x:c>
      <x:c r="L185" s="73" t="n">
        <x:v>7</x:v>
      </x:c>
      <x:c r="M185" s="74" t="n">
        <x:v>936.41</x:v>
      </x:c>
      <x:c r="N185" s="74" t="n">
        <x:v>933.63</x:v>
      </x:c>
      <x:c r="O185" s="74" t="n">
        <x:v>1000</x:v>
      </x:c>
      <x:c r="P185" s="74" t="n">
        <x:v>86</x:v>
      </x:c>
      <x:c r="Q185" s="74" t="n">
        <x:v>98</x:v>
      </x:c>
      <x:c r="R185" s="74" t="n">
        <x:v>69</x:v>
      </x:c>
      <x:c r="S185" s="74" t="n">
        <x:v>98</x:v>
      </x:c>
      <x:c r="T185" s="74" t="n">
        <x:v>2</x:v>
      </x:c>
      <x:c r="U185" s="74" t="n">
        <x:v>2</x:v>
      </x:c>
      <x:c r="V185" s="74"/>
      <x:c r="W185" s="74" t="n">
        <x:f>IF(COUNTA(P185:S185)=4,AVERAGE(P185:S185),"")</x:f>
        <x:v>87.75</x:v>
      </x:c>
      <x:c r="X185" s="74" t="n">
        <x:f>IF(V185&lt;&gt;"",V185,W185)</x:f>
        <x:v>87.75</x:v>
      </x:c>
      <x:c r="Y185" s="73" t="str">
        <x:v>파생 단순평균(참고)</x:v>
      </x:c>
      <x:c r="Z185" s="74" t="n">
        <x:v>80</x:v>
      </x:c>
      <x:c r="AA185" s="74" t="n">
        <x:f>IF(X185&lt;&gt;"",Z185-X185,"")</x:f>
        <x:v>-7.75</x:v>
      </x:c>
      <x:c r="AB185" s="73" t="str">
        <x:f>IF(AA185="","",IF(AA185&gt;=5,"안정",IF(AA185&gt;=1,"적정",IF(AA185&gt;=-2,"소신","상향"))))</x:f>
        <x:v>상향</x:v>
      </x:c>
      <x:c r="AC185" s="75"/>
      <x:c r="AD185" s="75" t="n">
        <x:v>92.3</x:v>
      </x:c>
      <x:c r="AE185" s="75" t="n">
        <x:v>7.7</x:v>
      </x:c>
      <x:c r="AF185" s="73" t="str">
        <x:v>B: 공식 과목별 70% 백분위 → 단순평균 파생</x:v>
      </x:c>
      <x:c r="AG185" s="73" t="str">
        <x:v>https://www.adiga.kr/ucp/uvt/uni/univDetailSelection.do?menuId=PCUVTINF2000&amp;searchSyr=2026&amp;unvCd=0000203</x:v>
      </x:c>
    </x:row>
    <x:row r="186" ht="18" customHeight="1">
      <x:c r="A186" s="73" t="n">
        <x:v>2025</x:v>
      </x:c>
      <x:c r="B186" s="73" t="str">
        <x:v>서울특별시</x:v>
      </x:c>
      <x:c r="C186" s="73" t="str">
        <x:v>사립</x:v>
      </x:c>
      <x:c r="D186" s="73" t="str">
        <x:v>한양대학교</x:v>
      </x:c>
      <x:c r="E186" s="73" t="str">
        <x:v>가</x:v>
      </x:c>
      <x:c r="F186" s="73" t="str">
        <x:v>일반전형</x:v>
      </x:c>
      <x:c r="G186" s="73" t="str">
        <x:v>국어국문학과</x:v>
      </x:c>
      <x:c r="H186" s="73" t="n">
        <x:v>12</x:v>
      </x:c>
      <x:c r="I186" s="73" t="n">
        <x:v>0</x:v>
      </x:c>
      <x:c r="J186" s="73" t="n">
        <x:v>12</x:v>
      </x:c>
      <x:c r="K186" s="74" t="n">
        <x:v>5.6</x:v>
      </x:c>
      <x:c r="L186" s="73" t="n">
        <x:v>8</x:v>
      </x:c>
      <x:c r="M186" s="74" t="n">
        <x:v>930.52</x:v>
      </x:c>
      <x:c r="N186" s="74" t="n">
        <x:v>929.64</x:v>
      </x:c>
      <x:c r="O186" s="74" t="n">
        <x:v>1000</x:v>
      </x:c>
      <x:c r="P186" s="74" t="n">
        <x:v>98</x:v>
      </x:c>
      <x:c r="Q186" s="74" t="n">
        <x:v>85</x:v>
      </x:c>
      <x:c r="R186" s="74" t="n">
        <x:v>79</x:v>
      </x:c>
      <x:c r="S186" s="74" t="n">
        <x:v>99</x:v>
      </x:c>
      <x:c r="T186" s="74" t="n">
        <x:v>2</x:v>
      </x:c>
      <x:c r="U186" s="74" t="n">
        <x:v>1</x:v>
      </x:c>
      <x:c r="V186" s="74"/>
      <x:c r="W186" s="74" t="n">
        <x:f>IF(COUNTA(P186:S186)=4,AVERAGE(P186:S186),"")</x:f>
        <x:v>90.25</x:v>
      </x:c>
      <x:c r="X186" s="74" t="n">
        <x:f>IF(V186&lt;&gt;"",V186,W186)</x:f>
        <x:v>90.25</x:v>
      </x:c>
      <x:c r="Y186" s="73" t="str">
        <x:v>파생 단순평균(참고)</x:v>
      </x:c>
      <x:c r="Z186" s="74" t="n">
        <x:v>80</x:v>
      </x:c>
      <x:c r="AA186" s="74" t="n">
        <x:f>IF(X186&lt;&gt;"",Z186-X186,"")</x:f>
        <x:v>-10.25</x:v>
      </x:c>
      <x:c r="AB186" s="73" t="str">
        <x:f>IF(AA186="","",IF(AA186&gt;=5,"안정",IF(AA186&gt;=1,"적정",IF(AA186&gt;=-2,"소신","상향"))))</x:f>
        <x:v>상향</x:v>
      </x:c>
      <x:c r="AC186" s="75" t="n">
        <x:v>18.2</x:v>
      </x:c>
      <x:c r="AD186" s="75" t="n">
        <x:v>63.6</x:v>
      </x:c>
      <x:c r="AE186" s="75" t="n">
        <x:v>18.2</x:v>
      </x:c>
      <x:c r="AF186" s="73" t="str">
        <x:v>B: 공식 과목별 70% 백분위 → 단순평균 파생</x:v>
      </x:c>
      <x:c r="AG186" s="73" t="str">
        <x:v>https://www.adiga.kr/ucp/uvt/uni/univDetailSelection.do?menuId=PCUVTINF2000&amp;searchSyr=2026&amp;unvCd=0000203</x:v>
      </x:c>
    </x:row>
    <x:row r="187" ht="18" customHeight="1">
      <x:c r="A187" s="73" t="n">
        <x:v>2025</x:v>
      </x:c>
      <x:c r="B187" s="73" t="str">
        <x:v>서울특별시</x:v>
      </x:c>
      <x:c r="C187" s="73" t="str">
        <x:v>사립</x:v>
      </x:c>
      <x:c r="D187" s="73" t="str">
        <x:v>한양대학교</x:v>
      </x:c>
      <x:c r="E187" s="73" t="str">
        <x:v>가</x:v>
      </x:c>
      <x:c r="F187" s="73" t="str">
        <x:v>일반전형</x:v>
      </x:c>
      <x:c r="G187" s="73" t="str">
        <x:v>중어중문학과</x:v>
      </x:c>
      <x:c r="H187" s="73" t="n">
        <x:v>19</x:v>
      </x:c>
      <x:c r="I187" s="73" t="n">
        <x:v>0</x:v>
      </x:c>
      <x:c r="J187" s="73" t="n">
        <x:v>19</x:v>
      </x:c>
      <x:c r="K187" s="74" t="n">
        <x:v>3.6</x:v>
      </x:c>
      <x:c r="L187" s="73" t="n">
        <x:v>6</x:v>
      </x:c>
      <x:c r="M187" s="74" t="n">
        <x:v>929.91</x:v>
      </x:c>
      <x:c r="N187" s="74" t="n">
        <x:v>929.57</x:v>
      </x:c>
      <x:c r="O187" s="74" t="n">
        <x:v>1000</x:v>
      </x:c>
      <x:c r="P187" s="74" t="n">
        <x:v>94</x:v>
      </x:c>
      <x:c r="Q187" s="74" t="n">
        <x:v>90</x:v>
      </x:c>
      <x:c r="R187" s="74" t="n">
        <x:v>97</x:v>
      </x:c>
      <x:c r="S187" s="74" t="n">
        <x:v>89</x:v>
      </x:c>
      <x:c r="T187" s="74" t="n">
        <x:v>1</x:v>
      </x:c>
      <x:c r="U187" s="74" t="n">
        <x:v>2</x:v>
      </x:c>
      <x:c r="V187" s="74"/>
      <x:c r="W187" s="74" t="n">
        <x:f>IF(COUNTA(P187:S187)=4,AVERAGE(P187:S187),"")</x:f>
        <x:v>92.5</x:v>
      </x:c>
      <x:c r="X187" s="74" t="n">
        <x:f>IF(V187&lt;&gt;"",V187,W187)</x:f>
        <x:v>92.5</x:v>
      </x:c>
      <x:c r="Y187" s="73" t="str">
        <x:v>파생 단순평균(참고)</x:v>
      </x:c>
      <x:c r="Z187" s="74" t="n">
        <x:v>80</x:v>
      </x:c>
      <x:c r="AA187" s="74" t="n">
        <x:f>IF(X187&lt;&gt;"",Z187-X187,"")</x:f>
        <x:v>-12.5</x:v>
      </x:c>
      <x:c r="AB187" s="73" t="str">
        <x:f>IF(AA187="","",IF(AA187&gt;=5,"안정",IF(AA187&gt;=1,"적정",IF(AA187&gt;=-2,"소신","상향"))))</x:f>
        <x:v>상향</x:v>
      </x:c>
      <x:c r="AC187" s="75" t="n">
        <x:v>38.9</x:v>
      </x:c>
      <x:c r="AD187" s="75" t="n">
        <x:v>61.1</x:v>
      </x:c>
      <x:c r="AE187" s="75"/>
      <x:c r="AF187" s="73" t="str">
        <x:v>B: 공식 과목별 70% 백분위 → 단순평균 파생</x:v>
      </x:c>
      <x:c r="AG187" s="73" t="str">
        <x:v>https://www.adiga.kr/ucp/uvt/uni/univDetailSelection.do?menuId=PCUVTINF2000&amp;searchSyr=2026&amp;unvCd=0000203</x:v>
      </x:c>
    </x:row>
    <x:row r="188" ht="18" customHeight="1">
      <x:c r="A188" s="73" t="n">
        <x:v>2025</x:v>
      </x:c>
      <x:c r="B188" s="73" t="str">
        <x:v>서울특별시</x:v>
      </x:c>
      <x:c r="C188" s="73" t="str">
        <x:v>사립</x:v>
      </x:c>
      <x:c r="D188" s="73" t="str">
        <x:v>한양대학교</x:v>
      </x:c>
      <x:c r="E188" s="73" t="str">
        <x:v>가</x:v>
      </x:c>
      <x:c r="F188" s="73" t="str">
        <x:v>일반전형</x:v>
      </x:c>
      <x:c r="G188" s="73" t="str">
        <x:v>영어영문학과</x:v>
      </x:c>
      <x:c r="H188" s="73" t="n">
        <x:v>24</x:v>
      </x:c>
      <x:c r="I188" s="73" t="n">
        <x:v>0</x:v>
      </x:c>
      <x:c r="J188" s="73" t="n">
        <x:v>24</x:v>
      </x:c>
      <x:c r="K188" s="74" t="n">
        <x:v>3.8</x:v>
      </x:c>
      <x:c r="L188" s="73" t="n">
        <x:v>24</x:v>
      </x:c>
      <x:c r="M188" s="74" t="n">
        <x:v>931.21</x:v>
      </x:c>
      <x:c r="N188" s="74" t="n">
        <x:v>930.89</x:v>
      </x:c>
      <x:c r="O188" s="74" t="n">
        <x:v>1000</x:v>
      </x:c>
      <x:c r="P188" s="74" t="n">
        <x:v>97</x:v>
      </x:c>
      <x:c r="Q188" s="74" t="n">
        <x:v>97</x:v>
      </x:c>
      <x:c r="R188" s="74" t="n">
        <x:v>62</x:v>
      </x:c>
      <x:c r="S188" s="74" t="n">
        <x:v>77</x:v>
      </x:c>
      <x:c r="T188" s="74" t="n">
        <x:v>1</x:v>
      </x:c>
      <x:c r="U188" s="74" t="n">
        <x:v>2</x:v>
      </x:c>
      <x:c r="V188" s="74"/>
      <x:c r="W188" s="74" t="n">
        <x:f>IF(COUNTA(P188:S188)=4,AVERAGE(P188:S188),"")</x:f>
        <x:v>83.25</x:v>
      </x:c>
      <x:c r="X188" s="74" t="n">
        <x:f>IF(V188&lt;&gt;"",V188,W188)</x:f>
        <x:v>83.25</x:v>
      </x:c>
      <x:c r="Y188" s="73" t="str">
        <x:v>파생 단순평균(참고)</x:v>
      </x:c>
      <x:c r="Z188" s="74" t="n">
        <x:v>80</x:v>
      </x:c>
      <x:c r="AA188" s="74" t="n">
        <x:f>IF(X188&lt;&gt;"",Z188-X188,"")</x:f>
        <x:v>-3.25</x:v>
      </x:c>
      <x:c r="AB188" s="73" t="str">
        <x:f>IF(AA188="","",IF(AA188&gt;=5,"안정",IF(AA188&gt;=1,"적정",IF(AA188&gt;=-2,"소신","상향"))))</x:f>
        <x:v>상향</x:v>
      </x:c>
      <x:c r="AC188" s="75" t="n">
        <x:v>20.8</x:v>
      </x:c>
      <x:c r="AD188" s="75" t="n">
        <x:v>70.8</x:v>
      </x:c>
      <x:c r="AE188" s="75" t="n">
        <x:v>8.3</x:v>
      </x:c>
      <x:c r="AF188" s="73" t="str">
        <x:v>B: 공식 과목별 70% 백분위 → 단순평균 파생</x:v>
      </x:c>
      <x:c r="AG188" s="73" t="str">
        <x:v>https://www.adiga.kr/ucp/uvt/uni/univDetailSelection.do?menuId=PCUVTINF2000&amp;searchSyr=2026&amp;unvCd=0000203</x:v>
      </x:c>
    </x:row>
    <x:row r="189" ht="18" customHeight="1">
      <x:c r="A189" s="73" t="n">
        <x:v>2025</x:v>
      </x:c>
      <x:c r="B189" s="73" t="str">
        <x:v>서울특별시</x:v>
      </x:c>
      <x:c r="C189" s="73" t="str">
        <x:v>사립</x:v>
      </x:c>
      <x:c r="D189" s="73" t="str">
        <x:v>한양대학교</x:v>
      </x:c>
      <x:c r="E189" s="73" t="str">
        <x:v>가</x:v>
      </x:c>
      <x:c r="F189" s="73" t="str">
        <x:v>일반전형</x:v>
      </x:c>
      <x:c r="G189" s="73" t="str">
        <x:v>사학과</x:v>
      </x:c>
      <x:c r="H189" s="73" t="n">
        <x:v>9</x:v>
      </x:c>
      <x:c r="I189" s="73" t="n">
        <x:v>0</x:v>
      </x:c>
      <x:c r="J189" s="73" t="n">
        <x:v>9</x:v>
      </x:c>
      <x:c r="K189" s="74" t="n">
        <x:v>4.4</x:v>
      </x:c>
      <x:c r="L189" s="73" t="n">
        <x:v>6</x:v>
      </x:c>
      <x:c r="M189" s="74" t="n">
        <x:v>929.43</x:v>
      </x:c>
      <x:c r="N189" s="74" t="n">
        <x:v>929.3</x:v>
      </x:c>
      <x:c r="O189" s="74" t="n">
        <x:v>1000</x:v>
      </x:c>
      <x:c r="P189" s="74" t="n">
        <x:v>95</x:v>
      </x:c>
      <x:c r="Q189" s="74" t="n">
        <x:v>93</x:v>
      </x:c>
      <x:c r="R189" s="74" t="n">
        <x:v>93</x:v>
      </x:c>
      <x:c r="S189" s="74" t="n">
        <x:v>83</x:v>
      </x:c>
      <x:c r="T189" s="74" t="n">
        <x:v>2</x:v>
      </x:c>
      <x:c r="U189" s="74" t="n">
        <x:v>2</x:v>
      </x:c>
      <x:c r="V189" s="74"/>
      <x:c r="W189" s="74" t="n">
        <x:f>IF(COUNTA(P189:S189)=4,AVERAGE(P189:S189),"")</x:f>
        <x:v>91</x:v>
      </x:c>
      <x:c r="X189" s="74" t="n">
        <x:f>IF(V189&lt;&gt;"",V189,W189)</x:f>
        <x:v>91</x:v>
      </x:c>
      <x:c r="Y189" s="73" t="str">
        <x:v>파생 단순평균(참고)</x:v>
      </x:c>
      <x:c r="Z189" s="74" t="n">
        <x:v>80</x:v>
      </x:c>
      <x:c r="AA189" s="74" t="n">
        <x:f>IF(X189&lt;&gt;"",Z189-X189,"")</x:f>
        <x:v>-11</x:v>
      </x:c>
      <x:c r="AB189" s="73" t="str">
        <x:f>IF(AA189="","",IF(AA189&gt;=5,"안정",IF(AA189&gt;=1,"적정",IF(AA189&gt;=-2,"소신","상향"))))</x:f>
        <x:v>상향</x:v>
      </x:c>
      <x:c r="AC189" s="75" t="n">
        <x:v>22.2</x:v>
      </x:c>
      <x:c r="AD189" s="75" t="n">
        <x:v>77.8</x:v>
      </x:c>
      <x:c r="AE189" s="75"/>
      <x:c r="AF189" s="73" t="str">
        <x:v>B: 공식 과목별 70% 백분위 → 단순평균 파생</x:v>
      </x:c>
      <x:c r="AG189" s="73" t="str">
        <x:v>https://www.adiga.kr/ucp/uvt/uni/univDetailSelection.do?menuId=PCUVTINF2000&amp;searchSyr=2026&amp;unvCd=0000203</x:v>
      </x:c>
    </x:row>
    <x:row r="190" ht="18" customHeight="1">
      <x:c r="A190" s="73" t="n">
        <x:v>2025</x:v>
      </x:c>
      <x:c r="B190" s="73" t="str">
        <x:v>서울특별시</x:v>
      </x:c>
      <x:c r="C190" s="73" t="str">
        <x:v>사립</x:v>
      </x:c>
      <x:c r="D190" s="73" t="str">
        <x:v>한양대학교</x:v>
      </x:c>
      <x:c r="E190" s="73" t="str">
        <x:v>나</x:v>
      </x:c>
      <x:c r="F190" s="73" t="str">
        <x:v>일반전형</x:v>
      </x:c>
      <x:c r="G190" s="73" t="str">
        <x:v>정보시스템학과(상경)</x:v>
      </x:c>
      <x:c r="H190" s="73" t="n">
        <x:v>17</x:v>
      </x:c>
      <x:c r="I190" s="73" t="n">
        <x:v>0</x:v>
      </x:c>
      <x:c r="J190" s="73" t="n">
        <x:v>17</x:v>
      </x:c>
      <x:c r="K190" s="74" t="n">
        <x:v>7.2</x:v>
      </x:c>
      <x:c r="L190" s="73" t="n">
        <x:v>38</x:v>
      </x:c>
      <x:c r="M190" s="74" t="n">
        <x:v>943.34</x:v>
      </x:c>
      <x:c r="N190" s="74" t="n">
        <x:v>941.6</x:v>
      </x:c>
      <x:c r="O190" s="74" t="n">
        <x:v>1000</x:v>
      </x:c>
      <x:c r="P190" s="74" t="n">
        <x:v>97</x:v>
      </x:c>
      <x:c r="Q190" s="74" t="n">
        <x:v>96</x:v>
      </x:c>
      <x:c r="R190" s="74" t="n">
        <x:v>92</x:v>
      </x:c>
      <x:c r="S190" s="74" t="n">
        <x:v>88</x:v>
      </x:c>
      <x:c r="T190" s="74" t="n">
        <x:v>2</x:v>
      </x:c>
      <x:c r="U190" s="74" t="n">
        <x:v>1</x:v>
      </x:c>
      <x:c r="V190" s="74"/>
      <x:c r="W190" s="74" t="n">
        <x:f>IF(COUNTA(P190:S190)=4,AVERAGE(P190:S190),"")</x:f>
        <x:v>93.25</x:v>
      </x:c>
      <x:c r="X190" s="74" t="n">
        <x:f>IF(V190&lt;&gt;"",V190,W190)</x:f>
        <x:v>93.25</x:v>
      </x:c>
      <x:c r="Y190" s="73" t="str">
        <x:v>파생 단순평균(참고)</x:v>
      </x:c>
      <x:c r="Z190" s="74" t="n">
        <x:v>80</x:v>
      </x:c>
      <x:c r="AA190" s="74" t="n">
        <x:f>IF(X190&lt;&gt;"",Z190-X190,"")</x:f>
        <x:v>-13.25</x:v>
      </x:c>
      <x:c r="AB190" s="73" t="str">
        <x:f>IF(AA190="","",IF(AA190&gt;=5,"안정",IF(AA190&gt;=1,"적정",IF(AA190&gt;=-2,"소신","상향"))))</x:f>
        <x:v>상향</x:v>
      </x:c>
      <x:c r="AC190" s="75"/>
      <x:c r="AD190" s="75" t="n">
        <x:v>100</x:v>
      </x:c>
      <x:c r="AE190" s="75"/>
      <x:c r="AF190" s="73" t="str">
        <x:v>B: 공식 과목별 70% 백분위 → 단순평균 파생</x:v>
      </x:c>
      <x:c r="AG190" s="73" t="str">
        <x:v>https://www.adiga.kr/ucp/uvt/uni/univDetailSelection.do?menuId=PCUVTINF2000&amp;searchSyr=2026&amp;unvCd=0000203</x:v>
      </x:c>
    </x:row>
    <x:row r="191" ht="18" customHeight="1">
      <x:c r="A191" s="73" t="n">
        <x:v>2025</x:v>
      </x:c>
      <x:c r="B191" s="73" t="str">
        <x:v>서울특별시</x:v>
      </x:c>
      <x:c r="C191" s="73" t="str">
        <x:v>사립</x:v>
      </x:c>
      <x:c r="D191" s="73" t="str">
        <x:v>한양대학교</x:v>
      </x:c>
      <x:c r="E191" s="73" t="str">
        <x:v>나</x:v>
      </x:c>
      <x:c r="F191" s="73" t="str">
        <x:v>일반전형</x:v>
      </x:c>
      <x:c r="G191" s="73" t="str">
        <x:v>신소재공학부</x:v>
      </x:c>
      <x:c r="H191" s="73" t="n">
        <x:v>41</x:v>
      </x:c>
      <x:c r="I191" s="73" t="n">
        <x:v>0</x:v>
      </x:c>
      <x:c r="J191" s="73" t="n">
        <x:v>41</x:v>
      </x:c>
      <x:c r="K191" s="74" t="n">
        <x:v>7.2</x:v>
      </x:c>
      <x:c r="L191" s="73" t="n">
        <x:v>97</x:v>
      </x:c>
      <x:c r="M191" s="74" t="n">
        <x:v>950.81</x:v>
      </x:c>
      <x:c r="N191" s="74" t="n">
        <x:v>946.43</x:v>
      </x:c>
      <x:c r="O191" s="74" t="n">
        <x:v>1000</x:v>
      </x:c>
      <x:c r="P191" s="74" t="n">
        <x:v>85</x:v>
      </x:c>
      <x:c r="Q191" s="74" t="n">
        <x:v>99</x:v>
      </x:c>
      <x:c r="R191" s="74" t="n">
        <x:v>96</x:v>
      </x:c>
      <x:c r="S191" s="74" t="n">
        <x:v>71</x:v>
      </x:c>
      <x:c r="T191" s="74" t="n">
        <x:v>2</x:v>
      </x:c>
      <x:c r="U191" s="74" t="n">
        <x:v>2</x:v>
      </x:c>
      <x:c r="V191" s="74"/>
      <x:c r="W191" s="74" t="n">
        <x:f>IF(COUNTA(P191:S191)=4,AVERAGE(P191:S191),"")</x:f>
        <x:v>87.75</x:v>
      </x:c>
      <x:c r="X191" s="74" t="n">
        <x:f>IF(V191&lt;&gt;"",V191,W191)</x:f>
        <x:v>87.75</x:v>
      </x:c>
      <x:c r="Y191" s="73" t="str">
        <x:v>파생 단순평균(참고)</x:v>
      </x:c>
      <x:c r="Z191" s="74" t="n">
        <x:v>80</x:v>
      </x:c>
      <x:c r="AA191" s="74" t="n">
        <x:f>IF(X191&lt;&gt;"",Z191-X191,"")</x:f>
        <x:v>-7.75</x:v>
      </x:c>
      <x:c r="AB191" s="73" t="str">
        <x:f>IF(AA191="","",IF(AA191&gt;=5,"안정",IF(AA191&gt;=1,"적정",IF(AA191&gt;=-2,"소신","상향"))))</x:f>
        <x:v>상향</x:v>
      </x:c>
      <x:c r="AC191" s="75"/>
      <x:c r="AD191" s="75" t="n">
        <x:v>97.6</x:v>
      </x:c>
      <x:c r="AE191" s="75" t="n">
        <x:v>2.4</x:v>
      </x:c>
      <x:c r="AF191" s="73" t="str">
        <x:v>B: 공식 과목별 70% 백분위 → 단순평균 파생</x:v>
      </x:c>
      <x:c r="AG191" s="73" t="str">
        <x:v>https://www.adiga.kr/ucp/uvt/uni/univDetailSelection.do?menuId=PCUVTINF2000&amp;searchSyr=2026&amp;unvCd=0000203</x:v>
      </x:c>
    </x:row>
    <x:row r="192" ht="18" customHeight="1">
      <x:c r="A192" s="73" t="n">
        <x:v>2025</x:v>
      </x:c>
      <x:c r="B192" s="73" t="str">
        <x:v>서울특별시</x:v>
      </x:c>
      <x:c r="C192" s="73" t="str">
        <x:v>사립</x:v>
      </x:c>
      <x:c r="D192" s="73" t="str">
        <x:v>한양대학교</x:v>
      </x:c>
      <x:c r="E192" s="73" t="str">
        <x:v>나</x:v>
      </x:c>
      <x:c r="F192" s="73" t="str">
        <x:v>일반전형</x:v>
      </x:c>
      <x:c r="G192" s="73" t="str">
        <x:v>화학공학과</x:v>
      </x:c>
      <x:c r="H192" s="73" t="n">
        <x:v>25</x:v>
      </x:c>
      <x:c r="I192" s="73" t="n">
        <x:v>0</x:v>
      </x:c>
      <x:c r="J192" s="73" t="n">
        <x:v>25</x:v>
      </x:c>
      <x:c r="K192" s="74" t="n">
        <x:v>7</x:v>
      </x:c>
      <x:c r="L192" s="73" t="n">
        <x:v>44</x:v>
      </x:c>
      <x:c r="M192" s="74" t="n">
        <x:v>949.55</x:v>
      </x:c>
      <x:c r="N192" s="74" t="n">
        <x:v>946.92</x:v>
      </x:c>
      <x:c r="O192" s="74" t="n">
        <x:v>1000</x:v>
      </x:c>
      <x:c r="P192" s="74" t="n">
        <x:v>93</x:v>
      </x:c>
      <x:c r="Q192" s="74" t="n">
        <x:v>97</x:v>
      </x:c>
      <x:c r="R192" s="74" t="n">
        <x:v>90</x:v>
      </x:c>
      <x:c r="S192" s="74" t="n">
        <x:v>94</x:v>
      </x:c>
      <x:c r="T192" s="74" t="n">
        <x:v>2</x:v>
      </x:c>
      <x:c r="U192" s="74" t="n">
        <x:v>2</x:v>
      </x:c>
      <x:c r="V192" s="74"/>
      <x:c r="W192" s="74" t="n">
        <x:f>IF(COUNTA(P192:S192)=4,AVERAGE(P192:S192),"")</x:f>
        <x:v>93.5</x:v>
      </x:c>
      <x:c r="X192" s="74" t="n">
        <x:f>IF(V192&lt;&gt;"",V192,W192)</x:f>
        <x:v>93.5</x:v>
      </x:c>
      <x:c r="Y192" s="73" t="str">
        <x:v>파생 단순평균(참고)</x:v>
      </x:c>
      <x:c r="Z192" s="74" t="n">
        <x:v>80</x:v>
      </x:c>
      <x:c r="AA192" s="74" t="n">
        <x:f>IF(X192&lt;&gt;"",Z192-X192,"")</x:f>
        <x:v>-13.5</x:v>
      </x:c>
      <x:c r="AB192" s="73" t="str">
        <x:f>IF(AA192="","",IF(AA192&gt;=5,"안정",IF(AA192&gt;=1,"적정",IF(AA192&gt;=-2,"소신","상향"))))</x:f>
        <x:v>상향</x:v>
      </x:c>
      <x:c r="AC192" s="75"/>
      <x:c r="AD192" s="75" t="n">
        <x:v>96</x:v>
      </x:c>
      <x:c r="AE192" s="75" t="n">
        <x:v>4</x:v>
      </x:c>
      <x:c r="AF192" s="73" t="str">
        <x:v>B: 공식 과목별 70% 백분위 → 단순평균 파생</x:v>
      </x:c>
      <x:c r="AG192" s="73" t="str">
        <x:v>https://www.adiga.kr/ucp/uvt/uni/univDetailSelection.do?menuId=PCUVTINF2000&amp;searchSyr=2026&amp;unvCd=0000203</x:v>
      </x:c>
    </x:row>
    <x:row r="193" ht="18" customHeight="1">
      <x:c r="A193" s="73" t="n">
        <x:v>2025</x:v>
      </x:c>
      <x:c r="B193" s="73" t="str">
        <x:v>서울특별시</x:v>
      </x:c>
      <x:c r="C193" s="73" t="str">
        <x:v>사립</x:v>
      </x:c>
      <x:c r="D193" s="73" t="str">
        <x:v>한양대학교</x:v>
      </x:c>
      <x:c r="E193" s="73" t="str">
        <x:v>나</x:v>
      </x:c>
      <x:c r="F193" s="73" t="str">
        <x:v>일반전형</x:v>
      </x:c>
      <x:c r="G193" s="73" t="str">
        <x:v>생명공학과</x:v>
      </x:c>
      <x:c r="H193" s="73" t="n">
        <x:v>11</x:v>
      </x:c>
      <x:c r="I193" s="73" t="n">
        <x:v>2</x:v>
      </x:c>
      <x:c r="J193" s="73" t="n">
        <x:v>13</x:v>
      </x:c>
      <x:c r="K193" s="74" t="n">
        <x:v>7.7</x:v>
      </x:c>
      <x:c r="L193" s="73" t="n">
        <x:v>25</x:v>
      </x:c>
      <x:c r="M193" s="74" t="n">
        <x:v>948.84</x:v>
      </x:c>
      <x:c r="N193" s="74" t="n">
        <x:v>943.98</x:v>
      </x:c>
      <x:c r="O193" s="74" t="n">
        <x:v>1000</x:v>
      </x:c>
      <x:c r="P193" s="74" t="n">
        <x:v>94</x:v>
      </x:c>
      <x:c r="Q193" s="74" t="n">
        <x:v>97</x:v>
      </x:c>
      <x:c r="R193" s="74" t="n">
        <x:v>79</x:v>
      </x:c>
      <x:c r="S193" s="74" t="n">
        <x:v>94</x:v>
      </x:c>
      <x:c r="T193" s="74" t="n">
        <x:v>2</x:v>
      </x:c>
      <x:c r="U193" s="74" t="n">
        <x:v>2</x:v>
      </x:c>
      <x:c r="V193" s="74"/>
      <x:c r="W193" s="74" t="n">
        <x:f>IF(COUNTA(P193:S193)=4,AVERAGE(P193:S193),"")</x:f>
        <x:v>91</x:v>
      </x:c>
      <x:c r="X193" s="74" t="n">
        <x:f>IF(V193&lt;&gt;"",V193,W193)</x:f>
        <x:v>91</x:v>
      </x:c>
      <x:c r="Y193" s="73" t="str">
        <x:v>파생 단순평균(참고)</x:v>
      </x:c>
      <x:c r="Z193" s="74" t="n">
        <x:v>80</x:v>
      </x:c>
      <x:c r="AA193" s="74" t="n">
        <x:f>IF(X193&lt;&gt;"",Z193-X193,"")</x:f>
        <x:v>-11</x:v>
      </x:c>
      <x:c r="AB193" s="73" t="str">
        <x:f>IF(AA193="","",IF(AA193&gt;=5,"안정",IF(AA193&gt;=1,"적정",IF(AA193&gt;=-2,"소신","상향"))))</x:f>
        <x:v>상향</x:v>
      </x:c>
      <x:c r="AC193" s="75"/>
      <x:c r="AD193" s="75" t="n">
        <x:v>100</x:v>
      </x:c>
      <x:c r="AE193" s="75"/>
      <x:c r="AF193" s="73" t="str">
        <x:v>B: 공식 과목별 70% 백분위 → 단순평균 파생</x:v>
      </x:c>
      <x:c r="AG193" s="73" t="str">
        <x:v>https://www.adiga.kr/ucp/uvt/uni/univDetailSelection.do?menuId=PCUVTINF2000&amp;searchSyr=2026&amp;unvCd=0000203</x:v>
      </x:c>
    </x:row>
    <x:row r="194" ht="18" customHeight="1">
      <x:c r="A194" s="73" t="n">
        <x:v>2025</x:v>
      </x:c>
      <x:c r="B194" s="73" t="str">
        <x:v>서울특별시</x:v>
      </x:c>
      <x:c r="C194" s="73" t="str">
        <x:v>사립</x:v>
      </x:c>
      <x:c r="D194" s="73" t="str">
        <x:v>한양대학교</x:v>
      </x:c>
      <x:c r="E194" s="73" t="str">
        <x:v>나</x:v>
      </x:c>
      <x:c r="F194" s="73" t="str">
        <x:v>일반전형</x:v>
      </x:c>
      <x:c r="G194" s="73" t="str">
        <x:v>에너지공학과</x:v>
      </x:c>
      <x:c r="H194" s="73" t="n">
        <x:v>14</x:v>
      </x:c>
      <x:c r="I194" s="73" t="n">
        <x:v>0</x:v>
      </x:c>
      <x:c r="J194" s="73" t="n">
        <x:v>14</x:v>
      </x:c>
      <x:c r="K194" s="74" t="n">
        <x:v>8.4</x:v>
      </x:c>
      <x:c r="L194" s="73" t="n">
        <x:v>42</x:v>
      </x:c>
      <x:c r="M194" s="74" t="n">
        <x:v>950.32</x:v>
      </x:c>
      <x:c r="N194" s="74" t="n">
        <x:v>946.89</x:v>
      </x:c>
      <x:c r="O194" s="74" t="n">
        <x:v>1000</x:v>
      </x:c>
      <x:c r="P194" s="74" t="n">
        <x:v>93</x:v>
      </x:c>
      <x:c r="Q194" s="74" t="n">
        <x:v>98</x:v>
      </x:c>
      <x:c r="R194" s="74" t="n">
        <x:v>90</x:v>
      </x:c>
      <x:c r="S194" s="74" t="n">
        <x:v>75</x:v>
      </x:c>
      <x:c r="T194" s="74" t="n">
        <x:v>2</x:v>
      </x:c>
      <x:c r="U194" s="74" t="n">
        <x:v>3</x:v>
      </x:c>
      <x:c r="V194" s="74"/>
      <x:c r="W194" s="74" t="n">
        <x:f>IF(COUNTA(P194:S194)=4,AVERAGE(P194:S194),"")</x:f>
        <x:v>89</x:v>
      </x:c>
      <x:c r="X194" s="74" t="n">
        <x:f>IF(V194&lt;&gt;"",V194,W194)</x:f>
        <x:v>89</x:v>
      </x:c>
      <x:c r="Y194" s="73" t="str">
        <x:v>파생 단순평균(참고)</x:v>
      </x:c>
      <x:c r="Z194" s="74" t="n">
        <x:v>80</x:v>
      </x:c>
      <x:c r="AA194" s="74" t="n">
        <x:f>IF(X194&lt;&gt;"",Z194-X194,"")</x:f>
        <x:v>-9</x:v>
      </x:c>
      <x:c r="AB194" s="73" t="str">
        <x:f>IF(AA194="","",IF(AA194&gt;=5,"안정",IF(AA194&gt;=1,"적정",IF(AA194&gt;=-2,"소신","상향"))))</x:f>
        <x:v>상향</x:v>
      </x:c>
      <x:c r="AC194" s="75"/>
      <x:c r="AD194" s="75" t="n">
        <x:v>100</x:v>
      </x:c>
      <x:c r="AE194" s="75"/>
      <x:c r="AF194" s="73" t="str">
        <x:v>B: 공식 과목별 70% 백분위 → 단순평균 파생</x:v>
      </x:c>
      <x:c r="AG194" s="73" t="str">
        <x:v>https://www.adiga.kr/ucp/uvt/uni/univDetailSelection.do?menuId=PCUVTINF2000&amp;searchSyr=2026&amp;unvCd=0000203</x:v>
      </x:c>
    </x:row>
    <x:row r="195" ht="18" customHeight="1">
      <x:c r="A195" s="73" t="n">
        <x:v>2025</x:v>
      </x:c>
      <x:c r="B195" s="73" t="str">
        <x:v>서울특별시</x:v>
      </x:c>
      <x:c r="C195" s="73" t="str">
        <x:v>사립</x:v>
      </x:c>
      <x:c r="D195" s="73" t="str">
        <x:v>한양대학교</x:v>
      </x:c>
      <x:c r="E195" s="73" t="str">
        <x:v>나</x:v>
      </x:c>
      <x:c r="F195" s="73" t="str">
        <x:v>일반전형</x:v>
      </x:c>
      <x:c r="G195" s="73" t="str">
        <x:v>미래자동차공학과</x:v>
      </x:c>
      <x:c r="H195" s="73" t="n">
        <x:v>21</x:v>
      </x:c>
      <x:c r="I195" s="73" t="n">
        <x:v>0</x:v>
      </x:c>
      <x:c r="J195" s="73" t="n">
        <x:v>21</x:v>
      </x:c>
      <x:c r="K195" s="74" t="n">
        <x:v>8.2</x:v>
      </x:c>
      <x:c r="L195" s="73" t="n">
        <x:v>48</x:v>
      </x:c>
      <x:c r="M195" s="74" t="n">
        <x:v>945.31</x:v>
      </x:c>
      <x:c r="N195" s="74" t="n">
        <x:v>944.1</x:v>
      </x:c>
      <x:c r="O195" s="74" t="n">
        <x:v>1000</x:v>
      </x:c>
      <x:c r="P195" s="74" t="n">
        <x:v>82</x:v>
      </x:c>
      <x:c r="Q195" s="74" t="n">
        <x:v>98</x:v>
      </x:c>
      <x:c r="R195" s="74" t="n">
        <x:v>98</x:v>
      </x:c>
      <x:c r="S195" s="74" t="n">
        <x:v>96</x:v>
      </x:c>
      <x:c r="T195" s="74" t="n">
        <x:v>2</x:v>
      </x:c>
      <x:c r="U195" s="74" t="n">
        <x:v>1</x:v>
      </x:c>
      <x:c r="V195" s="74"/>
      <x:c r="W195" s="74" t="n">
        <x:f>IF(COUNTA(P195:S195)=4,AVERAGE(P195:S195),"")</x:f>
        <x:v>93.5</x:v>
      </x:c>
      <x:c r="X195" s="74" t="n">
        <x:f>IF(V195&lt;&gt;"",V195,W195)</x:f>
        <x:v>93.5</x:v>
      </x:c>
      <x:c r="Y195" s="73" t="str">
        <x:v>파생 단순평균(참고)</x:v>
      </x:c>
      <x:c r="Z195" s="74" t="n">
        <x:v>80</x:v>
      </x:c>
      <x:c r="AA195" s="74" t="n">
        <x:f>IF(X195&lt;&gt;"",Z195-X195,"")</x:f>
        <x:v>-13.5</x:v>
      </x:c>
      <x:c r="AB195" s="73" t="str">
        <x:f>IF(AA195="","",IF(AA195&gt;=5,"안정",IF(AA195&gt;=1,"적정",IF(AA195&gt;=-2,"소신","상향"))))</x:f>
        <x:v>상향</x:v>
      </x:c>
      <x:c r="AC195" s="75"/>
      <x:c r="AD195" s="75" t="n">
        <x:v>81.8</x:v>
      </x:c>
      <x:c r="AE195" s="75" t="n">
        <x:v>18.2</x:v>
      </x:c>
      <x:c r="AF195" s="73" t="str">
        <x:v>B: 공식 과목별 70% 백분위 → 단순평균 파생</x:v>
      </x:c>
      <x:c r="AG195" s="73" t="str">
        <x:v>https://www.adiga.kr/ucp/uvt/uni/univDetailSelection.do?menuId=PCUVTINF2000&amp;searchSyr=2026&amp;unvCd=0000203</x:v>
      </x:c>
    </x:row>
    <x:row r="196" ht="18" customHeight="1">
      <x:c r="A196" s="73" t="n">
        <x:v>2025</x:v>
      </x:c>
      <x:c r="B196" s="73" t="str">
        <x:v>서울특별시</x:v>
      </x:c>
      <x:c r="C196" s="73" t="str">
        <x:v>사립</x:v>
      </x:c>
      <x:c r="D196" s="73" t="str">
        <x:v>한양대학교</x:v>
      </x:c>
      <x:c r="E196" s="73" t="str">
        <x:v>나</x:v>
      </x:c>
      <x:c r="F196" s="73" t="str">
        <x:v>일반전형</x:v>
      </x:c>
      <x:c r="G196" s="73" t="str">
        <x:v>데이터사이언스학부</x:v>
      </x:c>
      <x:c r="H196" s="73" t="n">
        <x:v>22</x:v>
      </x:c>
      <x:c r="I196" s="73" t="n">
        <x:v>0</x:v>
      </x:c>
      <x:c r="J196" s="73" t="n">
        <x:v>22</x:v>
      </x:c>
      <x:c r="K196" s="74" t="n">
        <x:v>9</x:v>
      </x:c>
      <x:c r="L196" s="73" t="n">
        <x:v>52</x:v>
      </x:c>
      <x:c r="M196" s="74" t="n">
        <x:v>949.59</x:v>
      </x:c>
      <x:c r="N196" s="74" t="n">
        <x:v>947.54</x:v>
      </x:c>
      <x:c r="O196" s="74" t="n">
        <x:v>1000</x:v>
      </x:c>
      <x:c r="P196" s="74" t="n">
        <x:v>89</x:v>
      </x:c>
      <x:c r="Q196" s="74" t="n">
        <x:v>98</x:v>
      </x:c>
      <x:c r="R196" s="74" t="n">
        <x:v>96</x:v>
      </x:c>
      <x:c r="S196" s="74" t="n">
        <x:v>90</x:v>
      </x:c>
      <x:c r="T196" s="74" t="n">
        <x:v>3</x:v>
      </x:c>
      <x:c r="U196" s="74" t="n">
        <x:v>2</x:v>
      </x:c>
      <x:c r="V196" s="74"/>
      <x:c r="W196" s="74" t="n">
        <x:f>IF(COUNTA(P196:S196)=4,AVERAGE(P196:S196),"")</x:f>
        <x:v>93.25</x:v>
      </x:c>
      <x:c r="X196" s="74" t="n">
        <x:f>IF(V196&lt;&gt;"",V196,W196)</x:f>
        <x:v>93.25</x:v>
      </x:c>
      <x:c r="Y196" s="73" t="str">
        <x:v>파생 단순평균(참고)</x:v>
      </x:c>
      <x:c r="Z196" s="74" t="n">
        <x:v>80</x:v>
      </x:c>
      <x:c r="AA196" s="74" t="n">
        <x:f>IF(X196&lt;&gt;"",Z196-X196,"")</x:f>
        <x:v>-13.25</x:v>
      </x:c>
      <x:c r="AB196" s="73" t="str">
        <x:f>IF(AA196="","",IF(AA196&gt;=5,"안정",IF(AA196&gt;=1,"적정",IF(AA196&gt;=-2,"소신","상향"))))</x:f>
        <x:v>상향</x:v>
      </x:c>
      <x:c r="AC196" s="75"/>
      <x:c r="AD196" s="75" t="n">
        <x:v>100</x:v>
      </x:c>
      <x:c r="AE196" s="75"/>
      <x:c r="AF196" s="73" t="str">
        <x:v>B: 공식 과목별 70% 백분위 → 단순평균 파생</x:v>
      </x:c>
      <x:c r="AG196" s="73" t="str">
        <x:v>https://www.adiga.kr/ucp/uvt/uni/univDetailSelection.do?menuId=PCUVTINF2000&amp;searchSyr=2026&amp;unvCd=0000203</x:v>
      </x:c>
    </x:row>
    <x:row r="197" ht="18" customHeight="1">
      <x:c r="A197" s="73" t="n">
        <x:v>2025</x:v>
      </x:c>
      <x:c r="B197" s="73" t="str">
        <x:v>서울특별시</x:v>
      </x:c>
      <x:c r="C197" s="73" t="str">
        <x:v>사립</x:v>
      </x:c>
      <x:c r="D197" s="73" t="str">
        <x:v>한양대학교</x:v>
      </x:c>
      <x:c r="E197" s="73" t="str">
        <x:v>나</x:v>
      </x:c>
      <x:c r="F197" s="73" t="str">
        <x:v>일반전형</x:v>
      </x:c>
      <x:c r="G197" s="73" t="str">
        <x:v>반도체공학과</x:v>
      </x:c>
      <x:c r="H197" s="73" t="n">
        <x:v>8</x:v>
      </x:c>
      <x:c r="I197" s="73" t="n">
        <x:v>1</x:v>
      </x:c>
      <x:c r="J197" s="73" t="n">
        <x:v>9</x:v>
      </x:c>
      <x:c r="K197" s="74" t="n">
        <x:v>13.9</x:v>
      </x:c>
      <x:c r="L197" s="73" t="n">
        <x:v>29</x:v>
      </x:c>
      <x:c r="M197" s="74" t="n">
        <x:v>966.71</x:v>
      </x:c>
      <x:c r="N197" s="74" t="n">
        <x:v>962.58</x:v>
      </x:c>
      <x:c r="O197" s="74" t="n">
        <x:v>1000</x:v>
      </x:c>
      <x:c r="P197" s="74" t="n">
        <x:v>95</x:v>
      </x:c>
      <x:c r="Q197" s="74" t="n">
        <x:v>100</x:v>
      </x:c>
      <x:c r="R197" s="74" t="n">
        <x:v>77</x:v>
      </x:c>
      <x:c r="S197" s="74" t="n">
        <x:v>83</x:v>
      </x:c>
      <x:c r="T197" s="74" t="n">
        <x:v>2</x:v>
      </x:c>
      <x:c r="U197" s="74" t="n">
        <x:v>1</x:v>
      </x:c>
      <x:c r="V197" s="74"/>
      <x:c r="W197" s="74" t="n">
        <x:f>IF(COUNTA(P197:S197)=4,AVERAGE(P197:S197),"")</x:f>
        <x:v>88.75</x:v>
      </x:c>
      <x:c r="X197" s="74" t="n">
        <x:f>IF(V197&lt;&gt;"",V197,W197)</x:f>
        <x:v>88.75</x:v>
      </x:c>
      <x:c r="Y197" s="73" t="str">
        <x:v>파생 단순평균(참고)</x:v>
      </x:c>
      <x:c r="Z197" s="74" t="n">
        <x:v>80</x:v>
      </x:c>
      <x:c r="AA197" s="74" t="n">
        <x:f>IF(X197&lt;&gt;"",Z197-X197,"")</x:f>
        <x:v>-8.75</x:v>
      </x:c>
      <x:c r="AB197" s="73" t="str">
        <x:f>IF(AA197="","",IF(AA197&gt;=5,"안정",IF(AA197&gt;=1,"적정",IF(AA197&gt;=-2,"소신","상향"))))</x:f>
        <x:v>상향</x:v>
      </x:c>
      <x:c r="AC197" s="75"/>
      <x:c r="AD197" s="75" t="n">
        <x:v>77.8</x:v>
      </x:c>
      <x:c r="AE197" s="75" t="n">
        <x:v>22.2</x:v>
      </x:c>
      <x:c r="AF197" s="73" t="str">
        <x:v>B: 공식 과목별 70% 백분위 → 단순평균 파생</x:v>
      </x:c>
      <x:c r="AG197" s="73" t="str">
        <x:v>https://www.adiga.kr/ucp/uvt/uni/univDetailSelection.do?menuId=PCUVTINF2000&amp;searchSyr=2026&amp;unvCd=0000203</x:v>
      </x:c>
    </x:row>
    <x:row r="198" ht="18" customHeight="1">
      <x:c r="A198" s="73" t="n">
        <x:v>2025</x:v>
      </x:c>
      <x:c r="B198" s="73" t="str">
        <x:v>서울특별시</x:v>
      </x:c>
      <x:c r="C198" s="73" t="str">
        <x:v>사립</x:v>
      </x:c>
      <x:c r="D198" s="73" t="str">
        <x:v>한양대학교</x:v>
      </x:c>
      <x:c r="E198" s="73" t="str">
        <x:v>나</x:v>
      </x:c>
      <x:c r="F198" s="73" t="str">
        <x:v>일반전형</x:v>
      </x:c>
      <x:c r="G198" s="73" t="str">
        <x:v>미디어커뮤니케이션학과</x:v>
      </x:c>
      <x:c r="H198" s="73" t="n">
        <x:v>16</x:v>
      </x:c>
      <x:c r="I198" s="73" t="n">
        <x:v>0</x:v>
      </x:c>
      <x:c r="J198" s="73" t="n">
        <x:v>16</x:v>
      </x:c>
      <x:c r="K198" s="74" t="n">
        <x:v>5.5</x:v>
      </x:c>
      <x:c r="L198" s="73" t="n">
        <x:v>35</x:v>
      </x:c>
      <x:c r="M198" s="74" t="n">
        <x:v>931.62</x:v>
      </x:c>
      <x:c r="N198" s="74" t="n">
        <x:v>927.82</x:v>
      </x:c>
      <x:c r="O198" s="74" t="n">
        <x:v>1000</x:v>
      </x:c>
      <x:c r="P198" s="74" t="n">
        <x:v>93</x:v>
      </x:c>
      <x:c r="Q198" s="74" t="n">
        <x:v>93</x:v>
      </x:c>
      <x:c r="R198" s="74" t="n">
        <x:v>88</x:v>
      </x:c>
      <x:c r="S198" s="74" t="n">
        <x:v>98</x:v>
      </x:c>
      <x:c r="T198" s="74" t="n">
        <x:v>2</x:v>
      </x:c>
      <x:c r="U198" s="74" t="n">
        <x:v>1</x:v>
      </x:c>
      <x:c r="V198" s="74"/>
      <x:c r="W198" s="74" t="n">
        <x:f>IF(COUNTA(P198:S198)=4,AVERAGE(P198:S198),"")</x:f>
        <x:v>93</x:v>
      </x:c>
      <x:c r="X198" s="74" t="n">
        <x:f>IF(V198&lt;&gt;"",V198,W198)</x:f>
        <x:v>93</x:v>
      </x:c>
      <x:c r="Y198" s="73" t="str">
        <x:v>파생 단순평균(참고)</x:v>
      </x:c>
      <x:c r="Z198" s="74" t="n">
        <x:v>80</x:v>
      </x:c>
      <x:c r="AA198" s="74" t="n">
        <x:f>IF(X198&lt;&gt;"",Z198-X198,"")</x:f>
        <x:v>-13</x:v>
      </x:c>
      <x:c r="AB198" s="73" t="str">
        <x:f>IF(AA198="","",IF(AA198&gt;=5,"안정",IF(AA198&gt;=1,"적정",IF(AA198&gt;=-2,"소신","상향"))))</x:f>
        <x:v>상향</x:v>
      </x:c>
      <x:c r="AC198" s="75" t="n">
        <x:v>33.3</x:v>
      </x:c>
      <x:c r="AD198" s="75" t="n">
        <x:v>60</x:v>
      </x:c>
      <x:c r="AE198" s="75" t="n">
        <x:v>6.7</x:v>
      </x:c>
      <x:c r="AF198" s="73" t="str">
        <x:v>B: 공식 과목별 70% 백분위 → 단순평균 파생</x:v>
      </x:c>
      <x:c r="AG198" s="73" t="str">
        <x:v>https://www.adiga.kr/ucp/uvt/uni/univDetailSelection.do?menuId=PCUVTINF2000&amp;searchSyr=2026&amp;unvCd=0000203</x:v>
      </x:c>
    </x:row>
    <x:row r="199" ht="18" customHeight="1">
      <x:c r="A199" s="73" t="n">
        <x:v>2025</x:v>
      </x:c>
      <x:c r="B199" s="73" t="str">
        <x:v>서울특별시</x:v>
      </x:c>
      <x:c r="C199" s="73" t="str">
        <x:v>사립</x:v>
      </x:c>
      <x:c r="D199" s="73" t="str">
        <x:v>한양대학교</x:v>
      </x:c>
      <x:c r="E199" s="73" t="str">
        <x:v>나</x:v>
      </x:c>
      <x:c r="F199" s="73" t="str">
        <x:v>일반전형</x:v>
      </x:c>
      <x:c r="G199" s="73" t="str">
        <x:v>관광학부</x:v>
      </x:c>
      <x:c r="H199" s="73" t="n">
        <x:v>14</x:v>
      </x:c>
      <x:c r="I199" s="73" t="n">
        <x:v>0</x:v>
      </x:c>
      <x:c r="J199" s="73" t="n">
        <x:v>14</x:v>
      </x:c>
      <x:c r="K199" s="74" t="n">
        <x:v>5.6</x:v>
      </x:c>
      <x:c r="L199" s="73" t="n">
        <x:v>28</x:v>
      </x:c>
      <x:c r="M199" s="74" t="n">
        <x:v>932.95</x:v>
      </x:c>
      <x:c r="N199" s="74" t="n">
        <x:v>932.86</x:v>
      </x:c>
      <x:c r="O199" s="74" t="n">
        <x:v>1000</x:v>
      </x:c>
      <x:c r="P199" s="74" t="n">
        <x:v>92</x:v>
      </x:c>
      <x:c r="Q199" s="74" t="n">
        <x:v>95</x:v>
      </x:c>
      <x:c r="R199" s="74" t="n">
        <x:v>93</x:v>
      </x:c>
      <x:c r="S199" s="74" t="n">
        <x:v>94</x:v>
      </x:c>
      <x:c r="T199" s="74" t="n">
        <x:v>1</x:v>
      </x:c>
      <x:c r="U199" s="74" t="n">
        <x:v>1</x:v>
      </x:c>
      <x:c r="V199" s="74"/>
      <x:c r="W199" s="74" t="n">
        <x:f>IF(COUNTA(P199:S199)=4,AVERAGE(P199:S199),"")</x:f>
        <x:v>93.5</x:v>
      </x:c>
      <x:c r="X199" s="74" t="n">
        <x:f>IF(V199&lt;&gt;"",V199,W199)</x:f>
        <x:v>93.5</x:v>
      </x:c>
      <x:c r="Y199" s="73" t="str">
        <x:v>파생 단순평균(참고)</x:v>
      </x:c>
      <x:c r="Z199" s="74" t="n">
        <x:v>80</x:v>
      </x:c>
      <x:c r="AA199" s="74" t="n">
        <x:f>IF(X199&lt;&gt;"",Z199-X199,"")</x:f>
        <x:v>-13.5</x:v>
      </x:c>
      <x:c r="AB199" s="73" t="str">
        <x:f>IF(AA199="","",IF(AA199&gt;=5,"안정",IF(AA199&gt;=1,"적정",IF(AA199&gt;=-2,"소신","상향"))))</x:f>
        <x:v>상향</x:v>
      </x:c>
      <x:c r="AC199" s="75" t="n">
        <x:v>28.6</x:v>
      </x:c>
      <x:c r="AD199" s="75" t="n">
        <x:v>71.4</x:v>
      </x:c>
      <x:c r="AE199" s="75"/>
      <x:c r="AF199" s="73" t="str">
        <x:v>B: 공식 과목별 70% 백분위 → 단순평균 파생</x:v>
      </x:c>
      <x:c r="AG199" s="73" t="str">
        <x:v>https://www.adiga.kr/ucp/uvt/uni/univDetailSelection.do?menuId=PCUVTINF2000&amp;searchSyr=2026&amp;unvCd=0000203</x:v>
      </x:c>
    </x:row>
    <x:row r="200" ht="18" customHeight="1">
      <x:c r="A200" s="73" t="n">
        <x:v>2025</x:v>
      </x:c>
      <x:c r="B200" s="73" t="str">
        <x:v>서울특별시</x:v>
      </x:c>
      <x:c r="C200" s="73" t="str">
        <x:v>사립</x:v>
      </x:c>
      <x:c r="D200" s="73" t="str">
        <x:v>한양대학교</x:v>
      </x:c>
      <x:c r="E200" s="73" t="str">
        <x:v>나</x:v>
      </x:c>
      <x:c r="F200" s="73" t="str">
        <x:v>일반전형</x:v>
      </x:c>
      <x:c r="G200" s="73" t="str">
        <x:v>수학과</x:v>
      </x:c>
      <x:c r="H200" s="73" t="n">
        <x:v>16</x:v>
      </x:c>
      <x:c r="I200" s="73" t="n">
        <x:v>1</x:v>
      </x:c>
      <x:c r="J200" s="73" t="n">
        <x:v>17</x:v>
      </x:c>
      <x:c r="K200" s="74" t="n">
        <x:v>6.5</x:v>
      </x:c>
      <x:c r="L200" s="73" t="n">
        <x:v>30</x:v>
      </x:c>
      <x:c r="M200" s="74" t="n">
        <x:v>944.02</x:v>
      </x:c>
      <x:c r="N200" s="74" t="n">
        <x:v>942.92</x:v>
      </x:c>
      <x:c r="O200" s="74" t="n">
        <x:v>1000</x:v>
      </x:c>
      <x:c r="P200" s="74" t="n">
        <x:v>86</x:v>
      </x:c>
      <x:c r="Q200" s="74" t="n">
        <x:v>98</x:v>
      </x:c>
      <x:c r="R200" s="74" t="n">
        <x:v>98</x:v>
      </x:c>
      <x:c r="S200" s="74" t="n">
        <x:v>83</x:v>
      </x:c>
      <x:c r="T200" s="74" t="n">
        <x:v>1</x:v>
      </x:c>
      <x:c r="U200" s="74" t="n">
        <x:v>3</x:v>
      </x:c>
      <x:c r="V200" s="74"/>
      <x:c r="W200" s="74" t="n">
        <x:f>IF(COUNTA(P200:S200)=4,AVERAGE(P200:S200),"")</x:f>
        <x:v>91.25</x:v>
      </x:c>
      <x:c r="X200" s="74" t="n">
        <x:f>IF(V200&lt;&gt;"",V200,W200)</x:f>
        <x:v>91.25</x:v>
      </x:c>
      <x:c r="Y200" s="73" t="str">
        <x:v>파생 단순평균(참고)</x:v>
      </x:c>
      <x:c r="Z200" s="74" t="n">
        <x:v>80</x:v>
      </x:c>
      <x:c r="AA200" s="74" t="n">
        <x:f>IF(X200&lt;&gt;"",Z200-X200,"")</x:f>
        <x:v>-11.25</x:v>
      </x:c>
      <x:c r="AB200" s="73" t="str">
        <x:f>IF(AA200="","",IF(AA200&gt;=5,"안정",IF(AA200&gt;=1,"적정",IF(AA200&gt;=-2,"소신","상향"))))</x:f>
        <x:v>상향</x:v>
      </x:c>
      <x:c r="AC200" s="75"/>
      <x:c r="AD200" s="75" t="n">
        <x:v>88.9</x:v>
      </x:c>
      <x:c r="AE200" s="75" t="n">
        <x:v>11.1</x:v>
      </x:c>
      <x:c r="AF200" s="73" t="str">
        <x:v>B: 공식 과목별 70% 백분위 → 단순평균 파생</x:v>
      </x:c>
      <x:c r="AG200" s="73" t="str">
        <x:v>https://www.adiga.kr/ucp/uvt/uni/univDetailSelection.do?menuId=PCUVTINF2000&amp;searchSyr=2026&amp;unvCd=0000203</x:v>
      </x:c>
    </x:row>
    <x:row r="201" ht="18" customHeight="1">
      <x:c r="A201" s="73" t="n">
        <x:v>2025</x:v>
      </x:c>
      <x:c r="B201" s="73" t="str">
        <x:v>서울특별시</x:v>
      </x:c>
      <x:c r="C201" s="73" t="str">
        <x:v>사립</x:v>
      </x:c>
      <x:c r="D201" s="73" t="str">
        <x:v>한양대학교</x:v>
      </x:c>
      <x:c r="E201" s="73" t="str">
        <x:v>나</x:v>
      </x:c>
      <x:c r="F201" s="73" t="str">
        <x:v>일반전형</x:v>
      </x:c>
      <x:c r="G201" s="73" t="str">
        <x:v>생명과학과</x:v>
      </x:c>
      <x:c r="H201" s="73" t="n">
        <x:v>18</x:v>
      </x:c>
      <x:c r="I201" s="73" t="n">
        <x:v>1</x:v>
      </x:c>
      <x:c r="J201" s="73" t="n">
        <x:v>19</x:v>
      </x:c>
      <x:c r="K201" s="74" t="n">
        <x:v>6.1</x:v>
      </x:c>
      <x:c r="L201" s="73" t="n">
        <x:v>35</x:v>
      </x:c>
      <x:c r="M201" s="74" t="n">
        <x:v>945.93</x:v>
      </x:c>
      <x:c r="N201" s="74" t="n">
        <x:v>942.96</x:v>
      </x:c>
      <x:c r="O201" s="74" t="n">
        <x:v>1000</x:v>
      </x:c>
      <x:c r="P201" s="74" t="n">
        <x:v>91</x:v>
      </x:c>
      <x:c r="Q201" s="74" t="n">
        <x:v>97</x:v>
      </x:c>
      <x:c r="R201" s="74" t="n">
        <x:v>99</x:v>
      </x:c>
      <x:c r="S201" s="74" t="n">
        <x:v>79</x:v>
      </x:c>
      <x:c r="T201" s="74" t="n">
        <x:v>2</x:v>
      </x:c>
      <x:c r="U201" s="74" t="n">
        <x:v>1</x:v>
      </x:c>
      <x:c r="V201" s="74"/>
      <x:c r="W201" s="74" t="n">
        <x:f>IF(COUNTA(P201:S201)=4,AVERAGE(P201:S201),"")</x:f>
        <x:v>91.5</x:v>
      </x:c>
      <x:c r="X201" s="74" t="n">
        <x:f>IF(V201&lt;&gt;"",V201,W201)</x:f>
        <x:v>91.5</x:v>
      </x:c>
      <x:c r="Y201" s="73" t="str">
        <x:v>파생 단순평균(참고)</x:v>
      </x:c>
      <x:c r="Z201" s="74" t="n">
        <x:v>80</x:v>
      </x:c>
      <x:c r="AA201" s="74" t="n">
        <x:f>IF(X201&lt;&gt;"",Z201-X201,"")</x:f>
        <x:v>-11.5</x:v>
      </x:c>
      <x:c r="AB201" s="73" t="str">
        <x:f>IF(AA201="","",IF(AA201&gt;=5,"안정",IF(AA201&gt;=1,"적정",IF(AA201&gt;=-2,"소신","상향"))))</x:f>
        <x:v>상향</x:v>
      </x:c>
      <x:c r="AC201" s="75"/>
      <x:c r="AD201" s="75" t="n">
        <x:v>100</x:v>
      </x:c>
      <x:c r="AE201" s="75"/>
      <x:c r="AF201" s="73" t="str">
        <x:v>B: 공식 과목별 70% 백분위 → 단순평균 파생</x:v>
      </x:c>
      <x:c r="AG201" s="73" t="str">
        <x:v>https://www.adiga.kr/ucp/uvt/uni/univDetailSelection.do?menuId=PCUVTINF2000&amp;searchSyr=2026&amp;unvCd=0000203</x:v>
      </x:c>
    </x:row>
    <x:row r="202" ht="18" customHeight="1">
      <x:c r="A202" s="73" t="n">
        <x:v>2025</x:v>
      </x:c>
      <x:c r="B202" s="73" t="str">
        <x:v>서울특별시</x:v>
      </x:c>
      <x:c r="C202" s="73" t="str">
        <x:v>사립</x:v>
      </x:c>
      <x:c r="D202" s="73" t="str">
        <x:v>한양대학교</x:v>
      </x:c>
      <x:c r="E202" s="73" t="str">
        <x:v>나</x:v>
      </x:c>
      <x:c r="F202" s="73" t="str">
        <x:v>일반전형</x:v>
      </x:c>
      <x:c r="G202" s="73" t="str">
        <x:v>행정학과</x:v>
      </x:c>
      <x:c r="H202" s="73" t="n">
        <x:v>16</x:v>
      </x:c>
      <x:c r="I202" s="73" t="n">
        <x:v>0</x:v>
      </x:c>
      <x:c r="J202" s="73" t="n">
        <x:v>16</x:v>
      </x:c>
      <x:c r="K202" s="74" t="n">
        <x:v>6.5</x:v>
      </x:c>
      <x:c r="L202" s="73" t="n">
        <x:v>39</x:v>
      </x:c>
      <x:c r="M202" s="74" t="n">
        <x:v>931.41</x:v>
      </x:c>
      <x:c r="N202" s="74" t="n">
        <x:v>928.16</x:v>
      </x:c>
      <x:c r="O202" s="74" t="n">
        <x:v>1000</x:v>
      </x:c>
      <x:c r="P202" s="74" t="n">
        <x:v>91</x:v>
      </x:c>
      <x:c r="Q202" s="74" t="n">
        <x:v>92</x:v>
      </x:c>
      <x:c r="R202" s="74" t="n">
        <x:v>95</x:v>
      </x:c>
      <x:c r="S202" s="74" t="n">
        <x:v>98</x:v>
      </x:c>
      <x:c r="T202" s="74" t="n">
        <x:v>1</x:v>
      </x:c>
      <x:c r="U202" s="74" t="n">
        <x:v>1</x:v>
      </x:c>
      <x:c r="V202" s="74"/>
      <x:c r="W202" s="74" t="n">
        <x:f>IF(COUNTA(P202:S202)=4,AVERAGE(P202:S202),"")</x:f>
        <x:v>94</x:v>
      </x:c>
      <x:c r="X202" s="74" t="n">
        <x:f>IF(V202&lt;&gt;"",V202,W202)</x:f>
        <x:v>94</x:v>
      </x:c>
      <x:c r="Y202" s="73" t="str">
        <x:v>파생 단순평균(참고)</x:v>
      </x:c>
      <x:c r="Z202" s="74" t="n">
        <x:v>80</x:v>
      </x:c>
      <x:c r="AA202" s="74" t="n">
        <x:f>IF(X202&lt;&gt;"",Z202-X202,"")</x:f>
        <x:v>-14</x:v>
      </x:c>
      <x:c r="AB202" s="73" t="str">
        <x:f>IF(AA202="","",IF(AA202&gt;=5,"안정",IF(AA202&gt;=1,"적정",IF(AA202&gt;=-2,"소신","상향"))))</x:f>
        <x:v>상향</x:v>
      </x:c>
      <x:c r="AC202" s="75" t="n">
        <x:v>40</x:v>
      </x:c>
      <x:c r="AD202" s="75" t="n">
        <x:v>53.3</x:v>
      </x:c>
      <x:c r="AE202" s="75" t="n">
        <x:v>6.7</x:v>
      </x:c>
      <x:c r="AF202" s="73" t="str">
        <x:v>B: 공식 과목별 70% 백분위 → 단순평균 파생</x:v>
      </x:c>
      <x:c r="AG202" s="73" t="str">
        <x:v>https://www.adiga.kr/ucp/uvt/uni/univDetailSelection.do?menuId=PCUVTINF2000&amp;searchSyr=2026&amp;unvCd=0000203</x:v>
      </x:c>
    </x:row>
    <x:row r="203" ht="18" customHeight="1">
      <x:c r="A203" s="73" t="n">
        <x:v>2025</x:v>
      </x:c>
      <x:c r="B203" s="73" t="str">
        <x:v>서울특별시</x:v>
      </x:c>
      <x:c r="C203" s="73" t="str">
        <x:v>사립</x:v>
      </x:c>
      <x:c r="D203" s="73" t="str">
        <x:v>한양대학교</x:v>
      </x:c>
      <x:c r="E203" s="73" t="str">
        <x:v>나</x:v>
      </x:c>
      <x:c r="F203" s="73" t="str">
        <x:v>일반전형</x:v>
      </x:c>
      <x:c r="G203" s="73" t="str">
        <x:v>파이낸스경영학과</x:v>
      </x:c>
      <x:c r="H203" s="73" t="n">
        <x:v>20</x:v>
      </x:c>
      <x:c r="I203" s="73" t="n">
        <x:v>1</x:v>
      </x:c>
      <x:c r="J203" s="73" t="n">
        <x:v>21</x:v>
      </x:c>
      <x:c r="K203" s="74" t="n">
        <x:v>5.3</x:v>
      </x:c>
      <x:c r="L203" s="73" t="n">
        <x:v>40</x:v>
      </x:c>
      <x:c r="M203" s="74" t="n">
        <x:v>939.21</x:v>
      </x:c>
      <x:c r="N203" s="74" t="n">
        <x:v>933.92</x:v>
      </x:c>
      <x:c r="O203" s="74" t="n">
        <x:v>1000</x:v>
      </x:c>
      <x:c r="P203" s="74" t="n">
        <x:v>91</x:v>
      </x:c>
      <x:c r="Q203" s="74" t="n">
        <x:v>97</x:v>
      </x:c>
      <x:c r="R203" s="74" t="n">
        <x:v>88</x:v>
      </x:c>
      <x:c r="S203" s="74" t="n">
        <x:v>94</x:v>
      </x:c>
      <x:c r="T203" s="74" t="n">
        <x:v>1</x:v>
      </x:c>
      <x:c r="U203" s="74" t="n">
        <x:v>2</x:v>
      </x:c>
      <x:c r="V203" s="74"/>
      <x:c r="W203" s="74" t="n">
        <x:f>IF(COUNTA(P203:S203)=4,AVERAGE(P203:S203),"")</x:f>
        <x:v>92.5</x:v>
      </x:c>
      <x:c r="X203" s="74" t="n">
        <x:f>IF(V203&lt;&gt;"",V203,W203)</x:f>
        <x:v>92.5</x:v>
      </x:c>
      <x:c r="Y203" s="73" t="str">
        <x:v>파생 단순평균(참고)</x:v>
      </x:c>
      <x:c r="Z203" s="74" t="n">
        <x:v>80</x:v>
      </x:c>
      <x:c r="AA203" s="74" t="n">
        <x:f>IF(X203&lt;&gt;"",Z203-X203,"")</x:f>
        <x:v>-12.5</x:v>
      </x:c>
      <x:c r="AB203" s="73" t="str">
        <x:f>IF(AA203="","",IF(AA203&gt;=5,"안정",IF(AA203&gt;=1,"적정",IF(AA203&gt;=-2,"소신","상향"))))</x:f>
        <x:v>상향</x:v>
      </x:c>
      <x:c r="AC203" s="75" t="n">
        <x:v>4.8</x:v>
      </x:c>
      <x:c r="AD203" s="75" t="n">
        <x:v>95.2</x:v>
      </x:c>
      <x:c r="AE203" s="75"/>
      <x:c r="AF203" s="73" t="str">
        <x:v>B: 공식 과목별 70% 백분위 → 단순평균 파생</x:v>
      </x:c>
      <x:c r="AG203" s="73" t="str">
        <x:v>https://www.adiga.kr/ucp/uvt/uni/univDetailSelection.do?menuId=PCUVTINF2000&amp;searchSyr=2026&amp;unvCd=0000203</x:v>
      </x:c>
    </x:row>
    <x:row r="204" ht="18" customHeight="1">
      <x:c r="A204" s="73" t="n">
        <x:v>2025</x:v>
      </x:c>
      <x:c r="B204" s="73" t="str">
        <x:v>서울특별시</x:v>
      </x:c>
      <x:c r="C204" s="73" t="str">
        <x:v>사립</x:v>
      </x:c>
      <x:c r="D204" s="73" t="str">
        <x:v>한양대학교</x:v>
      </x:c>
      <x:c r="E204" s="73" t="str">
        <x:v>다</x:v>
      </x:c>
      <x:c r="F204" s="73" t="str">
        <x:v>일반전형</x:v>
      </x:c>
      <x:c r="G204" s="73" t="str">
        <x:v>한양인터칼리지학부</x:v>
      </x:c>
      <x:c r="H204" s="73" t="n">
        <x:v>60</x:v>
      </x:c>
      <x:c r="I204" s="73" t="n">
        <x:v>2</x:v>
      </x:c>
      <x:c r="J204" s="73" t="n">
        <x:v>62</x:v>
      </x:c>
      <x:c r="K204" s="74" t="n">
        <x:v>21.4</x:v>
      </x:c>
      <x:c r="L204" s="73" t="n">
        <x:v>534</x:v>
      </x:c>
      <x:c r="M204" s="74" t="n">
        <x:v>944.56</x:v>
      </x:c>
      <x:c r="N204" s="74" t="n">
        <x:v>942.81</x:v>
      </x:c>
      <x:c r="O204" s="74" t="n">
        <x:v>1000</x:v>
      </x:c>
      <x:c r="P204" s="74" t="n">
        <x:v>100</x:v>
      </x:c>
      <x:c r="Q204" s="74" t="n">
        <x:v>95</x:v>
      </x:c>
      <x:c r="R204" s="74" t="n">
        <x:v>81</x:v>
      </x:c>
      <x:c r="S204" s="74" t="n">
        <x:v>80</x:v>
      </x:c>
      <x:c r="T204" s="74" t="n">
        <x:v>2</x:v>
      </x:c>
      <x:c r="U204" s="74" t="n">
        <x:v>3</x:v>
      </x:c>
      <x:c r="V204" s="74"/>
      <x:c r="W204" s="74" t="n">
        <x:f>IF(COUNTA(P204:S204)=4,AVERAGE(P204:S204),"")</x:f>
        <x:v>89</x:v>
      </x:c>
      <x:c r="X204" s="74" t="n">
        <x:f>IF(V204&lt;&gt;"",V204,W204)</x:f>
        <x:v>89</x:v>
      </x:c>
      <x:c r="Y204" s="73" t="str">
        <x:v>파생 단순평균(참고)</x:v>
      </x:c>
      <x:c r="Z204" s="74" t="n">
        <x:v>80</x:v>
      </x:c>
      <x:c r="AA204" s="74" t="n">
        <x:f>IF(X204&lt;&gt;"",Z204-X204,"")</x:f>
        <x:v>-9</x:v>
      </x:c>
      <x:c r="AB204" s="73" t="str">
        <x:f>IF(AA204="","",IF(AA204&gt;=5,"안정",IF(AA204&gt;=1,"적정",IF(AA204&gt;=-2,"소신","상향"))))</x:f>
        <x:v>상향</x:v>
      </x:c>
      <x:c r="AC204" s="75" t="n">
        <x:v>1.6</x:v>
      </x:c>
      <x:c r="AD204" s="75" t="n">
        <x:v>98.4</x:v>
      </x:c>
      <x:c r="AE204" s="75"/>
      <x:c r="AF204" s="73" t="str">
        <x:v>B: 공식 과목별 70% 백분위 → 단순평균 파생</x:v>
      </x:c>
      <x:c r="AG204" s="73" t="str">
        <x:v>https://www.adiga.kr/ucp/uvt/uni/univDetailSelection.do?menuId=PCUVTINF2000&amp;searchSyr=2026&amp;unvCd=0000203</x:v>
      </x:c>
    </x:row>
    <x:row r="205" ht="18" customHeight="1">
      <x:c r="A205" s="73" t="n">
        <x:v>2025</x:v>
      </x:c>
      <x:c r="B205" s="73" t="str">
        <x:v>서울특별시</x:v>
      </x:c>
      <x:c r="C205" s="73" t="str">
        <x:v>사립</x:v>
      </x:c>
      <x:c r="D205" s="73" t="str">
        <x:v>중앙대학교</x:v>
      </x:c>
      <x:c r="E205" s="73" t="str">
        <x:v>가</x:v>
      </x:c>
      <x:c r="F205" s="73" t="str">
        <x:v>일반전형</x:v>
      </x:c>
      <x:c r="G205" s="73" t="str">
        <x:v>영어영문학과</x:v>
      </x:c>
      <x:c r="H205" s="73" t="n">
        <x:v>38</x:v>
      </x:c>
      <x:c r="I205" s="73" t="n">
        <x:v>0</x:v>
      </x:c>
      <x:c r="J205" s="73" t="n">
        <x:v>38</x:v>
      </x:c>
      <x:c r="K205" s="74" t="n">
        <x:v>5.7</x:v>
      </x:c>
      <x:c r="L205" s="73" t="n">
        <x:v>16</x:v>
      </x:c>
      <x:c r="M205" s="74" t="n">
        <x:v>761.8</x:v>
      </x:c>
      <x:c r="N205" s="74" t="n">
        <x:v>760.3</x:v>
      </x:c>
      <x:c r="O205" s="74" t="n">
        <x:v>1000</x:v>
      </x:c>
      <x:c r="P205" s="74" t="n">
        <x:v>94</x:v>
      </x:c>
      <x:c r="Q205" s="74" t="n">
        <x:v>87</x:v>
      </x:c>
      <x:c r="R205" s="74" t="n">
        <x:v>94</x:v>
      </x:c>
      <x:c r="S205" s="74" t="n">
        <x:v>95</x:v>
      </x:c>
      <x:c r="T205" s="74" t="n">
        <x:v>3</x:v>
      </x:c>
      <x:c r="U205" s="74" t="n">
        <x:v>2</x:v>
      </x:c>
      <x:c r="V205" s="74"/>
      <x:c r="W205" s="74" t="n">
        <x:f>IF(COUNTA(P205:S205)=4,AVERAGE(P205:S205),"")</x:f>
        <x:v>92.5</x:v>
      </x:c>
      <x:c r="X205" s="74" t="n">
        <x:f>IF(V205&lt;&gt;"",V205,W205)</x:f>
        <x:v>92.5</x:v>
      </x:c>
      <x:c r="Y205" s="73" t="str">
        <x:v>파생 단순평균(참고)</x:v>
      </x:c>
      <x:c r="Z205" s="74" t="n">
        <x:v>80</x:v>
      </x:c>
      <x:c r="AA205" s="74" t="n">
        <x:f>IF(X205&lt;&gt;"",Z205-X205,"")</x:f>
        <x:v>-12.5</x:v>
      </x:c>
      <x:c r="AB205" s="73" t="str">
        <x:f>IF(AA205="","",IF(AA205&gt;=5,"안정",IF(AA205&gt;=1,"적정",IF(AA205&gt;=-2,"소신","상향"))))</x:f>
        <x:v>상향</x:v>
      </x:c>
      <x:c r="AC205" s="75" t="n">
        <x:v>70</x:v>
      </x:c>
      <x:c r="AD205" s="75" t="n">
        <x:v>27.5</x:v>
      </x:c>
      <x:c r="AE205" s="75" t="n">
        <x:v>2.5</x:v>
      </x:c>
      <x:c r="AF205" s="73" t="str">
        <x:v>B: 공식 과목별 70% 백분위 → 단순평균 파생</x:v>
      </x:c>
      <x:c r="AG205" s="73" t="str">
        <x:v>https://adiga.kr/ucp/uvt/uni/univDetailSelection.do?menuId=PCUVTINF2000&amp;searchSyr=2026&amp;unvCd=0000175</x:v>
      </x:c>
    </x:row>
    <x:row r="206" ht="18" customHeight="1">
      <x:c r="A206" s="73" t="n">
        <x:v>2025</x:v>
      </x:c>
      <x:c r="B206" s="73" t="str">
        <x:v>서울특별시</x:v>
      </x:c>
      <x:c r="C206" s="73" t="str">
        <x:v>사립</x:v>
      </x:c>
      <x:c r="D206" s="73" t="str">
        <x:v>중앙대학교</x:v>
      </x:c>
      <x:c r="E206" s="73" t="str">
        <x:v>가</x:v>
      </x:c>
      <x:c r="F206" s="73" t="str">
        <x:v>일반전형</x:v>
      </x:c>
      <x:c r="G206" s="73" t="str">
        <x:v>철학과</x:v>
      </x:c>
      <x:c r="H206" s="73" t="n">
        <x:v>10</x:v>
      </x:c>
      <x:c r="I206" s="73" t="n">
        <x:v>0</x:v>
      </x:c>
      <x:c r="J206" s="73" t="n">
        <x:v>10</x:v>
      </x:c>
      <x:c r="K206" s="74" t="n">
        <x:v>3.6</x:v>
      </x:c>
      <x:c r="L206" s="73" t="n">
        <x:v>8</x:v>
      </x:c>
      <x:c r="M206" s="74" t="n">
        <x:v>761.7</x:v>
      </x:c>
      <x:c r="N206" s="74" t="n">
        <x:v>759.8</x:v>
      </x:c>
      <x:c r="O206" s="74" t="n">
        <x:v>1000</x:v>
      </x:c>
      <x:c r="P206" s="74" t="n">
        <x:v>89</x:v>
      </x:c>
      <x:c r="Q206" s="74" t="n">
        <x:v>90</x:v>
      </x:c>
      <x:c r="R206" s="74" t="n">
        <x:v>99</x:v>
      </x:c>
      <x:c r="S206" s="74" t="n">
        <x:v>88</x:v>
      </x:c>
      <x:c r="T206" s="74" t="n">
        <x:v>2</x:v>
      </x:c>
      <x:c r="U206" s="74" t="n">
        <x:v>2</x:v>
      </x:c>
      <x:c r="V206" s="74"/>
      <x:c r="W206" s="74" t="n">
        <x:f>IF(COUNTA(P206:S206)=4,AVERAGE(P206:S206),"")</x:f>
        <x:v>91.5</x:v>
      </x:c>
      <x:c r="X206" s="74" t="n">
        <x:f>IF(V206&lt;&gt;"",V206,W206)</x:f>
        <x:v>91.5</x:v>
      </x:c>
      <x:c r="Y206" s="73" t="str">
        <x:v>파생 단순평균(참고)</x:v>
      </x:c>
      <x:c r="Z206" s="74" t="n">
        <x:v>80</x:v>
      </x:c>
      <x:c r="AA206" s="74" t="n">
        <x:f>IF(X206&lt;&gt;"",Z206-X206,"")</x:f>
        <x:v>-11.5</x:v>
      </x:c>
      <x:c r="AB206" s="73" t="str">
        <x:f>IF(AA206="","",IF(AA206&gt;=5,"안정",IF(AA206&gt;=1,"적정",IF(AA206&gt;=-2,"소신","상향"))))</x:f>
        <x:v>상향</x:v>
      </x:c>
      <x:c r="AC206" s="75" t="n">
        <x:v>100</x:v>
      </x:c>
      <x:c r="AD206" s="75" t="n">
        <x:v>0</x:v>
      </x:c>
      <x:c r="AE206" s="75" t="n">
        <x:v>0</x:v>
      </x:c>
      <x:c r="AF206" s="73" t="str">
        <x:v>B: 공식 과목별 70% 백분위 → 단순평균 파생</x:v>
      </x:c>
      <x:c r="AG206" s="73" t="str">
        <x:v>https://adiga.kr/ucp/uvt/uni/univDetailSelection.do?menuId=PCUVTINF2000&amp;searchSyr=2026&amp;unvCd=0000175</x:v>
      </x:c>
    </x:row>
    <x:row r="207" ht="18" customHeight="1">
      <x:c r="A207" s="73" t="n">
        <x:v>2025</x:v>
      </x:c>
      <x:c r="B207" s="73" t="str">
        <x:v>서울특별시</x:v>
      </x:c>
      <x:c r="C207" s="73" t="str">
        <x:v>사립</x:v>
      </x:c>
      <x:c r="D207" s="73" t="str">
        <x:v>중앙대학교</x:v>
      </x:c>
      <x:c r="E207" s="73" t="str">
        <x:v>가</x:v>
      </x:c>
      <x:c r="F207" s="73" t="str">
        <x:v>일반전형</x:v>
      </x:c>
      <x:c r="G207" s="73" t="str">
        <x:v>역사학과</x:v>
      </x:c>
      <x:c r="H207" s="73" t="n">
        <x:v>10</x:v>
      </x:c>
      <x:c r="I207" s="73" t="n">
        <x:v>0</x:v>
      </x:c>
      <x:c r="J207" s="73" t="n">
        <x:v>10</x:v>
      </x:c>
      <x:c r="K207" s="74" t="n">
        <x:v>3.4</x:v>
      </x:c>
      <x:c r="L207" s="73" t="n">
        <x:v>8</x:v>
      </x:c>
      <x:c r="M207" s="74" t="n">
        <x:v>761.1</x:v>
      </x:c>
      <x:c r="N207" s="74" t="n">
        <x:v>760.1</x:v>
      </x:c>
      <x:c r="O207" s="74" t="n">
        <x:v>1000</x:v>
      </x:c>
      <x:c r="P207" s="74" t="n">
        <x:v>95</x:v>
      </x:c>
      <x:c r="Q207" s="74" t="n">
        <x:v>89</x:v>
      </x:c>
      <x:c r="R207" s="74" t="n">
        <x:v>95</x:v>
      </x:c>
      <x:c r="S207" s="74" t="n">
        <x:v>88</x:v>
      </x:c>
      <x:c r="T207" s="74" t="n">
        <x:v>3</x:v>
      </x:c>
      <x:c r="U207" s="74" t="n">
        <x:v>2</x:v>
      </x:c>
      <x:c r="V207" s="74"/>
      <x:c r="W207" s="74" t="n">
        <x:f>IF(COUNTA(P207:S207)=4,AVERAGE(P207:S207),"")</x:f>
        <x:v>91.75</x:v>
      </x:c>
      <x:c r="X207" s="74" t="n">
        <x:f>IF(V207&lt;&gt;"",V207,W207)</x:f>
        <x:v>91.75</x:v>
      </x:c>
      <x:c r="Y207" s="73" t="str">
        <x:v>파생 단순평균(참고)</x:v>
      </x:c>
      <x:c r="Z207" s="74" t="n">
        <x:v>80</x:v>
      </x:c>
      <x:c r="AA207" s="74" t="n">
        <x:f>IF(X207&lt;&gt;"",Z207-X207,"")</x:f>
        <x:v>-11.75</x:v>
      </x:c>
      <x:c r="AB207" s="73" t="str">
        <x:f>IF(AA207="","",IF(AA207&gt;=5,"안정",IF(AA207&gt;=1,"적정",IF(AA207&gt;=-2,"소신","상향"))))</x:f>
        <x:v>상향</x:v>
      </x:c>
      <x:c r="AC207" s="75" t="n">
        <x:v>60</x:v>
      </x:c>
      <x:c r="AD207" s="75" t="n">
        <x:v>40</x:v>
      </x:c>
      <x:c r="AE207" s="75" t="n">
        <x:v>0</x:v>
      </x:c>
      <x:c r="AF207" s="73" t="str">
        <x:v>B: 공식 과목별 70% 백분위 → 단순평균 파생</x:v>
      </x:c>
      <x:c r="AG207" s="73" t="str">
        <x:v>https://adiga.kr/ucp/uvt/uni/univDetailSelection.do?menuId=PCUVTINF2000&amp;searchSyr=2026&amp;unvCd=0000175</x:v>
      </x:c>
    </x:row>
    <x:row r="208" ht="18" customHeight="1">
      <x:c r="A208" s="73" t="n">
        <x:v>2025</x:v>
      </x:c>
      <x:c r="B208" s="73" t="str">
        <x:v>서울특별시</x:v>
      </x:c>
      <x:c r="C208" s="73" t="str">
        <x:v>사립</x:v>
      </x:c>
      <x:c r="D208" s="73" t="str">
        <x:v>중앙대학교</x:v>
      </x:c>
      <x:c r="E208" s="73" t="str">
        <x:v>가</x:v>
      </x:c>
      <x:c r="F208" s="73" t="str">
        <x:v>일반전형</x:v>
      </x:c>
      <x:c r="G208" s="73" t="str">
        <x:v>공공인재학부</x:v>
      </x:c>
      <x:c r="H208" s="73" t="n">
        <x:v>54</x:v>
      </x:c>
      <x:c r="I208" s="73" t="n">
        <x:v>0</x:v>
      </x:c>
      <x:c r="J208" s="73" t="n">
        <x:v>54</x:v>
      </x:c>
      <x:c r="K208" s="74" t="n">
        <x:v>3.6</x:v>
      </x:c>
      <x:c r="L208" s="73" t="n">
        <x:v>37</x:v>
      </x:c>
      <x:c r="M208" s="74" t="n">
        <x:v>747.7</x:v>
      </x:c>
      <x:c r="N208" s="74" t="n">
        <x:v>746.6</x:v>
      </x:c>
      <x:c r="O208" s="74" t="n">
        <x:v>1000</x:v>
      </x:c>
      <x:c r="P208" s="74" t="n">
        <x:v>96</x:v>
      </x:c>
      <x:c r="Q208" s="74" t="n">
        <x:v>87</x:v>
      </x:c>
      <x:c r="R208" s="74" t="n">
        <x:v>99</x:v>
      </x:c>
      <x:c r="S208" s="74" t="n">
        <x:v>94</x:v>
      </x:c>
      <x:c r="T208" s="74" t="n">
        <x:v>4</x:v>
      </x:c>
      <x:c r="U208" s="74" t="n">
        <x:v>5</x:v>
      </x:c>
      <x:c r="V208" s="74"/>
      <x:c r="W208" s="74" t="n">
        <x:f>IF(COUNTA(P208:S208)=4,AVERAGE(P208:S208),"")</x:f>
        <x:v>94</x:v>
      </x:c>
      <x:c r="X208" s="74" t="n">
        <x:f>IF(V208&lt;&gt;"",V208,W208)</x:f>
        <x:v>94</x:v>
      </x:c>
      <x:c r="Y208" s="73" t="str">
        <x:v>파생 단순평균(참고)</x:v>
      </x:c>
      <x:c r="Z208" s="74" t="n">
        <x:v>80</x:v>
      </x:c>
      <x:c r="AA208" s="74" t="n">
        <x:f>IF(X208&lt;&gt;"",Z208-X208,"")</x:f>
        <x:v>-14</x:v>
      </x:c>
      <x:c r="AB208" s="73" t="str">
        <x:f>IF(AA208="","",IF(AA208&gt;=5,"안정",IF(AA208&gt;=1,"적정",IF(AA208&gt;=-2,"소신","상향"))))</x:f>
        <x:v>상향</x:v>
      </x:c>
      <x:c r="AC208" s="75" t="n">
        <x:v>39.3</x:v>
      </x:c>
      <x:c r="AD208" s="75" t="n">
        <x:v>60.7</x:v>
      </x:c>
      <x:c r="AE208" s="75" t="n">
        <x:v>0</x:v>
      </x:c>
      <x:c r="AF208" s="73" t="str">
        <x:v>B: 공식 과목별 70% 백분위 → 단순평균 파생</x:v>
      </x:c>
      <x:c r="AG208" s="73" t="str">
        <x:v>https://adiga.kr/ucp/uvt/uni/univDetailSelection.do?menuId=PCUVTINF2000&amp;searchSyr=2026&amp;unvCd=0000175</x:v>
      </x:c>
    </x:row>
    <x:row r="209" ht="18" customHeight="1">
      <x:c r="A209" s="73" t="n">
        <x:v>2025</x:v>
      </x:c>
      <x:c r="B209" s="73" t="str">
        <x:v>서울특별시</x:v>
      </x:c>
      <x:c r="C209" s="73" t="str">
        <x:v>사립</x:v>
      </x:c>
      <x:c r="D209" s="73" t="str">
        <x:v>중앙대학교</x:v>
      </x:c>
      <x:c r="E209" s="73" t="str">
        <x:v>가</x:v>
      </x:c>
      <x:c r="F209" s="73" t="str">
        <x:v>일반전형</x:v>
      </x:c>
      <x:c r="G209" s="73" t="str">
        <x:v>문헌정보학과</x:v>
      </x:c>
      <x:c r="H209" s="73" t="n">
        <x:v>14</x:v>
      </x:c>
      <x:c r="I209" s="73" t="n">
        <x:v>0</x:v>
      </x:c>
      <x:c r="J209" s="73" t="n">
        <x:v>14</x:v>
      </x:c>
      <x:c r="K209" s="74" t="n">
        <x:v>4.2</x:v>
      </x:c>
      <x:c r="L209" s="73" t="n">
        <x:v>9</x:v>
      </x:c>
      <x:c r="M209" s="74" t="n">
        <x:v>748</x:v>
      </x:c>
      <x:c r="N209" s="74" t="n">
        <x:v>746.2</x:v>
      </x:c>
      <x:c r="O209" s="74" t="n">
        <x:v>1000</x:v>
      </x:c>
      <x:c r="P209" s="74" t="n">
        <x:v>94</x:v>
      </x:c>
      <x:c r="Q209" s="74" t="n">
        <x:v>96</x:v>
      </x:c>
      <x:c r="R209" s="74" t="n">
        <x:v>75</x:v>
      </x:c>
      <x:c r="S209" s="74" t="n">
        <x:v>85</x:v>
      </x:c>
      <x:c r="T209" s="74" t="n">
        <x:v>2</x:v>
      </x:c>
      <x:c r="U209" s="74" t="n">
        <x:v>2</x:v>
      </x:c>
      <x:c r="V209" s="74"/>
      <x:c r="W209" s="74" t="n">
        <x:f>IF(COUNTA(P209:S209)=4,AVERAGE(P209:S209),"")</x:f>
        <x:v>87.5</x:v>
      </x:c>
      <x:c r="X209" s="74" t="n">
        <x:f>IF(V209&lt;&gt;"",V209,W209)</x:f>
        <x:v>87.5</x:v>
      </x:c>
      <x:c r="Y209" s="73" t="str">
        <x:v>파생 단순평균(참고)</x:v>
      </x:c>
      <x:c r="Z209" s="74" t="n">
        <x:v>80</x:v>
      </x:c>
      <x:c r="AA209" s="74" t="n">
        <x:f>IF(X209&lt;&gt;"",Z209-X209,"")</x:f>
        <x:v>-7.5</x:v>
      </x:c>
      <x:c r="AB209" s="73" t="str">
        <x:f>IF(AA209="","",IF(AA209&gt;=5,"안정",IF(AA209&gt;=1,"적정",IF(AA209&gt;=-2,"소신","상향"))))</x:f>
        <x:v>상향</x:v>
      </x:c>
      <x:c r="AC209" s="75" t="n">
        <x:v>7.1</x:v>
      </x:c>
      <x:c r="AD209" s="75" t="n">
        <x:v>92.9</x:v>
      </x:c>
      <x:c r="AE209" s="75" t="n">
        <x:v>0</x:v>
      </x:c>
      <x:c r="AF209" s="73" t="str">
        <x:v>B: 공식 과목별 70% 백분위 → 단순평균 파생</x:v>
      </x:c>
      <x:c r="AG209" s="73" t="str">
        <x:v>https://adiga.kr/ucp/uvt/uni/univDetailSelection.do?menuId=PCUVTINF2000&amp;searchSyr=2026&amp;unvCd=0000175</x:v>
      </x:c>
    </x:row>
    <x:row r="210" ht="18" customHeight="1">
      <x:c r="A210" s="73" t="n">
        <x:v>2025</x:v>
      </x:c>
      <x:c r="B210" s="73" t="str">
        <x:v>서울특별시</x:v>
      </x:c>
      <x:c r="C210" s="73" t="str">
        <x:v>사립</x:v>
      </x:c>
      <x:c r="D210" s="73" t="str">
        <x:v>중앙대학교</x:v>
      </x:c>
      <x:c r="E210" s="73" t="str">
        <x:v>가</x:v>
      </x:c>
      <x:c r="F210" s="73" t="str">
        <x:v>일반전형</x:v>
      </x:c>
      <x:c r="G210" s="73" t="str">
        <x:v>미디어커뮤니케이션학부</x:v>
      </x:c>
      <x:c r="H210" s="73" t="n">
        <x:v>24</x:v>
      </x:c>
      <x:c r="I210" s="73" t="n">
        <x:v>0</x:v>
      </x:c>
      <x:c r="J210" s="73" t="n">
        <x:v>24</x:v>
      </x:c>
      <x:c r="K210" s="74" t="n">
        <x:v>3.9</x:v>
      </x:c>
      <x:c r="L210" s="73" t="n">
        <x:v>15</x:v>
      </x:c>
      <x:c r="M210" s="74" t="n">
        <x:v>747.6</x:v>
      </x:c>
      <x:c r="N210" s="74" t="n">
        <x:v>746.2</x:v>
      </x:c>
      <x:c r="O210" s="74" t="n">
        <x:v>1000</x:v>
      </x:c>
      <x:c r="P210" s="74" t="n">
        <x:v>77</x:v>
      </x:c>
      <x:c r="Q210" s="74" t="n">
        <x:v>98</x:v>
      </x:c>
      <x:c r="R210" s="74" t="n">
        <x:v>90</x:v>
      </x:c>
      <x:c r="S210" s="74" t="n">
        <x:v>94</x:v>
      </x:c>
      <x:c r="T210" s="74" t="n">
        <x:v>2</x:v>
      </x:c>
      <x:c r="U210" s="74" t="n">
        <x:v>2</x:v>
      </x:c>
      <x:c r="V210" s="74"/>
      <x:c r="W210" s="74" t="n">
        <x:f>IF(COUNTA(P210:S210)=4,AVERAGE(P210:S210),"")</x:f>
        <x:v>89.75</x:v>
      </x:c>
      <x:c r="X210" s="74" t="n">
        <x:f>IF(V210&lt;&gt;"",V210,W210)</x:f>
        <x:v>89.75</x:v>
      </x:c>
      <x:c r="Y210" s="73" t="str">
        <x:v>파생 단순평균(참고)</x:v>
      </x:c>
      <x:c r="Z210" s="74" t="n">
        <x:v>80</x:v>
      </x:c>
      <x:c r="AA210" s="74" t="n">
        <x:f>IF(X210&lt;&gt;"",Z210-X210,"")</x:f>
        <x:v>-9.75</x:v>
      </x:c>
      <x:c r="AB210" s="73" t="str">
        <x:f>IF(AA210="","",IF(AA210&gt;=5,"안정",IF(AA210&gt;=1,"적정",IF(AA210&gt;=-2,"소신","상향"))))</x:f>
        <x:v>상향</x:v>
      </x:c>
      <x:c r="AC210" s="75" t="n">
        <x:v>30.4</x:v>
      </x:c>
      <x:c r="AD210" s="75" t="n">
        <x:v>69.6</x:v>
      </x:c>
      <x:c r="AE210" s="75" t="n">
        <x:v>0</x:v>
      </x:c>
      <x:c r="AF210" s="73" t="str">
        <x:v>B: 공식 과목별 70% 백분위 → 단순평균 파생</x:v>
      </x:c>
      <x:c r="AG210" s="73" t="str">
        <x:v>https://adiga.kr/ucp/uvt/uni/univDetailSelection.do?menuId=PCUVTINF2000&amp;searchSyr=2026&amp;unvCd=0000175</x:v>
      </x:c>
    </x:row>
    <x:row r="211" ht="18" customHeight="1">
      <x:c r="A211" s="73" t="n">
        <x:v>2025</x:v>
      </x:c>
      <x:c r="B211" s="73" t="str">
        <x:v>서울특별시</x:v>
      </x:c>
      <x:c r="C211" s="73" t="str">
        <x:v>사립</x:v>
      </x:c>
      <x:c r="D211" s="73" t="str">
        <x:v>중앙대학교</x:v>
      </x:c>
      <x:c r="E211" s="73" t="str">
        <x:v>가</x:v>
      </x:c>
      <x:c r="F211" s="73" t="str">
        <x:v>일반전형</x:v>
      </x:c>
      <x:c r="G211" s="73" t="str">
        <x:v>도시계획ㆍ부동산학과</x:v>
      </x:c>
      <x:c r="H211" s="73" t="n">
        <x:v>18</x:v>
      </x:c>
      <x:c r="I211" s="73" t="n">
        <x:v>0</x:v>
      </x:c>
      <x:c r="J211" s="73" t="n">
        <x:v>18</x:v>
      </x:c>
      <x:c r="K211" s="74" t="n">
        <x:v>3.7</x:v>
      </x:c>
      <x:c r="L211" s="73" t="n">
        <x:v>17</x:v>
      </x:c>
      <x:c r="M211" s="74" t="n">
        <x:v>747.9</x:v>
      </x:c>
      <x:c r="N211" s="74" t="n">
        <x:v>747.2</x:v>
      </x:c>
      <x:c r="O211" s="74" t="n">
        <x:v>1000</x:v>
      </x:c>
      <x:c r="P211" s="74" t="n">
        <x:v>89</x:v>
      </x:c>
      <x:c r="Q211" s="74" t="n">
        <x:v>90</x:v>
      </x:c>
      <x:c r="R211" s="74" t="n">
        <x:v>97</x:v>
      </x:c>
      <x:c r="S211" s="74" t="n">
        <x:v>92</x:v>
      </x:c>
      <x:c r="T211" s="74" t="n">
        <x:v>1</x:v>
      </x:c>
      <x:c r="U211" s="74" t="n">
        <x:v>1</x:v>
      </x:c>
      <x:c r="V211" s="74"/>
      <x:c r="W211" s="74" t="n">
        <x:f>IF(COUNTA(P211:S211)=4,AVERAGE(P211:S211),"")</x:f>
        <x:v>92</x:v>
      </x:c>
      <x:c r="X211" s="74" t="n">
        <x:f>IF(V211&lt;&gt;"",V211,W211)</x:f>
        <x:v>92</x:v>
      </x:c>
      <x:c r="Y211" s="73" t="str">
        <x:v>파생 단순평균(참고)</x:v>
      </x:c>
      <x:c r="Z211" s="74" t="n">
        <x:v>80</x:v>
      </x:c>
      <x:c r="AA211" s="74" t="n">
        <x:f>IF(X211&lt;&gt;"",Z211-X211,"")</x:f>
        <x:v>-12</x:v>
      </x:c>
      <x:c r="AB211" s="73" t="str">
        <x:f>IF(AA211="","",IF(AA211&gt;=5,"안정",IF(AA211&gt;=1,"적정",IF(AA211&gt;=-2,"소신","상향"))))</x:f>
        <x:v>상향</x:v>
      </x:c>
      <x:c r="AC211" s="75" t="n">
        <x:v>33.3</x:v>
      </x:c>
      <x:c r="AD211" s="75" t="n">
        <x:v>61.1</x:v>
      </x:c>
      <x:c r="AE211" s="75" t="n">
        <x:v>5.6</x:v>
      </x:c>
      <x:c r="AF211" s="73" t="str">
        <x:v>B: 공식 과목별 70% 백분위 → 단순평균 파생</x:v>
      </x:c>
      <x:c r="AG211" s="73" t="str">
        <x:v>https://adiga.kr/ucp/uvt/uni/univDetailSelection.do?menuId=PCUVTINF2000&amp;searchSyr=2026&amp;unvCd=0000175</x:v>
      </x:c>
    </x:row>
    <x:row r="212" ht="18" customHeight="1">
      <x:c r="A212" s="73" t="n">
        <x:v>2025</x:v>
      </x:c>
      <x:c r="B212" s="73" t="str">
        <x:v>서울특별시</x:v>
      </x:c>
      <x:c r="C212" s="73" t="str">
        <x:v>사립</x:v>
      </x:c>
      <x:c r="D212" s="73" t="str">
        <x:v>중앙대학교</x:v>
      </x:c>
      <x:c r="E212" s="73" t="str">
        <x:v>가</x:v>
      </x:c>
      <x:c r="F212" s="73" t="str">
        <x:v>일반전형</x:v>
      </x:c>
      <x:c r="G212" s="73" t="str">
        <x:v>화학과</x:v>
      </x:c>
      <x:c r="H212" s="73" t="n">
        <x:v>16</x:v>
      </x:c>
      <x:c r="I212" s="73" t="n">
        <x:v>1</x:v>
      </x:c>
      <x:c r="J212" s="73" t="n">
        <x:v>17</x:v>
      </x:c>
      <x:c r="K212" s="74" t="n">
        <x:v>4.4</x:v>
      </x:c>
      <x:c r="L212" s="73" t="n">
        <x:v>19</x:v>
      </x:c>
      <x:c r="M212" s="74" t="n">
        <x:v>764.4</x:v>
      </x:c>
      <x:c r="N212" s="74" t="n">
        <x:v>763.9</x:v>
      </x:c>
      <x:c r="O212" s="74" t="n">
        <x:v>1000</x:v>
      </x:c>
      <x:c r="P212" s="74" t="n">
        <x:v>93</x:v>
      </x:c>
      <x:c r="Q212" s="74" t="n">
        <x:v>90</x:v>
      </x:c>
      <x:c r="R212" s="74" t="n">
        <x:v>90</x:v>
      </x:c>
      <x:c r="S212" s="74" t="n">
        <x:v>98</x:v>
      </x:c>
      <x:c r="T212" s="74" t="n">
        <x:v>2</x:v>
      </x:c>
      <x:c r="U212" s="74" t="n">
        <x:v>3</x:v>
      </x:c>
      <x:c r="V212" s="74"/>
      <x:c r="W212" s="74" t="n">
        <x:f>IF(COUNTA(P212:S212)=4,AVERAGE(P212:S212),"")</x:f>
        <x:v>92.75</x:v>
      </x:c>
      <x:c r="X212" s="74" t="n">
        <x:f>IF(V212&lt;&gt;"",V212,W212)</x:f>
        <x:v>92.75</x:v>
      </x:c>
      <x:c r="Y212" s="73" t="str">
        <x:v>파생 단순평균(참고)</x:v>
      </x:c>
      <x:c r="Z212" s="74" t="n">
        <x:v>80</x:v>
      </x:c>
      <x:c r="AA212" s="74" t="n">
        <x:f>IF(X212&lt;&gt;"",Z212-X212,"")</x:f>
        <x:v>-12.75</x:v>
      </x:c>
      <x:c r="AB212" s="73" t="str">
        <x:f>IF(AA212="","",IF(AA212&gt;=5,"안정",IF(AA212&gt;=1,"적정",IF(AA212&gt;=-2,"소신","상향"))))</x:f>
        <x:v>상향</x:v>
      </x:c>
      <x:c r="AC212" s="75" t="n">
        <x:v>0</x:v>
      </x:c>
      <x:c r="AD212" s="75" t="n">
        <x:v>100</x:v>
      </x:c>
      <x:c r="AE212" s="75" t="n">
        <x:v>0</x:v>
      </x:c>
      <x:c r="AF212" s="73" t="str">
        <x:v>B: 공식 과목별 70% 백분위 → 단순평균 파생</x:v>
      </x:c>
      <x:c r="AG212" s="73" t="str">
        <x:v>https://adiga.kr/ucp/uvt/uni/univDetailSelection.do?menuId=PCUVTINF2000&amp;searchSyr=2026&amp;unvCd=0000175</x:v>
      </x:c>
    </x:row>
    <x:row r="213" ht="18" customHeight="1">
      <x:c r="A213" s="73" t="n">
        <x:v>2025</x:v>
      </x:c>
      <x:c r="B213" s="73" t="str">
        <x:v>서울특별시</x:v>
      </x:c>
      <x:c r="C213" s="73" t="str">
        <x:v>사립</x:v>
      </x:c>
      <x:c r="D213" s="73" t="str">
        <x:v>중앙대학교</x:v>
      </x:c>
      <x:c r="E213" s="73" t="str">
        <x:v>가</x:v>
      </x:c>
      <x:c r="F213" s="73" t="str">
        <x:v>일반전형</x:v>
      </x:c>
      <x:c r="G213" s="73" t="str">
        <x:v>수학과</x:v>
      </x:c>
      <x:c r="H213" s="73" t="n">
        <x:v>16</x:v>
      </x:c>
      <x:c r="I213" s="73" t="n">
        <x:v>0</x:v>
      </x:c>
      <x:c r="J213" s="73" t="n">
        <x:v>16</x:v>
      </x:c>
      <x:c r="K213" s="74" t="n">
        <x:v>4.4</x:v>
      </x:c>
      <x:c r="L213" s="73" t="n">
        <x:v>12</x:v>
      </x:c>
      <x:c r="M213" s="74" t="n">
        <x:v>763.2</x:v>
      </x:c>
      <x:c r="N213" s="74" t="n">
        <x:v>762.9</x:v>
      </x:c>
      <x:c r="O213" s="74" t="n">
        <x:v>1000</x:v>
      </x:c>
      <x:c r="P213" s="74" t="n">
        <x:v>97</x:v>
      </x:c>
      <x:c r="Q213" s="74" t="n">
        <x:v>85</x:v>
      </x:c>
      <x:c r="R213" s="74" t="n">
        <x:v>94</x:v>
      </x:c>
      <x:c r="S213" s="74" t="n">
        <x:v>93</x:v>
      </x:c>
      <x:c r="T213" s="74" t="n">
        <x:v>2</x:v>
      </x:c>
      <x:c r="U213" s="74" t="n">
        <x:v>1</x:v>
      </x:c>
      <x:c r="V213" s="74"/>
      <x:c r="W213" s="74" t="n">
        <x:f>IF(COUNTA(P213:S213)=4,AVERAGE(P213:S213),"")</x:f>
        <x:v>92.25</x:v>
      </x:c>
      <x:c r="X213" s="74" t="n">
        <x:f>IF(V213&lt;&gt;"",V213,W213)</x:f>
        <x:v>92.25</x:v>
      </x:c>
      <x:c r="Y213" s="73" t="str">
        <x:v>파생 단순평균(참고)</x:v>
      </x:c>
      <x:c r="Z213" s="74" t="n">
        <x:v>80</x:v>
      </x:c>
      <x:c r="AA213" s="74" t="n">
        <x:f>IF(X213&lt;&gt;"",Z213-X213,"")</x:f>
        <x:v>-12.25</x:v>
      </x:c>
      <x:c r="AB213" s="73" t="str">
        <x:f>IF(AA213="","",IF(AA213&gt;=5,"안정",IF(AA213&gt;=1,"적정",IF(AA213&gt;=-2,"소신","상향"))))</x:f>
        <x:v>상향</x:v>
      </x:c>
      <x:c r="AC213" s="75" t="n">
        <x:v>0</x:v>
      </x:c>
      <x:c r="AD213" s="75" t="n">
        <x:v>100</x:v>
      </x:c>
      <x:c r="AE213" s="75" t="n">
        <x:v>0</x:v>
      </x:c>
      <x:c r="AF213" s="73" t="str">
        <x:v>B: 공식 과목별 70% 백분위 → 단순평균 파생</x:v>
      </x:c>
      <x:c r="AG213" s="73" t="str">
        <x:v>https://adiga.kr/ucp/uvt/uni/univDetailSelection.do?menuId=PCUVTINF2000&amp;searchSyr=2026&amp;unvCd=0000175</x:v>
      </x:c>
    </x:row>
    <x:row r="214" ht="18" customHeight="1">
      <x:c r="A214" s="73" t="n">
        <x:v>2025</x:v>
      </x:c>
      <x:c r="B214" s="73" t="str">
        <x:v>서울특별시</x:v>
      </x:c>
      <x:c r="C214" s="73" t="str">
        <x:v>사립</x:v>
      </x:c>
      <x:c r="D214" s="73" t="str">
        <x:v>중앙대학교</x:v>
      </x:c>
      <x:c r="E214" s="73" t="str">
        <x:v>가</x:v>
      </x:c>
      <x:c r="F214" s="73" t="str">
        <x:v>일반전형</x:v>
      </x:c>
      <x:c r="G214" s="73" t="str">
        <x:v>화학공학과</x:v>
      </x:c>
      <x:c r="H214" s="73" t="n">
        <x:v>35</x:v>
      </x:c>
      <x:c r="I214" s="73" t="n">
        <x:v>0</x:v>
      </x:c>
      <x:c r="J214" s="73" t="n">
        <x:v>35</x:v>
      </x:c>
      <x:c r="K214" s="74" t="n">
        <x:v>4.3</x:v>
      </x:c>
      <x:c r="L214" s="73" t="n">
        <x:v>46</x:v>
      </x:c>
      <x:c r="M214" s="74" t="n">
        <x:v>763.2</x:v>
      </x:c>
      <x:c r="N214" s="74" t="n">
        <x:v>760</x:v>
      </x:c>
      <x:c r="O214" s="74" t="n">
        <x:v>1000</x:v>
      </x:c>
      <x:c r="P214" s="74" t="n">
        <x:v>92</x:v>
      </x:c>
      <x:c r="Q214" s="74" t="n">
        <x:v>90</x:v>
      </x:c>
      <x:c r="R214" s="74" t="n">
        <x:v>94</x:v>
      </x:c>
      <x:c r="S214" s="74" t="n">
        <x:v>96</x:v>
      </x:c>
      <x:c r="T214" s="74" t="n">
        <x:v>3</x:v>
      </x:c>
      <x:c r="U214" s="74" t="n">
        <x:v>1</x:v>
      </x:c>
      <x:c r="V214" s="74"/>
      <x:c r="W214" s="74" t="n">
        <x:f>IF(COUNTA(P214:S214)=4,AVERAGE(P214:S214),"")</x:f>
        <x:v>93</x:v>
      </x:c>
      <x:c r="X214" s="74" t="n">
        <x:f>IF(V214&lt;&gt;"",V214,W214)</x:f>
        <x:v>93</x:v>
      </x:c>
      <x:c r="Y214" s="73" t="str">
        <x:v>파생 단순평균(참고)</x:v>
      </x:c>
      <x:c r="Z214" s="74" t="n">
        <x:v>80</x:v>
      </x:c>
      <x:c r="AA214" s="74" t="n">
        <x:f>IF(X214&lt;&gt;"",Z214-X214,"")</x:f>
        <x:v>-13</x:v>
      </x:c>
      <x:c r="AB214" s="73" t="str">
        <x:f>IF(AA214="","",IF(AA214&gt;=5,"안정",IF(AA214&gt;=1,"적정",IF(AA214&gt;=-2,"소신","상향"))))</x:f>
        <x:v>상향</x:v>
      </x:c>
      <x:c r="AC214" s="75" t="n">
        <x:v>0</x:v>
      </x:c>
      <x:c r="AD214" s="75" t="n">
        <x:v>91.7</x:v>
      </x:c>
      <x:c r="AE214" s="75" t="n">
        <x:v>8.3</x:v>
      </x:c>
      <x:c r="AF214" s="73" t="str">
        <x:v>B: 공식 과목별 70% 백분위 → 단순평균 파생</x:v>
      </x:c>
      <x:c r="AG214" s="73" t="str">
        <x:v>https://adiga.kr/ucp/uvt/uni/univDetailSelection.do?menuId=PCUVTINF2000&amp;searchSyr=2026&amp;unvCd=0000175</x:v>
      </x:c>
    </x:row>
    <x:row r="215" ht="18" customHeight="1">
      <x:c r="A215" s="73" t="n">
        <x:v>2025</x:v>
      </x:c>
      <x:c r="B215" s="73" t="str">
        <x:v>서울특별시</x:v>
      </x:c>
      <x:c r="C215" s="73" t="str">
        <x:v>사립</x:v>
      </x:c>
      <x:c r="D215" s="73" t="str">
        <x:v>중앙대학교</x:v>
      </x:c>
      <x:c r="E215" s="73" t="str">
        <x:v>가</x:v>
      </x:c>
      <x:c r="F215" s="73" t="str">
        <x:v>일반전형</x:v>
      </x:c>
      <x:c r="G215" s="73" t="str">
        <x:v>기계공학부</x:v>
      </x:c>
      <x:c r="H215" s="73" t="n">
        <x:v>68</x:v>
      </x:c>
      <x:c r="I215" s="73" t="n">
        <x:v>1</x:v>
      </x:c>
      <x:c r="J215" s="73" t="n">
        <x:v>69</x:v>
      </x:c>
      <x:c r="K215" s="74" t="n">
        <x:v>3.8</x:v>
      </x:c>
      <x:c r="L215" s="73" t="n">
        <x:v>100</x:v>
      </x:c>
      <x:c r="M215" s="74" t="n">
        <x:v>763.7</x:v>
      </x:c>
      <x:c r="N215" s="74" t="n">
        <x:v>762.8</x:v>
      </x:c>
      <x:c r="O215" s="74" t="n">
        <x:v>1000</x:v>
      </x:c>
      <x:c r="P215" s="74" t="n">
        <x:v>83</x:v>
      </x:c>
      <x:c r="Q215" s="74" t="n">
        <x:v>93</x:v>
      </x:c>
      <x:c r="R215" s="74" t="n">
        <x:v>99</x:v>
      </x:c>
      <x:c r="S215" s="74" t="n">
        <x:v>98</x:v>
      </x:c>
      <x:c r="T215" s="74" t="n">
        <x:v>3</x:v>
      </x:c>
      <x:c r="U215" s="74" t="n">
        <x:v>1</x:v>
      </x:c>
      <x:c r="V215" s="74"/>
      <x:c r="W215" s="74" t="n">
        <x:f>IF(COUNTA(P215:S215)=4,AVERAGE(P215:S215),"")</x:f>
        <x:v>93.25</x:v>
      </x:c>
      <x:c r="X215" s="74" t="n">
        <x:f>IF(V215&lt;&gt;"",V215,W215)</x:f>
        <x:v>93.25</x:v>
      </x:c>
      <x:c r="Y215" s="73" t="str">
        <x:v>파생 단순평균(참고)</x:v>
      </x:c>
      <x:c r="Z215" s="74" t="n">
        <x:v>80</x:v>
      </x:c>
      <x:c r="AA215" s="74" t="n">
        <x:f>IF(X215&lt;&gt;"",Z215-X215,"")</x:f>
        <x:v>-13.25</x:v>
      </x:c>
      <x:c r="AB215" s="73" t="str">
        <x:f>IF(AA215="","",IF(AA215&gt;=5,"안정",IF(AA215&gt;=1,"적정",IF(AA215&gt;=-2,"소신","상향"))))</x:f>
        <x:v>상향</x:v>
      </x:c>
      <x:c r="AC215" s="75" t="n">
        <x:v>1.4</x:v>
      </x:c>
      <x:c r="AD215" s="75" t="n">
        <x:v>97.1</x:v>
      </x:c>
      <x:c r="AE215" s="75" t="n">
        <x:v>1.4</x:v>
      </x:c>
      <x:c r="AF215" s="73" t="str">
        <x:v>B: 공식 과목별 70% 백분위 → 단순평균 파생</x:v>
      </x:c>
      <x:c r="AG215" s="73" t="str">
        <x:v>https://adiga.kr/ucp/uvt/uni/univDetailSelection.do?menuId=PCUVTINF2000&amp;searchSyr=2026&amp;unvCd=0000175</x:v>
      </x:c>
    </x:row>
    <x:row r="216" ht="18" customHeight="1">
      <x:c r="A216" s="73" t="n">
        <x:v>2025</x:v>
      </x:c>
      <x:c r="B216" s="73" t="str">
        <x:v>서울특별시</x:v>
      </x:c>
      <x:c r="C216" s="73" t="str">
        <x:v>사립</x:v>
      </x:c>
      <x:c r="D216" s="73" t="str">
        <x:v>중앙대학교</x:v>
      </x:c>
      <x:c r="E216" s="73" t="str">
        <x:v>가</x:v>
      </x:c>
      <x:c r="F216" s="73" t="str">
        <x:v>일반전형</x:v>
      </x:c>
      <x:c r="G216" s="73" t="str">
        <x:v>AI학과</x:v>
      </x:c>
      <x:c r="H216" s="73" t="n">
        <x:v>18</x:v>
      </x:c>
      <x:c r="I216" s="73" t="n">
        <x:v>0</x:v>
      </x:c>
      <x:c r="J216" s="73" t="n">
        <x:v>18</x:v>
      </x:c>
      <x:c r="K216" s="74" t="n">
        <x:v>4.9</x:v>
      </x:c>
      <x:c r="L216" s="73" t="n">
        <x:v>15</x:v>
      </x:c>
      <x:c r="M216" s="74" t="n">
        <x:v>768</x:v>
      </x:c>
      <x:c r="N216" s="74" t="n">
        <x:v>764.1</x:v>
      </x:c>
      <x:c r="O216" s="74" t="n">
        <x:v>1000</x:v>
      </x:c>
      <x:c r="P216" s="74" t="n">
        <x:v>88</x:v>
      </x:c>
      <x:c r="Q216" s="74" t="n">
        <x:v>97</x:v>
      </x:c>
      <x:c r="R216" s="74" t="n">
        <x:v>98</x:v>
      </x:c>
      <x:c r="S216" s="74" t="n">
        <x:v>77</x:v>
      </x:c>
      <x:c r="T216" s="74" t="n">
        <x:v>1</x:v>
      </x:c>
      <x:c r="U216" s="74" t="n">
        <x:v>3</x:v>
      </x:c>
      <x:c r="V216" s="74"/>
      <x:c r="W216" s="74" t="n">
        <x:f>IF(COUNTA(P216:S216)=4,AVERAGE(P216:S216),"")</x:f>
        <x:v>90</x:v>
      </x:c>
      <x:c r="X216" s="74" t="n">
        <x:f>IF(V216&lt;&gt;"",V216,W216)</x:f>
        <x:v>90</x:v>
      </x:c>
      <x:c r="Y216" s="73" t="str">
        <x:v>파생 단순평균(참고)</x:v>
      </x:c>
      <x:c r="Z216" s="74" t="n">
        <x:v>80</x:v>
      </x:c>
      <x:c r="AA216" s="74" t="n">
        <x:f>IF(X216&lt;&gt;"",Z216-X216,"")</x:f>
        <x:v>-10</x:v>
      </x:c>
      <x:c r="AB216" s="73" t="str">
        <x:f>IF(AA216="","",IF(AA216&gt;=5,"안정",IF(AA216&gt;=1,"적정",IF(AA216&gt;=-2,"소신","상향"))))</x:f>
        <x:v>상향</x:v>
      </x:c>
      <x:c r="AC216" s="75" t="n">
        <x:v>0</x:v>
      </x:c>
      <x:c r="AD216" s="75" t="n">
        <x:v>94.4</x:v>
      </x:c>
      <x:c r="AE216" s="75" t="n">
        <x:v>5.6</x:v>
      </x:c>
      <x:c r="AF216" s="73" t="str">
        <x:v>B: 공식 과목별 70% 백분위 → 단순평균 파생</x:v>
      </x:c>
      <x:c r="AG216" s="73" t="str">
        <x:v>https://adiga.kr/ucp/uvt/uni/univDetailSelection.do?menuId=PCUVTINF2000&amp;searchSyr=2026&amp;unvCd=0000175</x:v>
      </x:c>
    </x:row>
    <x:row r="217" ht="18" customHeight="1">
      <x:c r="A217" s="73" t="n">
        <x:v>2025</x:v>
      </x:c>
      <x:c r="B217" s="73" t="str">
        <x:v>서울특별시</x:v>
      </x:c>
      <x:c r="C217" s="73" t="str">
        <x:v>사립</x:v>
      </x:c>
      <x:c r="D217" s="73" t="str">
        <x:v>중앙대학교</x:v>
      </x:c>
      <x:c r="E217" s="73" t="str">
        <x:v>가</x:v>
      </x:c>
      <x:c r="F217" s="73" t="str">
        <x:v>일반전형</x:v>
      </x:c>
      <x:c r="G217" s="73" t="str">
        <x:v>유아교육과</x:v>
      </x:c>
      <x:c r="H217" s="73" t="n">
        <x:v>10</x:v>
      </x:c>
      <x:c r="I217" s="73" t="n">
        <x:v>1</x:v>
      </x:c>
      <x:c r="J217" s="73" t="n">
        <x:v>11</x:v>
      </x:c>
      <x:c r="K217" s="74" t="n">
        <x:v>3.8</x:v>
      </x:c>
      <x:c r="L217" s="73" t="n">
        <x:v>9</x:v>
      </x:c>
      <x:c r="M217" s="74" t="n">
        <x:v>760.2</x:v>
      </x:c>
      <x:c r="N217" s="74" t="n">
        <x:v>759.3</x:v>
      </x:c>
      <x:c r="O217" s="74" t="n">
        <x:v>1000</x:v>
      </x:c>
      <x:c r="P217" s="74" t="n">
        <x:v>93</x:v>
      </x:c>
      <x:c r="Q217" s="74" t="n">
        <x:v>89</x:v>
      </x:c>
      <x:c r="R217" s="74" t="n">
        <x:v>93</x:v>
      </x:c>
      <x:c r="S217" s="74" t="n">
        <x:v>95</x:v>
      </x:c>
      <x:c r="T217" s="74" t="n">
        <x:v>3</x:v>
      </x:c>
      <x:c r="U217" s="74" t="n">
        <x:v>1</x:v>
      </x:c>
      <x:c r="V217" s="74"/>
      <x:c r="W217" s="74" t="n">
        <x:f>IF(COUNTA(P217:S217)=4,AVERAGE(P217:S217),"")</x:f>
        <x:v>92.5</x:v>
      </x:c>
      <x:c r="X217" s="74" t="n">
        <x:f>IF(V217&lt;&gt;"",V217,W217)</x:f>
        <x:v>92.5</x:v>
      </x:c>
      <x:c r="Y217" s="73" t="str">
        <x:v>파생 단순평균(참고)</x:v>
      </x:c>
      <x:c r="Z217" s="74" t="n">
        <x:v>80</x:v>
      </x:c>
      <x:c r="AA217" s="74" t="n">
        <x:f>IF(X217&lt;&gt;"",Z217-X217,"")</x:f>
        <x:v>-12.5</x:v>
      </x:c>
      <x:c r="AB217" s="73" t="str">
        <x:f>IF(AA217="","",IF(AA217&gt;=5,"안정",IF(AA217&gt;=1,"적정",IF(AA217&gt;=-2,"소신","상향"))))</x:f>
        <x:v>상향</x:v>
      </x:c>
      <x:c r="AC217" s="75" t="n">
        <x:v>63.6</x:v>
      </x:c>
      <x:c r="AD217" s="75" t="n">
        <x:v>27.3</x:v>
      </x:c>
      <x:c r="AE217" s="75" t="n">
        <x:v>9.1</x:v>
      </x:c>
      <x:c r="AF217" s="73" t="str">
        <x:v>B: 공식 과목별 70% 백분위 → 단순평균 파생</x:v>
      </x:c>
      <x:c r="AG217" s="73" t="str">
        <x:v>https://adiga.kr/ucp/uvt/uni/univDetailSelection.do?menuId=PCUVTINF2000&amp;searchSyr=2026&amp;unvCd=0000175</x:v>
      </x:c>
    </x:row>
    <x:row r="218" ht="18" customHeight="1">
      <x:c r="A218" s="73" t="n">
        <x:v>2025</x:v>
      </x:c>
      <x:c r="B218" s="73" t="str">
        <x:v>서울특별시</x:v>
      </x:c>
      <x:c r="C218" s="73" t="str">
        <x:v>사립</x:v>
      </x:c>
      <x:c r="D218" s="73" t="str">
        <x:v>중앙대학교</x:v>
      </x:c>
      <x:c r="E218" s="73" t="str">
        <x:v>가</x:v>
      </x:c>
      <x:c r="F218" s="73" t="str">
        <x:v>일반전형</x:v>
      </x:c>
      <x:c r="G218" s="73" t="str">
        <x:v>경영학부(글로벌금융)</x:v>
      </x:c>
      <x:c r="H218" s="73" t="n">
        <x:v>26</x:v>
      </x:c>
      <x:c r="I218" s="73" t="n">
        <x:v>0</x:v>
      </x:c>
      <x:c r="J218" s="73" t="n">
        <x:v>26</x:v>
      </x:c>
      <x:c r="K218" s="74" t="n">
        <x:v>3.6</x:v>
      </x:c>
      <x:c r="L218" s="73" t="n">
        <x:v>17</x:v>
      </x:c>
      <x:c r="M218" s="74" t="n">
        <x:v>750.8</x:v>
      </x:c>
      <x:c r="N218" s="74" t="n">
        <x:v>746.3</x:v>
      </x:c>
      <x:c r="O218" s="74" t="n">
        <x:v>1000</x:v>
      </x:c>
      <x:c r="P218" s="74" t="n">
        <x:v>86</x:v>
      </x:c>
      <x:c r="Q218" s="74" t="n">
        <x:v>98</x:v>
      </x:c>
      <x:c r="R218" s="74" t="n">
        <x:v>72</x:v>
      </x:c>
      <x:c r="S218" s="74" t="n">
        <x:v>93</x:v>
      </x:c>
      <x:c r="T218" s="74" t="n">
        <x:v>3</x:v>
      </x:c>
      <x:c r="U218" s="74" t="n">
        <x:v>1</x:v>
      </x:c>
      <x:c r="V218" s="74"/>
      <x:c r="W218" s="74" t="n">
        <x:f>IF(COUNTA(P218:S218)=4,AVERAGE(P218:S218),"")</x:f>
        <x:v>87.25</x:v>
      </x:c>
      <x:c r="X218" s="74" t="n">
        <x:f>IF(V218&lt;&gt;"",V218,W218)</x:f>
        <x:v>87.25</x:v>
      </x:c>
      <x:c r="Y218" s="73" t="str">
        <x:v>파생 단순평균(참고)</x:v>
      </x:c>
      <x:c r="Z218" s="74" t="n">
        <x:v>80</x:v>
      </x:c>
      <x:c r="AA218" s="74" t="n">
        <x:f>IF(X218&lt;&gt;"",Z218-X218,"")</x:f>
        <x:v>-7.25</x:v>
      </x:c>
      <x:c r="AB218" s="73" t="str">
        <x:f>IF(AA218="","",IF(AA218&gt;=5,"안정",IF(AA218&gt;=1,"적정",IF(AA218&gt;=-2,"소신","상향"))))</x:f>
        <x:v>상향</x:v>
      </x:c>
      <x:c r="AC218" s="75" t="n">
        <x:v>23.1</x:v>
      </x:c>
      <x:c r="AD218" s="75" t="n">
        <x:v>76.9</x:v>
      </x:c>
      <x:c r="AE218" s="75" t="n">
        <x:v>0</x:v>
      </x:c>
      <x:c r="AF218" s="73" t="str">
        <x:v>B: 공식 과목별 70% 백분위 → 단순평균 파생</x:v>
      </x:c>
      <x:c r="AG218" s="73" t="str">
        <x:v>https://adiga.kr/ucp/uvt/uni/univDetailSelection.do?menuId=PCUVTINF2000&amp;searchSyr=2026&amp;unvCd=0000175</x:v>
      </x:c>
    </x:row>
    <x:row r="219" ht="18" customHeight="1">
      <x:c r="A219" s="73" t="n">
        <x:v>2025</x:v>
      </x:c>
      <x:c r="B219" s="73" t="str">
        <x:v>서울특별시</x:v>
      </x:c>
      <x:c r="C219" s="73" t="str">
        <x:v>사립</x:v>
      </x:c>
      <x:c r="D219" s="73" t="str">
        <x:v>중앙대학교</x:v>
      </x:c>
      <x:c r="E219" s="73" t="str">
        <x:v>가</x:v>
      </x:c>
      <x:c r="F219" s="73" t="str">
        <x:v>일반전형</x:v>
      </x:c>
      <x:c r="G219" s="73" t="str">
        <x:v>약학부</x:v>
      </x:c>
      <x:c r="H219" s="73" t="n">
        <x:v>49</x:v>
      </x:c>
      <x:c r="I219" s="73" t="n">
        <x:v>0</x:v>
      </x:c>
      <x:c r="J219" s="73" t="n">
        <x:v>49</x:v>
      </x:c>
      <x:c r="K219" s="74" t="n">
        <x:v>6.1</x:v>
      </x:c>
      <x:c r="L219" s="73" t="n">
        <x:v>93</x:v>
      </x:c>
      <x:c r="M219" s="74" t="n">
        <x:v>795.4</x:v>
      </x:c>
      <x:c r="N219" s="74" t="n">
        <x:v>794.6</x:v>
      </x:c>
      <x:c r="O219" s="74" t="n">
        <x:v>1000</x:v>
      </x:c>
      <x:c r="P219" s="74" t="n">
        <x:v>100</x:v>
      </x:c>
      <x:c r="Q219" s="74" t="n">
        <x:v>95</x:v>
      </x:c>
      <x:c r="R219" s="74" t="n">
        <x:v>100</x:v>
      </x:c>
      <x:c r="S219" s="74" t="n">
        <x:v>98</x:v>
      </x:c>
      <x:c r="T219" s="74" t="n">
        <x:v>1</x:v>
      </x:c>
      <x:c r="U219" s="74" t="n">
        <x:v>1</x:v>
      </x:c>
      <x:c r="V219" s="74"/>
      <x:c r="W219" s="74" t="n">
        <x:f>IF(COUNTA(P219:S219)=4,AVERAGE(P219:S219),"")</x:f>
        <x:v>98.25</x:v>
      </x:c>
      <x:c r="X219" s="74" t="n">
        <x:f>IF(V219&lt;&gt;"",V219,W219)</x:f>
        <x:v>98.25</x:v>
      </x:c>
      <x:c r="Y219" s="73" t="str">
        <x:v>파생 단순평균(참고)</x:v>
      </x:c>
      <x:c r="Z219" s="74" t="n">
        <x:v>80</x:v>
      </x:c>
      <x:c r="AA219" s="74" t="n">
        <x:f>IF(X219&lt;&gt;"",Z219-X219,"")</x:f>
        <x:v>-18.25</x:v>
      </x:c>
      <x:c r="AB219" s="73" t="str">
        <x:f>IF(AA219="","",IF(AA219&gt;=5,"안정",IF(AA219&gt;=1,"적정",IF(AA219&gt;=-2,"소신","상향"))))</x:f>
        <x:v>상향</x:v>
      </x:c>
      <x:c r="AC219" s="75" t="n">
        <x:v>0</x:v>
      </x:c>
      <x:c r="AD219" s="75" t="n">
        <x:v>100</x:v>
      </x:c>
      <x:c r="AE219" s="75" t="n">
        <x:v>0</x:v>
      </x:c>
      <x:c r="AF219" s="73" t="str">
        <x:v>B: 공식 과목별 70% 백분위 → 단순평균 파생</x:v>
      </x:c>
      <x:c r="AG219" s="73" t="str">
        <x:v>https://adiga.kr/ucp/uvt/uni/univDetailSelection.do?menuId=PCUVTINF2000&amp;searchSyr=2026&amp;unvCd=0000175</x:v>
      </x:c>
    </x:row>
    <x:row r="220" ht="18" customHeight="1">
      <x:c r="A220" s="73" t="n">
        <x:v>2025</x:v>
      </x:c>
      <x:c r="B220" s="73" t="str">
        <x:v>서울특별시</x:v>
      </x:c>
      <x:c r="C220" s="73" t="str">
        <x:v>사립</x:v>
      </x:c>
      <x:c r="D220" s="73" t="str">
        <x:v>중앙대학교</x:v>
      </x:c>
      <x:c r="E220" s="73" t="str">
        <x:v>가</x:v>
      </x:c>
      <x:c r="F220" s="73" t="str">
        <x:v>일반전형</x:v>
      </x:c>
      <x:c r="G220" s="73" t="str">
        <x:v>간호학과(자연)</x:v>
      </x:c>
      <x:c r="H220" s="73" t="n">
        <x:v>42</x:v>
      </x:c>
      <x:c r="I220" s="73" t="n">
        <x:v>0</x:v>
      </x:c>
      <x:c r="J220" s="73" t="n">
        <x:v>42</x:v>
      </x:c>
      <x:c r="K220" s="74" t="n">
        <x:v>3.2</x:v>
      </x:c>
      <x:c r="L220" s="73" t="n">
        <x:v>35</x:v>
      </x:c>
      <x:c r="M220" s="74" t="n">
        <x:v>758.8</x:v>
      </x:c>
      <x:c r="N220" s="74" t="n">
        <x:v>758</x:v>
      </x:c>
      <x:c r="O220" s="74" t="n">
        <x:v>1000</x:v>
      </x:c>
      <x:c r="P220" s="74" t="n">
        <x:v>93</x:v>
      </x:c>
      <x:c r="Q220" s="74" t="n">
        <x:v>95</x:v>
      </x:c>
      <x:c r="R220" s="74" t="n">
        <x:v>94</x:v>
      </x:c>
      <x:c r="S220" s="74" t="n">
        <x:v>75</x:v>
      </x:c>
      <x:c r="T220" s="74" t="n">
        <x:v>2</x:v>
      </x:c>
      <x:c r="U220" s="74" t="n">
        <x:v>1</x:v>
      </x:c>
      <x:c r="V220" s="74"/>
      <x:c r="W220" s="74" t="n">
        <x:f>IF(COUNTA(P220:S220)=4,AVERAGE(P220:S220),"")</x:f>
        <x:v>89.25</x:v>
      </x:c>
      <x:c r="X220" s="74" t="n">
        <x:f>IF(V220&lt;&gt;"",V220,W220)</x:f>
        <x:v>89.25</x:v>
      </x:c>
      <x:c r="Y220" s="73" t="str">
        <x:v>파생 단순평균(참고)</x:v>
      </x:c>
      <x:c r="Z220" s="74" t="n">
        <x:v>80</x:v>
      </x:c>
      <x:c r="AA220" s="74" t="n">
        <x:f>IF(X220&lt;&gt;"",Z220-X220,"")</x:f>
        <x:v>-9.25</x:v>
      </x:c>
      <x:c r="AB220" s="73" t="str">
        <x:f>IF(AA220="","",IF(AA220&gt;=5,"안정",IF(AA220&gt;=1,"적정",IF(AA220&gt;=-2,"소신","상향"))))</x:f>
        <x:v>상향</x:v>
      </x:c>
      <x:c r="AC220" s="75" t="n">
        <x:v>0</x:v>
      </x:c>
      <x:c r="AD220" s="75" t="n">
        <x:v>95</x:v>
      </x:c>
      <x:c r="AE220" s="75" t="n">
        <x:v>5</x:v>
      </x:c>
      <x:c r="AF220" s="73" t="str">
        <x:v>B: 공식 과목별 70% 백분위 → 단순평균 파생</x:v>
      </x:c>
      <x:c r="AG220" s="73" t="str">
        <x:v>https://adiga.kr/ucp/uvt/uni/univDetailSelection.do?menuId=PCUVTINF2000&amp;searchSyr=2026&amp;unvCd=0000175</x:v>
      </x:c>
    </x:row>
    <x:row r="221" ht="18" customHeight="1">
      <x:c r="A221" s="73" t="n">
        <x:v>2025</x:v>
      </x:c>
      <x:c r="B221" s="73" t="str">
        <x:v>서울특별시</x:v>
      </x:c>
      <x:c r="C221" s="73" t="str">
        <x:v>사립</x:v>
      </x:c>
      <x:c r="D221" s="73" t="str">
        <x:v>중앙대학교</x:v>
      </x:c>
      <x:c r="E221" s="73" t="str">
        <x:v>가</x:v>
      </x:c>
      <x:c r="F221" s="73" t="str">
        <x:v>일반전형</x:v>
      </x:c>
      <x:c r="G221" s="73" t="str">
        <x:v>생명자원공학부(동물생명공학)</x:v>
      </x:c>
      <x:c r="H221" s="73" t="n">
        <x:v>25</x:v>
      </x:c>
      <x:c r="I221" s="73" t="n">
        <x:v>1</x:v>
      </x:c>
      <x:c r="J221" s="73" t="n">
        <x:v>26</x:v>
      </x:c>
      <x:c r="K221" s="74" t="n">
        <x:v>6</x:v>
      </x:c>
      <x:c r="L221" s="73" t="n">
        <x:v>29</x:v>
      </x:c>
      <x:c r="M221" s="74" t="n">
        <x:v>710.5</x:v>
      </x:c>
      <x:c r="N221" s="74" t="n">
        <x:v>706.6</x:v>
      </x:c>
      <x:c r="O221" s="74" t="n">
        <x:v>1000</x:v>
      </x:c>
      <x:c r="P221" s="74" t="n">
        <x:v>82</x:v>
      </x:c>
      <x:c r="Q221" s="74" t="n">
        <x:v>66</x:v>
      </x:c>
      <x:c r="R221" s="74" t="n">
        <x:v>81</x:v>
      </x:c>
      <x:c r="S221" s="74" t="n">
        <x:v>67</x:v>
      </x:c>
      <x:c r="T221" s="74" t="n">
        <x:v>2</x:v>
      </x:c>
      <x:c r="U221" s="74" t="n">
        <x:v>1</x:v>
      </x:c>
      <x:c r="V221" s="74"/>
      <x:c r="W221" s="74" t="n">
        <x:f>IF(COUNTA(P221:S221)=4,AVERAGE(P221:S221),"")</x:f>
        <x:v>74</x:v>
      </x:c>
      <x:c r="X221" s="74" t="n">
        <x:f>IF(V221&lt;&gt;"",V221,W221)</x:f>
        <x:v>74</x:v>
      </x:c>
      <x:c r="Y221" s="73" t="str">
        <x:v>파생 단순평균(참고)</x:v>
      </x:c>
      <x:c r="Z221" s="74" t="n">
        <x:v>80</x:v>
      </x:c>
      <x:c r="AA221" s="74" t="n">
        <x:f>IF(X221&lt;&gt;"",Z221-X221,"")</x:f>
        <x:v>6</x:v>
      </x:c>
      <x:c r="AB221" s="73" t="str">
        <x:f>IF(AA221="","",IF(AA221&gt;=5,"안정",IF(AA221&gt;=1,"적정",IF(AA221&gt;=-2,"소신","상향"))))</x:f>
        <x:v>안정</x:v>
      </x:c>
      <x:c r="AC221" s="75" t="n">
        <x:v>12.9</x:v>
      </x:c>
      <x:c r="AD221" s="75" t="n">
        <x:v>83.9</x:v>
      </x:c>
      <x:c r="AE221" s="75" t="n">
        <x:v>3.2</x:v>
      </x:c>
      <x:c r="AF221" s="73" t="str">
        <x:v>B: 공식 과목별 70% 백분위 → 단순평균 파생</x:v>
      </x:c>
      <x:c r="AG221" s="73" t="str">
        <x:v>https://adiga.kr/ucp/uvt/uni/univDetailSelection.do?menuId=PCUVTINF2000&amp;searchSyr=2026&amp;unvCd=0000175</x:v>
      </x:c>
    </x:row>
    <x:row r="222" ht="18" customHeight="1">
      <x:c r="A222" s="73" t="n">
        <x:v>2025</x:v>
      </x:c>
      <x:c r="B222" s="73" t="str">
        <x:v>서울특별시</x:v>
      </x:c>
      <x:c r="C222" s="73" t="str">
        <x:v>사립</x:v>
      </x:c>
      <x:c r="D222" s="73" t="str">
        <x:v>중앙대학교</x:v>
      </x:c>
      <x:c r="E222" s="73" t="str">
        <x:v>가</x:v>
      </x:c>
      <x:c r="F222" s="73" t="str">
        <x:v>일반전형</x:v>
      </x:c>
      <x:c r="G222" s="73" t="str">
        <x:v>생명자원공학부(식물생명공학)</x:v>
      </x:c>
      <x:c r="H222" s="73" t="n">
        <x:v>22</x:v>
      </x:c>
      <x:c r="I222" s="73" t="n">
        <x:v>0</x:v>
      </x:c>
      <x:c r="J222" s="73" t="n">
        <x:v>22</x:v>
      </x:c>
      <x:c r="K222" s="74" t="n">
        <x:v>6.8</x:v>
      </x:c>
      <x:c r="L222" s="73" t="n">
        <x:v>24</x:v>
      </x:c>
      <x:c r="M222" s="74" t="n">
        <x:v>704.9</x:v>
      </x:c>
      <x:c r="N222" s="74" t="n">
        <x:v>703.9</x:v>
      </x:c>
      <x:c r="O222" s="74" t="n">
        <x:v>1000</x:v>
      </x:c>
      <x:c r="P222" s="74" t="n">
        <x:v>65</x:v>
      </x:c>
      <x:c r="Q222" s="74" t="n">
        <x:v>78</x:v>
      </x:c>
      <x:c r="R222" s="74" t="n">
        <x:v>75</x:v>
      </x:c>
      <x:c r="S222" s="74" t="n">
        <x:v>83</x:v>
      </x:c>
      <x:c r="T222" s="74" t="n">
        <x:v>3</x:v>
      </x:c>
      <x:c r="U222" s="74" t="n">
        <x:v>2</x:v>
      </x:c>
      <x:c r="V222" s="74"/>
      <x:c r="W222" s="74" t="n">
        <x:f>IF(COUNTA(P222:S222)=4,AVERAGE(P222:S222),"")</x:f>
        <x:v>75.25</x:v>
      </x:c>
      <x:c r="X222" s="74" t="n">
        <x:f>IF(V222&lt;&gt;"",V222,W222)</x:f>
        <x:v>75.25</x:v>
      </x:c>
      <x:c r="Y222" s="73" t="str">
        <x:v>파생 단순평균(참고)</x:v>
      </x:c>
      <x:c r="Z222" s="74" t="n">
        <x:v>80</x:v>
      </x:c>
      <x:c r="AA222" s="74" t="n">
        <x:f>IF(X222&lt;&gt;"",Z222-X222,"")</x:f>
        <x:v>4.75</x:v>
      </x:c>
      <x:c r="AB222" s="73" t="str">
        <x:f>IF(AA222="","",IF(AA222&gt;=5,"안정",IF(AA222&gt;=1,"적정",IF(AA222&gt;=-2,"소신","상향"))))</x:f>
        <x:v>적정</x:v>
      </x:c>
      <x:c r="AC222" s="75" t="n">
        <x:v>4.8</x:v>
      </x:c>
      <x:c r="AD222" s="75" t="n">
        <x:v>95.2</x:v>
      </x:c>
      <x:c r="AE222" s="75" t="n">
        <x:v>0</x:v>
      </x:c>
      <x:c r="AF222" s="73" t="str">
        <x:v>B: 공식 과목별 70% 백분위 → 단순평균 파생</x:v>
      </x:c>
      <x:c r="AG222" s="73" t="str">
        <x:v>https://adiga.kr/ucp/uvt/uni/univDetailSelection.do?menuId=PCUVTINF2000&amp;searchSyr=2026&amp;unvCd=0000175</x:v>
      </x:c>
    </x:row>
    <x:row r="223" ht="18" customHeight="1">
      <x:c r="A223" s="73" t="n">
        <x:v>2025</x:v>
      </x:c>
      <x:c r="B223" s="73" t="str">
        <x:v>서울특별시</x:v>
      </x:c>
      <x:c r="C223" s="73" t="str">
        <x:v>사립</x:v>
      </x:c>
      <x:c r="D223" s="73" t="str">
        <x:v>건국대학교</x:v>
      </x:c>
      <x:c r="E223" s="73" t="str">
        <x:v>가</x:v>
      </x:c>
      <x:c r="F223" s="73" t="str">
        <x:v>일반전형</x:v>
      </x:c>
      <x:c r="G223" s="73" t="str">
        <x:v>물리학과</x:v>
      </x:c>
      <x:c r="H223" s="73" t="n">
        <x:v>12</x:v>
      </x:c>
      <x:c r="I223" s="73" t="n">
        <x:v>0</x:v>
      </x:c>
      <x:c r="J223" s="73" t="n">
        <x:v>12</x:v>
      </x:c>
      <x:c r="K223" s="74" t="n">
        <x:v>6.8</x:v>
      </x:c>
      <x:c r="L223" s="73" t="n">
        <x:v>10</x:v>
      </x:c>
      <x:c r="M223" s="74" t="n">
        <x:v>665.06</x:v>
      </x:c>
      <x:c r="N223" s="74" t="n">
        <x:v>664.87</x:v>
      </x:c>
      <x:c r="O223" s="74" t="n">
        <x:v>1000</x:v>
      </x:c>
      <x:c r="P223" s="74" t="n">
        <x:v>91</x:v>
      </x:c>
      <x:c r="Q223" s="74" t="n">
        <x:v>97</x:v>
      </x:c>
      <x:c r="R223" s="74" t="n">
        <x:v>94</x:v>
      </x:c>
      <x:c r="S223" s="74" t="n">
        <x:v>61</x:v>
      </x:c>
      <x:c r="T223" s="74" t="n">
        <x:v>4</x:v>
      </x:c>
      <x:c r="U223" s="74" t="n">
        <x:v>1</x:v>
      </x:c>
      <x:c r="V223" s="74"/>
      <x:c r="W223" s="74" t="n">
        <x:f>IF(COUNTA(P223:S223)=4,AVERAGE(P223:S223),"")</x:f>
        <x:v>85.75</x:v>
      </x:c>
      <x:c r="X223" s="74" t="n">
        <x:f>IF(V223&lt;&gt;"",V223,W223)</x:f>
        <x:v>85.75</x:v>
      </x:c>
      <x:c r="Y223" s="73" t="str">
        <x:v>파생 단순평균(참고)</x:v>
      </x:c>
      <x:c r="Z223" s="74" t="n">
        <x:v>80</x:v>
      </x:c>
      <x:c r="AA223" s="74" t="n">
        <x:f>IF(X223&lt;&gt;"",Z223-X223,"")</x:f>
        <x:v>-5.75</x:v>
      </x:c>
      <x:c r="AB223" s="73" t="str">
        <x:f>IF(AA223="","",IF(AA223&gt;=5,"안정",IF(AA223&gt;=1,"적정",IF(AA223&gt;=-2,"소신","상향"))))</x:f>
        <x:v>상향</x:v>
      </x:c>
      <x:c r="AC223" s="75" t="n">
        <x:v>8.3</x:v>
      </x:c>
      <x:c r="AD223" s="75" t="n">
        <x:v>91.7</x:v>
      </x:c>
      <x:c r="AE223" s="75" t="n">
        <x:v>0</x:v>
      </x:c>
      <x:c r="AF223" s="73" t="str">
        <x:v>B: 공식 과목별 70% 백분위 → 단순평균 파생</x:v>
      </x:c>
      <x:c r="AG223" s="73" t="str">
        <x:v>https://www.adiga.kr/ucp/uvt/uni/univDetailSelection.do?menuId=PCUVTINF2000&amp;searchSyr=2026&amp;unvCd=0000052</x:v>
      </x:c>
    </x:row>
    <x:row r="224" ht="18" customHeight="1">
      <x:c r="A224" s="73" t="n">
        <x:v>2025</x:v>
      </x:c>
      <x:c r="B224" s="73" t="str">
        <x:v>서울특별시</x:v>
      </x:c>
      <x:c r="C224" s="73" t="str">
        <x:v>사립</x:v>
      </x:c>
      <x:c r="D224" s="73" t="str">
        <x:v>건국대학교</x:v>
      </x:c>
      <x:c r="E224" s="73" t="str">
        <x:v>가</x:v>
      </x:c>
      <x:c r="F224" s="73" t="str">
        <x:v>일반전형</x:v>
      </x:c>
      <x:c r="G224" s="73" t="str">
        <x:v>건축학부</x:v>
      </x:c>
      <x:c r="H224" s="73" t="n">
        <x:v>39</x:v>
      </x:c>
      <x:c r="I224" s="73" t="n">
        <x:v>0</x:v>
      </x:c>
      <x:c r="J224" s="73" t="n">
        <x:v>39</x:v>
      </x:c>
      <x:c r="K224" s="74" t="n">
        <x:v>6.6</x:v>
      </x:c>
      <x:c r="L224" s="73" t="n">
        <x:v>55</x:v>
      </x:c>
      <x:c r="M224" s="74" t="n">
        <x:v>663.12</x:v>
      </x:c>
      <x:c r="N224" s="74" t="n">
        <x:v>662.57</x:v>
      </x:c>
      <x:c r="O224" s="74" t="n">
        <x:v>1000</x:v>
      </x:c>
      <x:c r="P224" s="74" t="n">
        <x:v>93</x:v>
      </x:c>
      <x:c r="Q224" s="74" t="n">
        <x:v>90</x:v>
      </x:c>
      <x:c r="R224" s="74" t="n">
        <x:v>87</x:v>
      </x:c>
      <x:c r="S224" s="74" t="n">
        <x:v>83</x:v>
      </x:c>
      <x:c r="T224" s="74" t="n">
        <x:v>2</x:v>
      </x:c>
      <x:c r="U224" s="74" t="n">
        <x:v>2</x:v>
      </x:c>
      <x:c r="V224" s="74"/>
      <x:c r="W224" s="74" t="n">
        <x:f>IF(COUNTA(P224:S224)=4,AVERAGE(P224:S224),"")</x:f>
        <x:v>88.25</x:v>
      </x:c>
      <x:c r="X224" s="74" t="n">
        <x:f>IF(V224&lt;&gt;"",V224,W224)</x:f>
        <x:v>88.25</x:v>
      </x:c>
      <x:c r="Y224" s="73" t="str">
        <x:v>파생 단순평균(참고)</x:v>
      </x:c>
      <x:c r="Z224" s="74" t="n">
        <x:v>80</x:v>
      </x:c>
      <x:c r="AA224" s="74" t="n">
        <x:f>IF(X224&lt;&gt;"",Z224-X224,"")</x:f>
        <x:v>-8.25</x:v>
      </x:c>
      <x:c r="AB224" s="73" t="str">
        <x:f>IF(AA224="","",IF(AA224&gt;=5,"안정",IF(AA224&gt;=1,"적정",IF(AA224&gt;=-2,"소신","상향"))))</x:f>
        <x:v>상향</x:v>
      </x:c>
      <x:c r="AC224" s="75" t="n">
        <x:v>0</x:v>
      </x:c>
      <x:c r="AD224" s="75" t="n">
        <x:v>91.2</x:v>
      </x:c>
      <x:c r="AE224" s="75" t="n">
        <x:v>8.8</x:v>
      </x:c>
      <x:c r="AF224" s="73" t="str">
        <x:v>B: 공식 과목별 70% 백분위 → 단순평균 파생</x:v>
      </x:c>
      <x:c r="AG224" s="73" t="str">
        <x:v>https://www.adiga.kr/ucp/uvt/uni/univDetailSelection.do?menuId=PCUVTINF2000&amp;searchSyr=2026&amp;unvCd=0000052</x:v>
      </x:c>
    </x:row>
    <x:row r="225" ht="18" customHeight="1">
      <x:c r="A225" s="73" t="n">
        <x:v>2025</x:v>
      </x:c>
      <x:c r="B225" s="73" t="str">
        <x:v>서울특별시</x:v>
      </x:c>
      <x:c r="C225" s="73" t="str">
        <x:v>사립</x:v>
      </x:c>
      <x:c r="D225" s="73" t="str">
        <x:v>건국대학교</x:v>
      </x:c>
      <x:c r="E225" s="73" t="str">
        <x:v>가</x:v>
      </x:c>
      <x:c r="F225" s="73" t="str">
        <x:v>일반전형</x:v>
      </x:c>
      <x:c r="G225" s="73" t="str">
        <x:v>기계・로봇・자동차공학부</x:v>
      </x:c>
      <x:c r="H225" s="73" t="n">
        <x:v>38</x:v>
      </x:c>
      <x:c r="I225" s="73" t="n">
        <x:v>1</x:v>
      </x:c>
      <x:c r="J225" s="73" t="n">
        <x:v>39</x:v>
      </x:c>
      <x:c r="K225" s="74" t="n">
        <x:v>4.5</x:v>
      </x:c>
      <x:c r="L225" s="73" t="n">
        <x:v>47</x:v>
      </x:c>
      <x:c r="M225" s="74" t="n">
        <x:v>668</x:v>
      </x:c>
      <x:c r="N225" s="74" t="n">
        <x:v>667.31</x:v>
      </x:c>
      <x:c r="O225" s="74" t="n">
        <x:v>1000</x:v>
      </x:c>
      <x:c r="P225" s="74" t="n">
        <x:v>92</x:v>
      </x:c>
      <x:c r="Q225" s="74" t="n">
        <x:v>95</x:v>
      </x:c>
      <x:c r="R225" s="74" t="n">
        <x:v>90</x:v>
      </x:c>
      <x:c r="S225" s="74" t="n">
        <x:v>75</x:v>
      </x:c>
      <x:c r="T225" s="74" t="n">
        <x:v>2</x:v>
      </x:c>
      <x:c r="U225" s="74" t="n">
        <x:v>1</x:v>
      </x:c>
      <x:c r="V225" s="74"/>
      <x:c r="W225" s="74" t="n">
        <x:f>IF(COUNTA(P225:S225)=4,AVERAGE(P225:S225),"")</x:f>
        <x:v>88</x:v>
      </x:c>
      <x:c r="X225" s="74" t="n">
        <x:f>IF(V225&lt;&gt;"",V225,W225)</x:f>
        <x:v>88</x:v>
      </x:c>
      <x:c r="Y225" s="73" t="str">
        <x:v>파생 단순평균(참고)</x:v>
      </x:c>
      <x:c r="Z225" s="74" t="n">
        <x:v>80</x:v>
      </x:c>
      <x:c r="AA225" s="74" t="n">
        <x:f>IF(X225&lt;&gt;"",Z225-X225,"")</x:f>
        <x:v>-8</x:v>
      </x:c>
      <x:c r="AB225" s="73" t="str">
        <x:f>IF(AA225="","",IF(AA225&gt;=5,"안정",IF(AA225&gt;=1,"적정",IF(AA225&gt;=-2,"소신","상향"))))</x:f>
        <x:v>상향</x:v>
      </x:c>
      <x:c r="AC225" s="75" t="n">
        <x:v>0</x:v>
      </x:c>
      <x:c r="AD225" s="75" t="n">
        <x:v>97.3</x:v>
      </x:c>
      <x:c r="AE225" s="75" t="n">
        <x:v>2.7</x:v>
      </x:c>
      <x:c r="AF225" s="73" t="str">
        <x:v>B: 공식 과목별 70% 백분위 → 단순평균 파생</x:v>
      </x:c>
      <x:c r="AG225" s="73" t="str">
        <x:v>https://www.adiga.kr/ucp/uvt/uni/univDetailSelection.do?menuId=PCUVTINF2000&amp;searchSyr=2026&amp;unvCd=0000052</x:v>
      </x:c>
    </x:row>
    <x:row r="226" ht="18" customHeight="1">
      <x:c r="A226" s="73" t="n">
        <x:v>2025</x:v>
      </x:c>
      <x:c r="B226" s="73" t="str">
        <x:v>서울특별시</x:v>
      </x:c>
      <x:c r="C226" s="73" t="str">
        <x:v>사립</x:v>
      </x:c>
      <x:c r="D226" s="73" t="str">
        <x:v>건국대학교</x:v>
      </x:c>
      <x:c r="E226" s="73" t="str">
        <x:v>가</x:v>
      </x:c>
      <x:c r="F226" s="73" t="str">
        <x:v>일반전형</x:v>
      </x:c>
      <x:c r="G226" s="73" t="str">
        <x:v>전기전자공학부</x:v>
      </x:c>
      <x:c r="H226" s="73" t="n">
        <x:v>65</x:v>
      </x:c>
      <x:c r="I226" s="73" t="n">
        <x:v>1</x:v>
      </x:c>
      <x:c r="J226" s="73" t="n">
        <x:v>66</x:v>
      </x:c>
      <x:c r="K226" s="74" t="n">
        <x:v>4.2</x:v>
      </x:c>
      <x:c r="L226" s="73" t="n">
        <x:v>63</x:v>
      </x:c>
      <x:c r="M226" s="74" t="n">
        <x:v>671.47</x:v>
      </x:c>
      <x:c r="N226" s="74" t="n">
        <x:v>670.11</x:v>
      </x:c>
      <x:c r="O226" s="74" t="n">
        <x:v>1000</x:v>
      </x:c>
      <x:c r="P226" s="74" t="n">
        <x:v>98</x:v>
      </x:c>
      <x:c r="Q226" s="74" t="n">
        <x:v>90</x:v>
      </x:c>
      <x:c r="R226" s="74" t="n">
        <x:v>90</x:v>
      </x:c>
      <x:c r="S226" s="74" t="n">
        <x:v>80</x:v>
      </x:c>
      <x:c r="T226" s="74" t="n">
        <x:v>3</x:v>
      </x:c>
      <x:c r="U226" s="74" t="n">
        <x:v>1</x:v>
      </x:c>
      <x:c r="V226" s="74"/>
      <x:c r="W226" s="74" t="n">
        <x:f>IF(COUNTA(P226:S226)=4,AVERAGE(P226:S226),"")</x:f>
        <x:v>89.5</x:v>
      </x:c>
      <x:c r="X226" s="74" t="n">
        <x:f>IF(V226&lt;&gt;"",V226,W226)</x:f>
        <x:v>89.5</x:v>
      </x:c>
      <x:c r="Y226" s="73" t="str">
        <x:v>파생 단순평균(참고)</x:v>
      </x:c>
      <x:c r="Z226" s="74" t="n">
        <x:v>80</x:v>
      </x:c>
      <x:c r="AA226" s="74" t="n">
        <x:f>IF(X226&lt;&gt;"",Z226-X226,"")</x:f>
        <x:v>-9.5</x:v>
      </x:c>
      <x:c r="AB226" s="73" t="str">
        <x:f>IF(AA226="","",IF(AA226&gt;=5,"안정",IF(AA226&gt;=1,"적정",IF(AA226&gt;=-2,"소신","상향"))))</x:f>
        <x:v>상향</x:v>
      </x:c>
      <x:c r="AC226" s="75" t="n">
        <x:v>0</x:v>
      </x:c>
      <x:c r="AD226" s="75" t="n">
        <x:v>98.4</x:v>
      </x:c>
      <x:c r="AE226" s="75" t="n">
        <x:v>1.6</x:v>
      </x:c>
      <x:c r="AF226" s="73" t="str">
        <x:v>B: 공식 과목별 70% 백분위 → 단순평균 파생</x:v>
      </x:c>
      <x:c r="AG226" s="73" t="str">
        <x:v>https://www.adiga.kr/ucp/uvt/uni/univDetailSelection.do?menuId=PCUVTINF2000&amp;searchSyr=2026&amp;unvCd=0000052</x:v>
      </x:c>
    </x:row>
    <x:row r="227" ht="18" customHeight="1">
      <x:c r="A227" s="73" t="n">
        <x:v>2025</x:v>
      </x:c>
      <x:c r="B227" s="73" t="str">
        <x:v>서울특별시</x:v>
      </x:c>
      <x:c r="C227" s="73" t="str">
        <x:v>사립</x:v>
      </x:c>
      <x:c r="D227" s="73" t="str">
        <x:v>건국대학교</x:v>
      </x:c>
      <x:c r="E227" s="73" t="str">
        <x:v>가</x:v>
      </x:c>
      <x:c r="F227" s="73" t="str">
        <x:v>일반전형</x:v>
      </x:c>
      <x:c r="G227" s="73" t="str">
        <x:v>화공학부</x:v>
      </x:c>
      <x:c r="H227" s="73" t="n">
        <x:v>31</x:v>
      </x:c>
      <x:c r="I227" s="73" t="n">
        <x:v>0</x:v>
      </x:c>
      <x:c r="J227" s="73" t="n">
        <x:v>31</x:v>
      </x:c>
      <x:c r="K227" s="74" t="n">
        <x:v>4.5</x:v>
      </x:c>
      <x:c r="L227" s="73" t="n">
        <x:v>33</x:v>
      </x:c>
      <x:c r="M227" s="74" t="n">
        <x:v>668.05</x:v>
      </x:c>
      <x:c r="N227" s="74" t="n">
        <x:v>666.8</x:v>
      </x:c>
      <x:c r="O227" s="74" t="n">
        <x:v>1000</x:v>
      </x:c>
      <x:c r="P227" s="74" t="n">
        <x:v>95</x:v>
      </x:c>
      <x:c r="Q227" s="74" t="n">
        <x:v>92</x:v>
      </x:c>
      <x:c r="R227" s="74" t="n">
        <x:v>81</x:v>
      </x:c>
      <x:c r="S227" s="74" t="n">
        <x:v>91</x:v>
      </x:c>
      <x:c r="T227" s="74" t="n">
        <x:v>3</x:v>
      </x:c>
      <x:c r="U227" s="74" t="n">
        <x:v>2</x:v>
      </x:c>
      <x:c r="V227" s="74"/>
      <x:c r="W227" s="74" t="n">
        <x:f>IF(COUNTA(P227:S227)=4,AVERAGE(P227:S227),"")</x:f>
        <x:v>89.75</x:v>
      </x:c>
      <x:c r="X227" s="74" t="n">
        <x:f>IF(V227&lt;&gt;"",V227,W227)</x:f>
        <x:v>89.75</x:v>
      </x:c>
      <x:c r="Y227" s="73" t="str">
        <x:v>파생 단순평균(참고)</x:v>
      </x:c>
      <x:c r="Z227" s="74" t="n">
        <x:v>80</x:v>
      </x:c>
      <x:c r="AA227" s="74" t="n">
        <x:f>IF(X227&lt;&gt;"",Z227-X227,"")</x:f>
        <x:v>-9.75</x:v>
      </x:c>
      <x:c r="AB227" s="73" t="str">
        <x:f>IF(AA227="","",IF(AA227&gt;=5,"안정",IF(AA227&gt;=1,"적정",IF(AA227&gt;=-2,"소신","상향"))))</x:f>
        <x:v>상향</x:v>
      </x:c>
      <x:c r="AC227" s="75" t="n">
        <x:v>0</x:v>
      </x:c>
      <x:c r="AD227" s="75" t="n">
        <x:v>100</x:v>
      </x:c>
      <x:c r="AE227" s="75" t="n">
        <x:v>0</x:v>
      </x:c>
      <x:c r="AF227" s="73" t="str">
        <x:v>B: 공식 과목별 70% 백분위 → 단순평균 파생</x:v>
      </x:c>
      <x:c r="AG227" s="73" t="str">
        <x:v>https://www.adiga.kr/ucp/uvt/uni/univDetailSelection.do?menuId=PCUVTINF2000&amp;searchSyr=2026&amp;unvCd=0000052</x:v>
      </x:c>
    </x:row>
    <x:row r="228" ht="18" customHeight="1">
      <x:c r="A228" s="73" t="n">
        <x:v>2025</x:v>
      </x:c>
      <x:c r="B228" s="73" t="str">
        <x:v>서울특별시</x:v>
      </x:c>
      <x:c r="C228" s="73" t="str">
        <x:v>사립</x:v>
      </x:c>
      <x:c r="D228" s="73" t="str">
        <x:v>건국대학교</x:v>
      </x:c>
      <x:c r="E228" s="73" t="str">
        <x:v>가</x:v>
      </x:c>
      <x:c r="F228" s="73" t="str">
        <x:v>일반전형</x:v>
      </x:c>
      <x:c r="G228" s="73" t="str">
        <x:v>컴퓨터공학부</x:v>
      </x:c>
      <x:c r="H228" s="73" t="n">
        <x:v>49</x:v>
      </x:c>
      <x:c r="I228" s="73" t="n">
        <x:v>1</x:v>
      </x:c>
      <x:c r="J228" s="73" t="n">
        <x:v>50</x:v>
      </x:c>
      <x:c r="K228" s="74" t="n">
        <x:v>4.8</x:v>
      </x:c>
      <x:c r="L228" s="73" t="n">
        <x:v>45</x:v>
      </x:c>
      <x:c r="M228" s="74" t="n">
        <x:v>669.72</x:v>
      </x:c>
      <x:c r="N228" s="74" t="n">
        <x:v>669.14</x:v>
      </x:c>
      <x:c r="O228" s="74" t="n">
        <x:v>1000</x:v>
      </x:c>
      <x:c r="P228" s="74" t="n">
        <x:v>97</x:v>
      </x:c>
      <x:c r="Q228" s="74" t="n">
        <x:v>92</x:v>
      </x:c>
      <x:c r="R228" s="74" t="n">
        <x:v>85</x:v>
      </x:c>
      <x:c r="S228" s="74" t="n">
        <x:v>88</x:v>
      </x:c>
      <x:c r="T228" s="74" t="n">
        <x:v>3</x:v>
      </x:c>
      <x:c r="U228" s="74" t="n">
        <x:v>5</x:v>
      </x:c>
      <x:c r="V228" s="74"/>
      <x:c r="W228" s="74" t="n">
        <x:f>IF(COUNTA(P228:S228)=4,AVERAGE(P228:S228),"")</x:f>
        <x:v>90.5</x:v>
      </x:c>
      <x:c r="X228" s="74" t="n">
        <x:f>IF(V228&lt;&gt;"",V228,W228)</x:f>
        <x:v>90.5</x:v>
      </x:c>
      <x:c r="Y228" s="73" t="str">
        <x:v>파생 단순평균(참고)</x:v>
      </x:c>
      <x:c r="Z228" s="74" t="n">
        <x:v>80</x:v>
      </x:c>
      <x:c r="AA228" s="74" t="n">
        <x:f>IF(X228&lt;&gt;"",Z228-X228,"")</x:f>
        <x:v>-10.5</x:v>
      </x:c>
      <x:c r="AB228" s="73" t="str">
        <x:f>IF(AA228="","",IF(AA228&gt;=5,"안정",IF(AA228&gt;=1,"적정",IF(AA228&gt;=-2,"소신","상향"))))</x:f>
        <x:v>상향</x:v>
      </x:c>
      <x:c r="AC228" s="75" t="n">
        <x:v>0</x:v>
      </x:c>
      <x:c r="AD228" s="75" t="n">
        <x:v>96</x:v>
      </x:c>
      <x:c r="AE228" s="75" t="n">
        <x:v>4</x:v>
      </x:c>
      <x:c r="AF228" s="73" t="str">
        <x:v>B: 공식 과목별 70% 백분위 → 단순평균 파생</x:v>
      </x:c>
      <x:c r="AG228" s="73" t="str">
        <x:v>https://www.adiga.kr/ucp/uvt/uni/univDetailSelection.do?menuId=PCUVTINF2000&amp;searchSyr=2026&amp;unvCd=0000052</x:v>
      </x:c>
    </x:row>
    <x:row r="229" ht="18" customHeight="1">
      <x:c r="A229" s="73" t="n">
        <x:v>2025</x:v>
      </x:c>
      <x:c r="B229" s="73" t="str">
        <x:v>서울특별시</x:v>
      </x:c>
      <x:c r="C229" s="73" t="str">
        <x:v>사립</x:v>
      </x:c>
      <x:c r="D229" s="73" t="str">
        <x:v>건국대학교</x:v>
      </x:c>
      <x:c r="E229" s="73" t="str">
        <x:v>가</x:v>
      </x:c>
      <x:c r="F229" s="73" t="str">
        <x:v>일반전형</x:v>
      </x:c>
      <x:c r="G229" s="73" t="str">
        <x:v>재료공학과</x:v>
      </x:c>
      <x:c r="H229" s="73" t="n">
        <x:v>26</x:v>
      </x:c>
      <x:c r="I229" s="73" t="n">
        <x:v>0</x:v>
      </x:c>
      <x:c r="J229" s="73" t="n">
        <x:v>26</x:v>
      </x:c>
      <x:c r="K229" s="74" t="n">
        <x:v>4.6</x:v>
      </x:c>
      <x:c r="L229" s="73" t="n">
        <x:v>37</x:v>
      </x:c>
      <x:c r="M229" s="74" t="n">
        <x:v>667.14</x:v>
      </x:c>
      <x:c r="N229" s="74" t="n">
        <x:v>666.73</x:v>
      </x:c>
      <x:c r="O229" s="74" t="n">
        <x:v>1000</x:v>
      </x:c>
      <x:c r="P229" s="74" t="n">
        <x:v>79</x:v>
      </x:c>
      <x:c r="Q229" s="74" t="n">
        <x:v>97</x:v>
      </x:c>
      <x:c r="R229" s="74" t="n">
        <x:v>95</x:v>
      </x:c>
      <x:c r="S229" s="74" t="n">
        <x:v>96</x:v>
      </x:c>
      <x:c r="T229" s="74" t="n">
        <x:v>4</x:v>
      </x:c>
      <x:c r="U229" s="74" t="n">
        <x:v>2</x:v>
      </x:c>
      <x:c r="V229" s="74"/>
      <x:c r="W229" s="74" t="n">
        <x:f>IF(COUNTA(P229:S229)=4,AVERAGE(P229:S229),"")</x:f>
        <x:v>91.75</x:v>
      </x:c>
      <x:c r="X229" s="74" t="n">
        <x:f>IF(V229&lt;&gt;"",V229,W229)</x:f>
        <x:v>91.75</x:v>
      </x:c>
      <x:c r="Y229" s="73" t="str">
        <x:v>파생 단순평균(참고)</x:v>
      </x:c>
      <x:c r="Z229" s="74" t="n">
        <x:v>80</x:v>
      </x:c>
      <x:c r="AA229" s="74" t="n">
        <x:f>IF(X229&lt;&gt;"",Z229-X229,"")</x:f>
        <x:v>-11.75</x:v>
      </x:c>
      <x:c r="AB229" s="73" t="str">
        <x:f>IF(AA229="","",IF(AA229&gt;=5,"안정",IF(AA229&gt;=1,"적정",IF(AA229&gt;=-2,"소신","상향"))))</x:f>
        <x:v>상향</x:v>
      </x:c>
      <x:c r="AC229" s="75" t="n">
        <x:v>4.3</x:v>
      </x:c>
      <x:c r="AD229" s="75" t="n">
        <x:v>95.7</x:v>
      </x:c>
      <x:c r="AE229" s="75" t="n">
        <x:v>0</x:v>
      </x:c>
      <x:c r="AF229" s="73" t="str">
        <x:v>B: 공식 과목별 70% 백분위 → 단순평균 파생</x:v>
      </x:c>
      <x:c r="AG229" s="73" t="str">
        <x:v>https://www.adiga.kr/ucp/uvt/uni/univDetailSelection.do?menuId=PCUVTINF2000&amp;searchSyr=2026&amp;unvCd=0000052</x:v>
      </x:c>
    </x:row>
    <x:row r="230" ht="18" customHeight="1">
      <x:c r="A230" s="73" t="n">
        <x:v>2025</x:v>
      </x:c>
      <x:c r="B230" s="73" t="str">
        <x:v>서울특별시</x:v>
      </x:c>
      <x:c r="C230" s="73" t="str">
        <x:v>사립</x:v>
      </x:c>
      <x:c r="D230" s="73" t="str">
        <x:v>건국대학교</x:v>
      </x:c>
      <x:c r="E230" s="73" t="str">
        <x:v>가</x:v>
      </x:c>
      <x:c r="F230" s="73" t="str">
        <x:v>일반전형</x:v>
      </x:c>
      <x:c r="G230" s="73" t="str">
        <x:v>항공우주・모빌리티공학과</x:v>
      </x:c>
      <x:c r="H230" s="73" t="n">
        <x:v>25</x:v>
      </x:c>
      <x:c r="I230" s="73" t="n">
        <x:v>0</x:v>
      </x:c>
      <x:c r="J230" s="73" t="n">
        <x:v>25</x:v>
      </x:c>
      <x:c r="K230" s="74" t="n">
        <x:v>5.1</x:v>
      </x:c>
      <x:c r="L230" s="73" t="n">
        <x:v>18</x:v>
      </x:c>
      <x:c r="M230" s="74" t="n">
        <x:v>666.33</x:v>
      </x:c>
      <x:c r="N230" s="74" t="n">
        <x:v>666.02</x:v>
      </x:c>
      <x:c r="O230" s="74" t="n">
        <x:v>1000</x:v>
      </x:c>
      <x:c r="P230" s="74" t="n">
        <x:v>89</x:v>
      </x:c>
      <x:c r="Q230" s="74" t="n">
        <x:v>97</x:v>
      </x:c>
      <x:c r="R230" s="74" t="n">
        <x:v>74</x:v>
      </x:c>
      <x:c r="S230" s="74" t="n">
        <x:v>83</x:v>
      </x:c>
      <x:c r="T230" s="74" t="n">
        <x:v>3</x:v>
      </x:c>
      <x:c r="U230" s="74" t="n">
        <x:v>4</x:v>
      </x:c>
      <x:c r="V230" s="74"/>
      <x:c r="W230" s="74" t="n">
        <x:f>IF(COUNTA(P230:S230)=4,AVERAGE(P230:S230),"")</x:f>
        <x:v>85.75</x:v>
      </x:c>
      <x:c r="X230" s="74" t="n">
        <x:f>IF(V230&lt;&gt;"",V230,W230)</x:f>
        <x:v>85.75</x:v>
      </x:c>
      <x:c r="Y230" s="73" t="str">
        <x:v>파생 단순평균(참고)</x:v>
      </x:c>
      <x:c r="Z230" s="74" t="n">
        <x:v>80</x:v>
      </x:c>
      <x:c r="AA230" s="74" t="n">
        <x:f>IF(X230&lt;&gt;"",Z230-X230,"")</x:f>
        <x:v>-5.75</x:v>
      </x:c>
      <x:c r="AB230" s="73" t="str">
        <x:f>IF(AA230="","",IF(AA230&gt;=5,"안정",IF(AA230&gt;=1,"적정",IF(AA230&gt;=-2,"소신","상향"))))</x:f>
        <x:v>상향</x:v>
      </x:c>
      <x:c r="AC230" s="75" t="n">
        <x:v>0</x:v>
      </x:c>
      <x:c r="AD230" s="75" t="n">
        <x:v>100</x:v>
      </x:c>
      <x:c r="AE230" s="75" t="n">
        <x:v>0</x:v>
      </x:c>
      <x:c r="AF230" s="73" t="str">
        <x:v>B: 공식 과목별 70% 백분위 → 단순평균 파생</x:v>
      </x:c>
      <x:c r="AG230" s="73" t="str">
        <x:v>https://www.adiga.kr/ucp/uvt/uni/univDetailSelection.do?menuId=PCUVTINF2000&amp;searchSyr=2026&amp;unvCd=0000052</x:v>
      </x:c>
    </x:row>
    <x:row r="231" ht="18" customHeight="1">
      <x:c r="A231" s="73" t="n">
        <x:v>2025</x:v>
      </x:c>
      <x:c r="B231" s="73" t="str">
        <x:v>서울특별시</x:v>
      </x:c>
      <x:c r="C231" s="73" t="str">
        <x:v>사립</x:v>
      </x:c>
      <x:c r="D231" s="73" t="str">
        <x:v>건국대학교</x:v>
      </x:c>
      <x:c r="E231" s="73" t="str">
        <x:v>가</x:v>
      </x:c>
      <x:c r="F231" s="73" t="str">
        <x:v>일반전형</x:v>
      </x:c>
      <x:c r="G231" s="73" t="str">
        <x:v>생물공학과</x:v>
      </x:c>
      <x:c r="H231" s="73" t="n">
        <x:v>17</x:v>
      </x:c>
      <x:c r="I231" s="73" t="n">
        <x:v>0</x:v>
      </x:c>
      <x:c r="J231" s="73" t="n">
        <x:v>17</x:v>
      </x:c>
      <x:c r="K231" s="74" t="n">
        <x:v>6.6</x:v>
      </x:c>
      <x:c r="L231" s="73" t="n">
        <x:v>18</x:v>
      </x:c>
      <x:c r="M231" s="74" t="n">
        <x:v>667.09</x:v>
      </x:c>
      <x:c r="N231" s="74" t="n">
        <x:v>666.9</x:v>
      </x:c>
      <x:c r="O231" s="74" t="n">
        <x:v>1000</x:v>
      </x:c>
      <x:c r="P231" s="74" t="n">
        <x:v>93</x:v>
      </x:c>
      <x:c r="Q231" s="74" t="n">
        <x:v>97</x:v>
      </x:c>
      <x:c r="R231" s="74" t="n">
        <x:v>81</x:v>
      </x:c>
      <x:c r="S231" s="74" t="n">
        <x:v>62</x:v>
      </x:c>
      <x:c r="T231" s="74" t="n">
        <x:v>2</x:v>
      </x:c>
      <x:c r="U231" s="74" t="n">
        <x:v>1</x:v>
      </x:c>
      <x:c r="V231" s="74"/>
      <x:c r="W231" s="74" t="n">
        <x:f>IF(COUNTA(P231:S231)=4,AVERAGE(P231:S231),"")</x:f>
        <x:v>83.25</x:v>
      </x:c>
      <x:c r="X231" s="74" t="n">
        <x:f>IF(V231&lt;&gt;"",V231,W231)</x:f>
        <x:v>83.25</x:v>
      </x:c>
      <x:c r="Y231" s="73" t="str">
        <x:v>파생 단순평균(참고)</x:v>
      </x:c>
      <x:c r="Z231" s="74" t="n">
        <x:v>80</x:v>
      </x:c>
      <x:c r="AA231" s="74" t="n">
        <x:f>IF(X231&lt;&gt;"",Z231-X231,"")</x:f>
        <x:v>-3.25</x:v>
      </x:c>
      <x:c r="AB231" s="73" t="str">
        <x:f>IF(AA231="","",IF(AA231&gt;=5,"안정",IF(AA231&gt;=1,"적정",IF(AA231&gt;=-2,"소신","상향"))))</x:f>
        <x:v>상향</x:v>
      </x:c>
      <x:c r="AC231" s="75" t="n">
        <x:v>5.9</x:v>
      </x:c>
      <x:c r="AD231" s="75" t="n">
        <x:v>94.1</x:v>
      </x:c>
      <x:c r="AE231" s="75" t="n">
        <x:v>0</x:v>
      </x:c>
      <x:c r="AF231" s="73" t="str">
        <x:v>B: 공식 과목별 70% 백분위 → 단순평균 파생</x:v>
      </x:c>
      <x:c r="AG231" s="73" t="str">
        <x:v>https://www.adiga.kr/ucp/uvt/uni/univDetailSelection.do?menuId=PCUVTINF2000&amp;searchSyr=2026&amp;unvCd=0000052</x:v>
      </x:c>
    </x:row>
    <x:row r="232" ht="18" customHeight="1">
      <x:c r="A232" s="73" t="n">
        <x:v>2025</x:v>
      </x:c>
      <x:c r="B232" s="73" t="str">
        <x:v>서울특별시</x:v>
      </x:c>
      <x:c r="C232" s="73" t="str">
        <x:v>사립</x:v>
      </x:c>
      <x:c r="D232" s="73" t="str">
        <x:v>건국대학교</x:v>
      </x:c>
      <x:c r="E232" s="73" t="str">
        <x:v>가</x:v>
      </x:c>
      <x:c r="F232" s="73" t="str">
        <x:v>일반전형</x:v>
      </x:c>
      <x:c r="G232" s="73" t="str">
        <x:v>국제무역학과</x:v>
      </x:c>
      <x:c r="H232" s="73" t="n">
        <x:v>32</x:v>
      </x:c>
      <x:c r="I232" s="73" t="n">
        <x:v>0</x:v>
      </x:c>
      <x:c r="J232" s="73" t="n">
        <x:v>32</x:v>
      </x:c>
      <x:c r="K232" s="74" t="n">
        <x:v>7.4</x:v>
      </x:c>
      <x:c r="L232" s="73" t="n">
        <x:v>42</x:v>
      </x:c>
      <x:c r="M232" s="74" t="n">
        <x:v>662.78</x:v>
      </x:c>
      <x:c r="N232" s="74" t="n">
        <x:v>662.52</x:v>
      </x:c>
      <x:c r="O232" s="74" t="n">
        <x:v>1000</x:v>
      </x:c>
      <x:c r="P232" s="74" t="n">
        <x:v>88</x:v>
      </x:c>
      <x:c r="Q232" s="74" t="n">
        <x:v>97</x:v>
      </x:c>
      <x:c r="R232" s="74" t="n">
        <x:v>60</x:v>
      </x:c>
      <x:c r="S232" s="74" t="n">
        <x:v>92</x:v>
      </x:c>
      <x:c r="T232" s="74" t="n">
        <x:v>3</x:v>
      </x:c>
      <x:c r="U232" s="74" t="n">
        <x:v>1</x:v>
      </x:c>
      <x:c r="V232" s="74"/>
      <x:c r="W232" s="74" t="n">
        <x:f>IF(COUNTA(P232:S232)=4,AVERAGE(P232:S232),"")</x:f>
        <x:v>84.25</x:v>
      </x:c>
      <x:c r="X232" s="74" t="n">
        <x:f>IF(V232&lt;&gt;"",V232,W232)</x:f>
        <x:v>84.25</x:v>
      </x:c>
      <x:c r="Y232" s="73" t="str">
        <x:v>파생 단순평균(참고)</x:v>
      </x:c>
      <x:c r="Z232" s="74" t="n">
        <x:v>80</x:v>
      </x:c>
      <x:c r="AA232" s="74" t="n">
        <x:f>IF(X232&lt;&gt;"",Z232-X232,"")</x:f>
        <x:v>-4.25</x:v>
      </x:c>
      <x:c r="AB232" s="73" t="str">
        <x:f>IF(AA232="","",IF(AA232&gt;=5,"안정",IF(AA232&gt;=1,"적정",IF(AA232&gt;=-2,"소신","상향"))))</x:f>
        <x:v>상향</x:v>
      </x:c>
      <x:c r="AC232" s="75" t="n">
        <x:v>25.9</x:v>
      </x:c>
      <x:c r="AD232" s="75" t="n">
        <x:v>70.4</x:v>
      </x:c>
      <x:c r="AE232" s="75" t="n">
        <x:v>3.7</x:v>
      </x:c>
      <x:c r="AF232" s="73" t="str">
        <x:v>B: 공식 과목별 70% 백분위 → 단순평균 파생</x:v>
      </x:c>
      <x:c r="AG232" s="73" t="str">
        <x:v>https://www.adiga.kr/ucp/uvt/uni/univDetailSelection.do?menuId=PCUVTINF2000&amp;searchSyr=2026&amp;unvCd=0000052</x:v>
      </x:c>
    </x:row>
    <x:row r="233" ht="18" customHeight="1">
      <x:c r="A233" s="73" t="n">
        <x:v>2025</x:v>
      </x:c>
      <x:c r="B233" s="73" t="str">
        <x:v>서울특별시</x:v>
      </x:c>
      <x:c r="C233" s="73" t="str">
        <x:v>사립</x:v>
      </x:c>
      <x:c r="D233" s="73" t="str">
        <x:v>건국대학교</x:v>
      </x:c>
      <x:c r="E233" s="73" t="str">
        <x:v>가</x:v>
      </x:c>
      <x:c r="F233" s="73" t="str">
        <x:v>일반전형</x:v>
      </x:c>
      <x:c r="G233" s="73" t="str">
        <x:v>기술경영학과</x:v>
      </x:c>
      <x:c r="H233" s="73" t="n">
        <x:v>15</x:v>
      </x:c>
      <x:c r="I233" s="73" t="n">
        <x:v>0</x:v>
      </x:c>
      <x:c r="J233" s="73" t="n">
        <x:v>15</x:v>
      </x:c>
      <x:c r="K233" s="74" t="n">
        <x:v>5.9</x:v>
      </x:c>
      <x:c r="L233" s="73" t="n">
        <x:v>30</x:v>
      </x:c>
      <x:c r="M233" s="74" t="n">
        <x:v>663.13</x:v>
      </x:c>
      <x:c r="N233" s="74" t="n">
        <x:v>662.09</x:v>
      </x:c>
      <x:c r="O233" s="74" t="n">
        <x:v>1000</x:v>
      </x:c>
      <x:c r="P233" s="74" t="n">
        <x:v>92</x:v>
      </x:c>
      <x:c r="Q233" s="74" t="n">
        <x:v>92</x:v>
      </x:c>
      <x:c r="R233" s="74" t="n">
        <x:v>69</x:v>
      </x:c>
      <x:c r="S233" s="74" t="n">
        <x:v>96</x:v>
      </x:c>
      <x:c r="T233" s="74" t="n">
        <x:v>2</x:v>
      </x:c>
      <x:c r="U233" s="74" t="n">
        <x:v>2</x:v>
      </x:c>
      <x:c r="V233" s="74"/>
      <x:c r="W233" s="74" t="n">
        <x:f>IF(COUNTA(P233:S233)=4,AVERAGE(P233:S233),"")</x:f>
        <x:v>87.25</x:v>
      </x:c>
      <x:c r="X233" s="74" t="n">
        <x:f>IF(V233&lt;&gt;"",V233,W233)</x:f>
        <x:v>87.25</x:v>
      </x:c>
      <x:c r="Y233" s="73" t="str">
        <x:v>파생 단순평균(참고)</x:v>
      </x:c>
      <x:c r="Z233" s="74" t="n">
        <x:v>80</x:v>
      </x:c>
      <x:c r="AA233" s="74" t="n">
        <x:f>IF(X233&lt;&gt;"",Z233-X233,"")</x:f>
        <x:v>-7.25</x:v>
      </x:c>
      <x:c r="AB233" s="73" t="str">
        <x:f>IF(AA233="","",IF(AA233&gt;=5,"안정",IF(AA233&gt;=1,"적정",IF(AA233&gt;=-2,"소신","상향"))))</x:f>
        <x:v>상향</x:v>
      </x:c>
      <x:c r="AC233" s="75" t="n">
        <x:v>33.3</x:v>
      </x:c>
      <x:c r="AD233" s="75" t="n">
        <x:v>66.7</x:v>
      </x:c>
      <x:c r="AE233" s="75" t="n">
        <x:v>0</x:v>
      </x:c>
      <x:c r="AF233" s="73" t="str">
        <x:v>B: 공식 과목별 70% 백분위 → 단순평균 파생</x:v>
      </x:c>
      <x:c r="AG233" s="73" t="str">
        <x:v>https://www.adiga.kr/ucp/uvt/uni/univDetailSelection.do?menuId=PCUVTINF2000&amp;searchSyr=2026&amp;unvCd=0000052</x:v>
      </x:c>
    </x:row>
    <x:row r="234" ht="18" customHeight="1">
      <x:c r="A234" s="73" t="n">
        <x:v>2025</x:v>
      </x:c>
      <x:c r="B234" s="73" t="str">
        <x:v>서울특별시</x:v>
      </x:c>
      <x:c r="C234" s="73" t="str">
        <x:v>사립</x:v>
      </x:c>
      <x:c r="D234" s="73" t="str">
        <x:v>건국대학교</x:v>
      </x:c>
      <x:c r="E234" s="73" t="str">
        <x:v>가</x:v>
      </x:c>
      <x:c r="F234" s="73" t="str">
        <x:v>일반전형</x:v>
      </x:c>
      <x:c r="G234" s="73" t="str">
        <x:v>수의예과</x:v>
      </x:c>
      <x:c r="H234" s="73" t="n">
        <x:v>39</x:v>
      </x:c>
      <x:c r="I234" s="73" t="n">
        <x:v>0</x:v>
      </x:c>
      <x:c r="J234" s="73" t="n">
        <x:v>39</x:v>
      </x:c>
      <x:c r="K234" s="74" t="n">
        <x:v>6</x:v>
      </x:c>
      <x:c r="L234" s="73" t="n">
        <x:v>50</x:v>
      </x:c>
      <x:c r="M234" s="74" t="n">
        <x:v>704.45</x:v>
      </x:c>
      <x:c r="N234" s="74" t="n">
        <x:v>703.82</x:v>
      </x:c>
      <x:c r="O234" s="74" t="n">
        <x:v>1000</x:v>
      </x:c>
      <x:c r="P234" s="74" t="n">
        <x:v>99</x:v>
      </x:c>
      <x:c r="Q234" s="74" t="n">
        <x:v>99</x:v>
      </x:c>
      <x:c r="R234" s="74" t="n">
        <x:v>81</x:v>
      </x:c>
      <x:c r="S234" s="74" t="n">
        <x:v>96</x:v>
      </x:c>
      <x:c r="T234" s="74" t="n">
        <x:v>2</x:v>
      </x:c>
      <x:c r="U234" s="74" t="n">
        <x:v>1</x:v>
      </x:c>
      <x:c r="V234" s="74"/>
      <x:c r="W234" s="74" t="n">
        <x:f>IF(COUNTA(P234:S234)=4,AVERAGE(P234:S234),"")</x:f>
        <x:v>93.75</x:v>
      </x:c>
      <x:c r="X234" s="74" t="n">
        <x:f>IF(V234&lt;&gt;"",V234,W234)</x:f>
        <x:v>93.75</x:v>
      </x:c>
      <x:c r="Y234" s="73" t="str">
        <x:v>파생 단순평균(참고)</x:v>
      </x:c>
      <x:c r="Z234" s="74" t="n">
        <x:v>80</x:v>
      </x:c>
      <x:c r="AA234" s="74" t="n">
        <x:f>IF(X234&lt;&gt;"",Z234-X234,"")</x:f>
        <x:v>-13.75</x:v>
      </x:c>
      <x:c r="AB234" s="73" t="str">
        <x:f>IF(AA234="","",IF(AA234&gt;=5,"안정",IF(AA234&gt;=1,"적정",IF(AA234&gt;=-2,"소신","상향"))))</x:f>
        <x:v>상향</x:v>
      </x:c>
      <x:c r="AC234" s="75" t="n">
        <x:v>0</x:v>
      </x:c>
      <x:c r="AD234" s="75" t="n">
        <x:v>100</x:v>
      </x:c>
      <x:c r="AE234" s="75" t="n">
        <x:v>0</x:v>
      </x:c>
      <x:c r="AF234" s="73" t="str">
        <x:v>B: 공식 과목별 70% 백분위 → 단순평균 파생</x:v>
      </x:c>
      <x:c r="AG234" s="73" t="str">
        <x:v>https://www.adiga.kr/ucp/uvt/uni/univDetailSelection.do?menuId=PCUVTINF2000&amp;searchSyr=2026&amp;unvCd=0000052</x:v>
      </x:c>
    </x:row>
    <x:row r="235" ht="18" customHeight="1">
      <x:c r="A235" s="73" t="n">
        <x:v>2025</x:v>
      </x:c>
      <x:c r="B235" s="73" t="str">
        <x:v>서울특별시</x:v>
      </x:c>
      <x:c r="C235" s="73" t="str">
        <x:v>사립</x:v>
      </x:c>
      <x:c r="D235" s="73" t="str">
        <x:v>건국대학교</x:v>
      </x:c>
      <x:c r="E235" s="73" t="str">
        <x:v>가</x:v>
      </x:c>
      <x:c r="F235" s="73" t="str">
        <x:v>일반전형</x:v>
      </x:c>
      <x:c r="G235" s="73" t="str">
        <x:v>수학교육과</x:v>
      </x:c>
      <x:c r="H235" s="73" t="n">
        <x:v>8</x:v>
      </x:c>
      <x:c r="I235" s="73" t="n">
        <x:v>1</x:v>
      </x:c>
      <x:c r="J235" s="73" t="n">
        <x:v>9</x:v>
      </x:c>
      <x:c r="K235" s="74" t="n">
        <x:v>6.7</x:v>
      </x:c>
      <x:c r="L235" s="73" t="n">
        <x:v>8</x:v>
      </x:c>
      <x:c r="M235" s="74" t="n">
        <x:v>665.61</x:v>
      </x:c>
      <x:c r="N235" s="74" t="n">
        <x:v>664.78</x:v>
      </x:c>
      <x:c r="O235" s="74" t="n">
        <x:v>1000</x:v>
      </x:c>
      <x:c r="P235" s="74" t="n">
        <x:v>85</x:v>
      </x:c>
      <x:c r="Q235" s="74" t="n">
        <x:v>98</x:v>
      </x:c>
      <x:c r="R235" s="74" t="n">
        <x:v>91</x:v>
      </x:c>
      <x:c r="S235" s="74" t="n">
        <x:v>67</x:v>
      </x:c>
      <x:c r="T235" s="74" t="n">
        <x:v>4</x:v>
      </x:c>
      <x:c r="U235" s="74" t="n">
        <x:v>5</x:v>
      </x:c>
      <x:c r="V235" s="74"/>
      <x:c r="W235" s="74" t="n">
        <x:f>IF(COUNTA(P235:S235)=4,AVERAGE(P235:S235),"")</x:f>
        <x:v>85.25</x:v>
      </x:c>
      <x:c r="X235" s="74" t="n">
        <x:f>IF(V235&lt;&gt;"",V235,W235)</x:f>
        <x:v>85.25</x:v>
      </x:c>
      <x:c r="Y235" s="73" t="str">
        <x:v>파생 단순평균(참고)</x:v>
      </x:c>
      <x:c r="Z235" s="74" t="n">
        <x:v>80</x:v>
      </x:c>
      <x:c r="AA235" s="74" t="n">
        <x:f>IF(X235&lt;&gt;"",Z235-X235,"")</x:f>
        <x:v>-5.25</x:v>
      </x:c>
      <x:c r="AB235" s="73" t="str">
        <x:f>IF(AA235="","",IF(AA235&gt;=5,"안정",IF(AA235&gt;=1,"적정",IF(AA235&gt;=-2,"소신","상향"))))</x:f>
        <x:v>상향</x:v>
      </x:c>
      <x:c r="AC235" s="75" t="n">
        <x:v>0</x:v>
      </x:c>
      <x:c r="AD235" s="75" t="n">
        <x:v>100</x:v>
      </x:c>
      <x:c r="AE235" s="75" t="n">
        <x:v>0</x:v>
      </x:c>
      <x:c r="AF235" s="73" t="str">
        <x:v>B: 공식 과목별 70% 백분위 → 단순평균 파생</x:v>
      </x:c>
      <x:c r="AG235" s="73" t="str">
        <x:v>https://www.adiga.kr/ucp/uvt/uni/univDetailSelection.do?menuId=PCUVTINF2000&amp;searchSyr=2026&amp;unvCd=0000052</x:v>
      </x:c>
    </x:row>
    <x:row r="236" ht="18" customHeight="1">
      <x:c r="A236" s="73" t="n">
        <x:v>2025</x:v>
      </x:c>
      <x:c r="B236" s="73" t="str">
        <x:v>서울특별시</x:v>
      </x:c>
      <x:c r="C236" s="73" t="str">
        <x:v>사립</x:v>
      </x:c>
      <x:c r="D236" s="73" t="str">
        <x:v>건국대학교</x:v>
      </x:c>
      <x:c r="E236" s="73" t="str">
        <x:v>가</x:v>
      </x:c>
      <x:c r="F236" s="73" t="str">
        <x:v>일반전형</x:v>
      </x:c>
      <x:c r="G236" s="73" t="str">
        <x:v>영어교육과</x:v>
      </x:c>
      <x:c r="H236" s="73" t="n">
        <x:v>8</x:v>
      </x:c>
      <x:c r="I236" s="73" t="n">
        <x:v>0</x:v>
      </x:c>
      <x:c r="J236" s="73" t="n">
        <x:v>8</x:v>
      </x:c>
      <x:c r="K236" s="74" t="n">
        <x:v>7.5</x:v>
      </x:c>
      <x:c r="L236" s="73" t="n">
        <x:v>11</x:v>
      </x:c>
      <x:c r="M236" s="74" t="n">
        <x:v>665.59</x:v>
      </x:c>
      <x:c r="N236" s="74" t="n">
        <x:v>665.33</x:v>
      </x:c>
      <x:c r="O236" s="74" t="n">
        <x:v>1000</x:v>
      </x:c>
      <x:c r="P236" s="74" t="n">
        <x:v>97</x:v>
      </x:c>
      <x:c r="Q236" s="74" t="n">
        <x:v>87</x:v>
      </x:c>
      <x:c r="R236" s="74" t="n">
        <x:v>75</x:v>
      </x:c>
      <x:c r="S236" s="74" t="n">
        <x:v>83</x:v>
      </x:c>
      <x:c r="T236" s="74" t="n">
        <x:v>2</x:v>
      </x:c>
      <x:c r="U236" s="74" t="n">
        <x:v>2</x:v>
      </x:c>
      <x:c r="V236" s="74"/>
      <x:c r="W236" s="74" t="n">
        <x:f>IF(COUNTA(P236:S236)=4,AVERAGE(P236:S236),"")</x:f>
        <x:v>85.5</x:v>
      </x:c>
      <x:c r="X236" s="74" t="n">
        <x:f>IF(V236&lt;&gt;"",V236,W236)</x:f>
        <x:v>85.5</x:v>
      </x:c>
      <x:c r="Y236" s="73" t="str">
        <x:v>파생 단순평균(참고)</x:v>
      </x:c>
      <x:c r="Z236" s="74" t="n">
        <x:v>80</x:v>
      </x:c>
      <x:c r="AA236" s="74" t="n">
        <x:f>IF(X236&lt;&gt;"",Z236-X236,"")</x:f>
        <x:v>-5.5</x:v>
      </x:c>
      <x:c r="AB236" s="73" t="str">
        <x:f>IF(AA236="","",IF(AA236&gt;=5,"안정",IF(AA236&gt;=1,"적정",IF(AA236&gt;=-2,"소신","상향"))))</x:f>
        <x:v>상향</x:v>
      </x:c>
      <x:c r="AC236" s="75" t="n">
        <x:v>0</x:v>
      </x:c>
      <x:c r="AD236" s="75" t="n">
        <x:v>100</x:v>
      </x:c>
      <x:c r="AE236" s="75" t="n">
        <x:v>0</x:v>
      </x:c>
      <x:c r="AF236" s="73" t="str">
        <x:v>B: 공식 과목별 70% 백분위 → 단순평균 파생</x:v>
      </x:c>
      <x:c r="AG236" s="73" t="str">
        <x:v>https://www.adiga.kr/ucp/uvt/uni/univDetailSelection.do?menuId=PCUVTINF2000&amp;searchSyr=2026&amp;unvCd=0000052</x:v>
      </x:c>
    </x:row>
    <x:row r="237" ht="18" customHeight="1">
      <x:c r="A237" s="73" t="n">
        <x:v>2025</x:v>
      </x:c>
      <x:c r="B237" s="73" t="str">
        <x:v>서울특별시</x:v>
      </x:c>
      <x:c r="C237" s="73" t="str">
        <x:v>사립</x:v>
      </x:c>
      <x:c r="D237" s="73" t="str">
        <x:v>건국대학교</x:v>
      </x:c>
      <x:c r="E237" s="73" t="str">
        <x:v>가</x:v>
      </x:c>
      <x:c r="F237" s="73" t="str">
        <x:v>일반전형</x:v>
      </x:c>
      <x:c r="G237" s="73" t="str">
        <x:v>KU자유전공학부</x:v>
      </x:c>
      <x:c r="H237" s="73" t="n">
        <x:v>60</x:v>
      </x:c>
      <x:c r="I237" s="73" t="n">
        <x:v>2</x:v>
      </x:c>
      <x:c r="J237" s="73" t="n">
        <x:v>62</x:v>
      </x:c>
      <x:c r="K237" s="74" t="n">
        <x:v>6.2</x:v>
      </x:c>
      <x:c r="L237" s="73" t="n">
        <x:v>46</x:v>
      </x:c>
      <x:c r="M237" s="74" t="n">
        <x:v>671.39</x:v>
      </x:c>
      <x:c r="N237" s="74" t="n">
        <x:v>671.03</x:v>
      </x:c>
      <x:c r="O237" s="74" t="n">
        <x:v>1000</x:v>
      </x:c>
      <x:c r="P237" s="74" t="n">
        <x:v>94</x:v>
      </x:c>
      <x:c r="Q237" s="74" t="n">
        <x:v>85</x:v>
      </x:c>
      <x:c r="R237" s="74" t="n">
        <x:v>100</x:v>
      </x:c>
      <x:c r="S237" s="74" t="n">
        <x:v>92</x:v>
      </x:c>
      <x:c r="T237" s="74" t="n">
        <x:v>3</x:v>
      </x:c>
      <x:c r="U237" s="74" t="n">
        <x:v>1</x:v>
      </x:c>
      <x:c r="V237" s="74"/>
      <x:c r="W237" s="74" t="n">
        <x:f>IF(COUNTA(P237:S237)=4,AVERAGE(P237:S237),"")</x:f>
        <x:v>92.75</x:v>
      </x:c>
      <x:c r="X237" s="74" t="n">
        <x:f>IF(V237&lt;&gt;"",V237,W237)</x:f>
        <x:v>92.75</x:v>
      </x:c>
      <x:c r="Y237" s="73" t="str">
        <x:v>파생 단순평균(참고)</x:v>
      </x:c>
      <x:c r="Z237" s="74" t="n">
        <x:v>80</x:v>
      </x:c>
      <x:c r="AA237" s="74" t="n">
        <x:f>IF(X237&lt;&gt;"",Z237-X237,"")</x:f>
        <x:v>-12.75</x:v>
      </x:c>
      <x:c r="AB237" s="73" t="str">
        <x:f>IF(AA237="","",IF(AA237&gt;=5,"안정",IF(AA237&gt;=1,"적정",IF(AA237&gt;=-2,"소신","상향"))))</x:f>
        <x:v>상향</x:v>
      </x:c>
      <x:c r="AC237" s="75" t="n">
        <x:v>1.7</x:v>
      </x:c>
      <x:c r="AD237" s="75" t="n">
        <x:v>95</x:v>
      </x:c>
      <x:c r="AE237" s="75" t="n">
        <x:v>3.3</x:v>
      </x:c>
      <x:c r="AF237" s="73" t="str">
        <x:v>B: 공식 과목별 70% 백분위 → 단순평균 파생</x:v>
      </x:c>
      <x:c r="AG237" s="73" t="str">
        <x:v>https://www.adiga.kr/ucp/uvt/uni/univDetailSelection.do?menuId=PCUVTINF2000&amp;searchSyr=2026&amp;unvCd=0000052</x:v>
      </x:c>
    </x:row>
    <x:row r="238" ht="18" customHeight="1">
      <x:c r="A238" s="73" t="n">
        <x:v>2025</x:v>
      </x:c>
      <x:c r="B238" s="73" t="str">
        <x:v>서울특별시</x:v>
      </x:c>
      <x:c r="C238" s="73" t="str">
        <x:v>사립</x:v>
      </x:c>
      <x:c r="D238" s="73" t="str">
        <x:v>건국대학교</x:v>
      </x:c>
      <x:c r="E238" s="73" t="str">
        <x:v>나</x:v>
      </x:c>
      <x:c r="F238" s="73" t="str">
        <x:v>일반전형</x:v>
      </x:c>
      <x:c r="G238" s="73" t="str">
        <x:v>국어국문학과</x:v>
      </x:c>
      <x:c r="H238" s="73" t="n">
        <x:v>6</x:v>
      </x:c>
      <x:c r="I238" s="73" t="n">
        <x:v>0</x:v>
      </x:c>
      <x:c r="J238" s="73" t="n">
        <x:v>6</x:v>
      </x:c>
      <x:c r="K238" s="74" t="n">
        <x:v>9.3</x:v>
      </x:c>
      <x:c r="L238" s="73" t="n">
        <x:v>6</x:v>
      </x:c>
      <x:c r="M238" s="74" t="n">
        <x:v>664.4</x:v>
      </x:c>
      <x:c r="N238" s="74" t="n">
        <x:v>663.89</x:v>
      </x:c>
      <x:c r="O238" s="74" t="n">
        <x:v>1000</x:v>
      </x:c>
      <x:c r="P238" s="74" t="n">
        <x:v>94</x:v>
      </x:c>
      <x:c r="Q238" s="74" t="n">
        <x:v>78</x:v>
      </x:c>
      <x:c r="R238" s="74" t="n">
        <x:v>97</x:v>
      </x:c>
      <x:c r="S238" s="74" t="n">
        <x:v>92</x:v>
      </x:c>
      <x:c r="T238" s="74" t="n">
        <x:v>3</x:v>
      </x:c>
      <x:c r="U238" s="74" t="n">
        <x:v>3</x:v>
      </x:c>
      <x:c r="V238" s="74"/>
      <x:c r="W238" s="74" t="n">
        <x:f>IF(COUNTA(P238:S238)=4,AVERAGE(P238:S238),"")</x:f>
        <x:v>90.25</x:v>
      </x:c>
      <x:c r="X238" s="74" t="n">
        <x:f>IF(V238&lt;&gt;"",V238,W238)</x:f>
        <x:v>90.25</x:v>
      </x:c>
      <x:c r="Y238" s="73" t="str">
        <x:v>파생 단순평균(참고)</x:v>
      </x:c>
      <x:c r="Z238" s="74" t="n">
        <x:v>80</x:v>
      </x:c>
      <x:c r="AA238" s="74" t="n">
        <x:f>IF(X238&lt;&gt;"",Z238-X238,"")</x:f>
        <x:v>-10.25</x:v>
      </x:c>
      <x:c r="AB238" s="73" t="str">
        <x:f>IF(AA238="","",IF(AA238&gt;=5,"안정",IF(AA238&gt;=1,"적정",IF(AA238&gt;=-2,"소신","상향"))))</x:f>
        <x:v>상향</x:v>
      </x:c>
      <x:c r="AC238" s="75" t="n">
        <x:v>50</x:v>
      </x:c>
      <x:c r="AD238" s="75" t="n">
        <x:v>33.3</x:v>
      </x:c>
      <x:c r="AE238" s="75" t="n">
        <x:v>16.7</x:v>
      </x:c>
      <x:c r="AF238" s="73" t="str">
        <x:v>B: 공식 과목별 70% 백분위 → 단순평균 파생</x:v>
      </x:c>
      <x:c r="AG238" s="73" t="str">
        <x:v>https://www.adiga.kr/ucp/uvt/uni/univDetailSelection.do?menuId=PCUVTINF2000&amp;searchSyr=2026&amp;unvCd=0000052</x:v>
      </x:c>
    </x:row>
    <x:row r="239" ht="18" customHeight="1">
      <x:c r="A239" s="73" t="n">
        <x:v>2025</x:v>
      </x:c>
      <x:c r="B239" s="73" t="str">
        <x:v>서울특별시</x:v>
      </x:c>
      <x:c r="C239" s="73" t="str">
        <x:v>사립</x:v>
      </x:c>
      <x:c r="D239" s="73" t="str">
        <x:v>건국대학교</x:v>
      </x:c>
      <x:c r="E239" s="73" t="str">
        <x:v>나</x:v>
      </x:c>
      <x:c r="F239" s="73" t="str">
        <x:v>일반전형</x:v>
      </x:c>
      <x:c r="G239" s="73" t="str">
        <x:v>영어영문학과</x:v>
      </x:c>
      <x:c r="H239" s="73" t="n">
        <x:v>6</x:v>
      </x:c>
      <x:c r="I239" s="73" t="n">
        <x:v>0</x:v>
      </x:c>
      <x:c r="J239" s="73" t="n">
        <x:v>6</x:v>
      </x:c>
      <x:c r="K239" s="74" t="n">
        <x:v>11.2</x:v>
      </x:c>
      <x:c r="L239" s="73" t="n">
        <x:v>5</x:v>
      </x:c>
      <x:c r="M239" s="74" t="n">
        <x:v>666.13</x:v>
      </x:c>
      <x:c r="N239" s="74" t="n">
        <x:v>665.76</x:v>
      </x:c>
      <x:c r="O239" s="74" t="n">
        <x:v>1000</x:v>
      </x:c>
      <x:c r="P239" s="74" t="n">
        <x:v>96</x:v>
      </x:c>
      <x:c r="Q239" s="74" t="n">
        <x:v>85</x:v>
      </x:c>
      <x:c r="R239" s="74" t="n">
        <x:v>87</x:v>
      </x:c>
      <x:c r="S239" s="74" t="n">
        <x:v>92</x:v>
      </x:c>
      <x:c r="T239" s="74" t="n">
        <x:v>4</x:v>
      </x:c>
      <x:c r="U239" s="74" t="n">
        <x:v>2</x:v>
      </x:c>
      <x:c r="V239" s="74"/>
      <x:c r="W239" s="74" t="n">
        <x:f>IF(COUNTA(P239:S239)=4,AVERAGE(P239:S239),"")</x:f>
        <x:v>90</x:v>
      </x:c>
      <x:c r="X239" s="74" t="n">
        <x:f>IF(V239&lt;&gt;"",V239,W239)</x:f>
        <x:v>90</x:v>
      </x:c>
      <x:c r="Y239" s="73" t="str">
        <x:v>파생 단순평균(참고)</x:v>
      </x:c>
      <x:c r="Z239" s="74" t="n">
        <x:v>80</x:v>
      </x:c>
      <x:c r="AA239" s="74" t="n">
        <x:f>IF(X239&lt;&gt;"",Z239-X239,"")</x:f>
        <x:v>-10</x:v>
      </x:c>
      <x:c r="AB239" s="73" t="str">
        <x:f>IF(AA239="","",IF(AA239&gt;=5,"안정",IF(AA239&gt;=1,"적정",IF(AA239&gt;=-2,"소신","상향"))))</x:f>
        <x:v>상향</x:v>
      </x:c>
      <x:c r="AC239" s="75" t="n">
        <x:v>0</x:v>
      </x:c>
      <x:c r="AD239" s="75" t="n">
        <x:v>60</x:v>
      </x:c>
      <x:c r="AE239" s="75" t="n">
        <x:v>40</x:v>
      </x:c>
      <x:c r="AF239" s="73" t="str">
        <x:v>B: 공식 과목별 70% 백분위 → 단순평균 파생</x:v>
      </x:c>
      <x:c r="AG239" s="73" t="str">
        <x:v>https://www.adiga.kr/ucp/uvt/uni/univDetailSelection.do?menuId=PCUVTINF2000&amp;searchSyr=2026&amp;unvCd=0000052</x:v>
      </x:c>
    </x:row>
    <x:row r="240" ht="18" customHeight="1">
      <x:c r="A240" s="73" t="n">
        <x:v>2025</x:v>
      </x:c>
      <x:c r="B240" s="73" t="str">
        <x:v>서울특별시</x:v>
      </x:c>
      <x:c r="C240" s="73" t="str">
        <x:v>사립</x:v>
      </x:c>
      <x:c r="D240" s="73" t="str">
        <x:v>숙명여자대학교</x:v>
      </x:c>
      <x:c r="E240" s="73" t="str">
        <x:v>가</x:v>
      </x:c>
      <x:c r="F240" s="73" t="str">
        <x:v>일반전형</x:v>
      </x:c>
      <x:c r="G240" s="73" t="str">
        <x:v>한국어문학부</x:v>
      </x:c>
      <x:c r="H240" s="73" t="n">
        <x:v>17</x:v>
      </x:c>
      <x:c r="I240" s="73" t="n">
        <x:v>0</x:v>
      </x:c>
      <x:c r="J240" s="73" t="n">
        <x:v>17</x:v>
      </x:c>
      <x:c r="K240" s="74" t="n">
        <x:v>4.29</x:v>
      </x:c>
      <x:c r="L240" s="73" t="n">
        <x:v>6</x:v>
      </x:c>
      <x:c r="M240" s="74" t="n">
        <x:v>902.02</x:v>
      </x:c>
      <x:c r="N240" s="74" t="n">
        <x:v>901.25</x:v>
      </x:c>
      <x:c r="O240" s="74" t="n">
        <x:v>1000</x:v>
      </x:c>
      <x:c r="P240" s="74" t="n">
        <x:v>93</x:v>
      </x:c>
      <x:c r="Q240" s="74" t="n">
        <x:v>70</x:v>
      </x:c>
      <x:c r="R240" s="74" t="n">
        <x:v>77</x:v>
      </x:c>
      <x:c r="S240" s="74" t="n">
        <x:v>77</x:v>
      </x:c>
      <x:c r="T240" s="74" t="n">
        <x:v>2</x:v>
      </x:c>
      <x:c r="U240" s="74"/>
      <x:c r="V240" s="74"/>
      <x:c r="W240" s="74" t="n">
        <x:f>IF(COUNTA(P240:S240)=4,AVERAGE(P240:S240),"")</x:f>
        <x:v>79.25</x:v>
      </x:c>
      <x:c r="X240" s="74" t="n">
        <x:f>IF(V240&lt;&gt;"",V240,W240)</x:f>
        <x:v>79.25</x:v>
      </x:c>
      <x:c r="Y240" s="73" t="str">
        <x:v>파생 단순평균(참고)</x:v>
      </x:c>
      <x:c r="Z240" s="74" t="n">
        <x:v>80</x:v>
      </x:c>
      <x:c r="AA240" s="74" t="n">
        <x:f>IF(X240&lt;&gt;"",Z240-X240,"")</x:f>
        <x:v>0.75</x:v>
      </x:c>
      <x:c r="AB240" s="73" t="str">
        <x:f>IF(AA240="","",IF(AA240&gt;=5,"안정",IF(AA240&gt;=1,"적정",IF(AA240&gt;=-2,"소신","상향"))))</x:f>
        <x:v>소신</x:v>
      </x:c>
      <x:c r="AC240" s="75" t="n">
        <x:v>76.47</x:v>
      </x:c>
      <x:c r="AD240" s="75" t="n">
        <x:v>23.53</x:v>
      </x:c>
      <x:c r="AE240" s="75" t="n">
        <x:v>0</x:v>
      </x:c>
      <x:c r="AF240" s="73" t="str">
        <x:v>B: 공식 과목별 70% 백분위 → 단순평균 파생</x:v>
      </x:c>
      <x:c r="AG240" s="73" t="str">
        <x:v>https://adiga.kr/ucp/uvt/uni/univDetailSelection.do?menuId=PCUVTINF2000&amp;searchSyr=2026&amp;unvCd=0000141</x:v>
      </x:c>
    </x:row>
    <x:row r="241" ht="18" customHeight="1">
      <x:c r="A241" s="73" t="n">
        <x:v>2025</x:v>
      </x:c>
      <x:c r="B241" s="73" t="str">
        <x:v>서울특별시</x:v>
      </x:c>
      <x:c r="C241" s="73" t="str">
        <x:v>사립</x:v>
      </x:c>
      <x:c r="D241" s="73" t="str">
        <x:v>숙명여자대학교</x:v>
      </x:c>
      <x:c r="E241" s="73" t="str">
        <x:v>가</x:v>
      </x:c>
      <x:c r="F241" s="73" t="str">
        <x:v>일반전형</x:v>
      </x:c>
      <x:c r="G241" s="73" t="str">
        <x:v>역사문화학과</x:v>
      </x:c>
      <x:c r="H241" s="73" t="n">
        <x:v>9</x:v>
      </x:c>
      <x:c r="I241" s="73" t="n">
        <x:v>0</x:v>
      </x:c>
      <x:c r="J241" s="73" t="n">
        <x:v>9</x:v>
      </x:c>
      <x:c r="K241" s="74" t="n">
        <x:v>4.11</x:v>
      </x:c>
      <x:c r="L241" s="73"/>
      <x:c r="M241" s="74" t="n">
        <x:v>900.89</x:v>
      </x:c>
      <x:c r="N241" s="74" t="n">
        <x:v>900.66</x:v>
      </x:c>
      <x:c r="O241" s="74" t="n">
        <x:v>1000</x:v>
      </x:c>
      <x:c r="P241" s="74" t="n">
        <x:v>91</x:v>
      </x:c>
      <x:c r="Q241" s="74" t="n">
        <x:v>70</x:v>
      </x:c>
      <x:c r="R241" s="74" t="n">
        <x:v>83</x:v>
      </x:c>
      <x:c r="S241" s="74" t="n">
        <x:v>86</x:v>
      </x:c>
      <x:c r="T241" s="74" t="n">
        <x:v>2</x:v>
      </x:c>
      <x:c r="U241" s="74"/>
      <x:c r="V241" s="74"/>
      <x:c r="W241" s="74" t="n">
        <x:f>IF(COUNTA(P241:S241)=4,AVERAGE(P241:S241),"")</x:f>
        <x:v>82.5</x:v>
      </x:c>
      <x:c r="X241" s="74" t="n">
        <x:f>IF(V241&lt;&gt;"",V241,W241)</x:f>
        <x:v>82.5</x:v>
      </x:c>
      <x:c r="Y241" s="73" t="str">
        <x:v>파생 단순평균(참고)</x:v>
      </x:c>
      <x:c r="Z241" s="74" t="n">
        <x:v>80</x:v>
      </x:c>
      <x:c r="AA241" s="74" t="n">
        <x:f>IF(X241&lt;&gt;"",Z241-X241,"")</x:f>
        <x:v>-2.5</x:v>
      </x:c>
      <x:c r="AB241" s="73" t="str">
        <x:f>IF(AA241="","",IF(AA241&gt;=5,"안정",IF(AA241&gt;=1,"적정",IF(AA241&gt;=-2,"소신","상향"))))</x:f>
        <x:v>상향</x:v>
      </x:c>
      <x:c r="AC241" s="75" t="n">
        <x:v>66.67</x:v>
      </x:c>
      <x:c r="AD241" s="75" t="n">
        <x:v>33.33</x:v>
      </x:c>
      <x:c r="AE241" s="75" t="n">
        <x:v>0</x:v>
      </x:c>
      <x:c r="AF241" s="73" t="str">
        <x:v>B: 공식 과목별 70% 백분위 → 단순평균 파생</x:v>
      </x:c>
      <x:c r="AG241" s="73" t="str">
        <x:v>https://adiga.kr/ucp/uvt/uni/univDetailSelection.do?menuId=PCUVTINF2000&amp;searchSyr=2026&amp;unvCd=0000141</x:v>
      </x:c>
    </x:row>
    <x:row r="242" ht="18" customHeight="1">
      <x:c r="A242" s="73" t="n">
        <x:v>2025</x:v>
      </x:c>
      <x:c r="B242" s="73" t="str">
        <x:v>서울특별시</x:v>
      </x:c>
      <x:c r="C242" s="73" t="str">
        <x:v>사립</x:v>
      </x:c>
      <x:c r="D242" s="73" t="str">
        <x:v>숙명여자대학교</x:v>
      </x:c>
      <x:c r="E242" s="73" t="str">
        <x:v>가</x:v>
      </x:c>
      <x:c r="F242" s="73" t="str">
        <x:v>일반전형</x:v>
      </x:c>
      <x:c r="G242" s="73" t="str">
        <x:v>프랑스언어·문화학과</x:v>
      </x:c>
      <x:c r="H242" s="73" t="n">
        <x:v>5</x:v>
      </x:c>
      <x:c r="I242" s="73" t="n">
        <x:v>4</x:v>
      </x:c>
      <x:c r="J242" s="73" t="n">
        <x:v>9</x:v>
      </x:c>
      <x:c r="K242" s="74" t="n">
        <x:v>4</x:v>
      </x:c>
      <x:c r="L242" s="73" t="n">
        <x:v>6</x:v>
      </x:c>
      <x:c r="M242" s="74" t="n">
        <x:v>900.52</x:v>
      </x:c>
      <x:c r="N242" s="74" t="n">
        <x:v>900.13</x:v>
      </x:c>
      <x:c r="O242" s="74" t="n">
        <x:v>1000</x:v>
      </x:c>
      <x:c r="P242" s="74" t="n">
        <x:v>93</x:v>
      </x:c>
      <x:c r="Q242" s="74" t="n">
        <x:v>78</x:v>
      </x:c>
      <x:c r="R242" s="74" t="n">
        <x:v>75</x:v>
      </x:c>
      <x:c r="S242" s="74" t="n">
        <x:v>74</x:v>
      </x:c>
      <x:c r="T242" s="74" t="n">
        <x:v>2</x:v>
      </x:c>
      <x:c r="U242" s="74"/>
      <x:c r="V242" s="74"/>
      <x:c r="W242" s="74" t="n">
        <x:f>IF(COUNTA(P242:S242)=4,AVERAGE(P242:S242),"")</x:f>
        <x:v>80</x:v>
      </x:c>
      <x:c r="X242" s="74" t="n">
        <x:f>IF(V242&lt;&gt;"",V242,W242)</x:f>
        <x:v>80</x:v>
      </x:c>
      <x:c r="Y242" s="73" t="str">
        <x:v>파생 단순평균(참고)</x:v>
      </x:c>
      <x:c r="Z242" s="74" t="n">
        <x:v>80</x:v>
      </x:c>
      <x:c r="AA242" s="74" t="n">
        <x:f>IF(X242&lt;&gt;"",Z242-X242,"")</x:f>
        <x:v>0</x:v>
      </x:c>
      <x:c r="AB242" s="73" t="str">
        <x:f>IF(AA242="","",IF(AA242&gt;=5,"안정",IF(AA242&gt;=1,"적정",IF(AA242&gt;=-2,"소신","상향"))))</x:f>
      </x:c>
      <x:c r="AC242" s="75" t="n">
        <x:v>33.33</x:v>
      </x:c>
      <x:c r="AD242" s="75" t="n">
        <x:v>55.56</x:v>
      </x:c>
      <x:c r="AE242" s="75" t="n">
        <x:v>11.11</x:v>
      </x:c>
      <x:c r="AF242" s="73" t="str">
        <x:v>B: 공식 과목별 70% 백분위 → 단순평균 파생</x:v>
      </x:c>
      <x:c r="AG242" s="73" t="str">
        <x:v>https://adiga.kr/ucp/uvt/uni/univDetailSelection.do?menuId=PCUVTINF2000&amp;searchSyr=2026&amp;unvCd=0000141</x:v>
      </x:c>
    </x:row>
    <x:row r="243" ht="18" customHeight="1">
      <x:c r="A243" s="73" t="n">
        <x:v>2025</x:v>
      </x:c>
      <x:c r="B243" s="73" t="str">
        <x:v>서울특별시</x:v>
      </x:c>
      <x:c r="C243" s="73" t="str">
        <x:v>사립</x:v>
      </x:c>
      <x:c r="D243" s="73" t="str">
        <x:v>숙명여자대학교</x:v>
      </x:c>
      <x:c r="E243" s="73" t="str">
        <x:v>가</x:v>
      </x:c>
      <x:c r="F243" s="73" t="str">
        <x:v>일반전형</x:v>
      </x:c>
      <x:c r="G243" s="73" t="str">
        <x:v>중어중문학부</x:v>
      </x:c>
      <x:c r="H243" s="73" t="n">
        <x:v>20</x:v>
      </x:c>
      <x:c r="I243" s="73" t="n">
        <x:v>0</x:v>
      </x:c>
      <x:c r="J243" s="73" t="n">
        <x:v>20</x:v>
      </x:c>
      <x:c r="K243" s="74" t="n">
        <x:v>5.7</x:v>
      </x:c>
      <x:c r="L243" s="73" t="n">
        <x:v>11</x:v>
      </x:c>
      <x:c r="M243" s="74" t="n">
        <x:v>898.51</x:v>
      </x:c>
      <x:c r="N243" s="74" t="n">
        <x:v>896.19</x:v>
      </x:c>
      <x:c r="O243" s="74" t="n">
        <x:v>1000</x:v>
      </x:c>
      <x:c r="P243" s="74" t="n">
        <x:v>93</x:v>
      </x:c>
      <x:c r="Q243" s="74" t="n">
        <x:v>59</x:v>
      </x:c>
      <x:c r="R243" s="74" t="n">
        <x:v>79</x:v>
      </x:c>
      <x:c r="S243" s="74" t="n">
        <x:v>75</x:v>
      </x:c>
      <x:c r="T243" s="74" t="n">
        <x:v>2</x:v>
      </x:c>
      <x:c r="U243" s="74"/>
      <x:c r="V243" s="74"/>
      <x:c r="W243" s="74" t="n">
        <x:f>IF(COUNTA(P243:S243)=4,AVERAGE(P243:S243),"")</x:f>
        <x:v>76.5</x:v>
      </x:c>
      <x:c r="X243" s="74" t="n">
        <x:f>IF(V243&lt;&gt;"",V243,W243)</x:f>
        <x:v>76.5</x:v>
      </x:c>
      <x:c r="Y243" s="73" t="str">
        <x:v>파생 단순평균(참고)</x:v>
      </x:c>
      <x:c r="Z243" s="74" t="n">
        <x:v>80</x:v>
      </x:c>
      <x:c r="AA243" s="74" t="n">
        <x:f>IF(X243&lt;&gt;"",Z243-X243,"")</x:f>
        <x:v>3.5</x:v>
      </x:c>
      <x:c r="AB243" s="73" t="str">
        <x:f>IF(AA243="","",IF(AA243&gt;=5,"안정",IF(AA243&gt;=1,"적정",IF(AA243&gt;=-2,"소신","상향"))))</x:f>
        <x:v>적정</x:v>
      </x:c>
      <x:c r="AC243" s="75" t="n">
        <x:v>55</x:v>
      </x:c>
      <x:c r="AD243" s="75" t="n">
        <x:v>45</x:v>
      </x:c>
      <x:c r="AE243" s="75" t="n">
        <x:v>0</x:v>
      </x:c>
      <x:c r="AF243" s="73" t="str">
        <x:v>B: 공식 과목별 70% 백분위 → 단순평균 파생</x:v>
      </x:c>
      <x:c r="AG243" s="73" t="str">
        <x:v>https://adiga.kr/ucp/uvt/uni/univDetailSelection.do?menuId=PCUVTINF2000&amp;searchSyr=2026&amp;unvCd=0000141</x:v>
      </x:c>
    </x:row>
    <x:row r="244" ht="18" customHeight="1">
      <x:c r="A244" s="73" t="n">
        <x:v>2025</x:v>
      </x:c>
      <x:c r="B244" s="73" t="str">
        <x:v>서울특별시</x:v>
      </x:c>
      <x:c r="C244" s="73" t="str">
        <x:v>사립</x:v>
      </x:c>
      <x:c r="D244" s="73" t="str">
        <x:v>숙명여자대학교</x:v>
      </x:c>
      <x:c r="E244" s="73" t="str">
        <x:v>가</x:v>
      </x:c>
      <x:c r="F244" s="73" t="str">
        <x:v>일반전형</x:v>
      </x:c>
      <x:c r="G244" s="73" t="str">
        <x:v>독일언어·문화학과</x:v>
      </x:c>
      <x:c r="H244" s="73" t="n">
        <x:v>5</x:v>
      </x:c>
      <x:c r="I244" s="73" t="n">
        <x:v>0</x:v>
      </x:c>
      <x:c r="J244" s="73" t="n">
        <x:v>5</x:v>
      </x:c>
      <x:c r="K244" s="74" t="n">
        <x:v>7.2</x:v>
      </x:c>
      <x:c r="L244" s="73" t="n">
        <x:v>2</x:v>
      </x:c>
      <x:c r="M244" s="74" t="n">
        <x:v>899.36</x:v>
      </x:c>
      <x:c r="N244" s="74" t="n">
        <x:v>898.85</x:v>
      </x:c>
      <x:c r="O244" s="74" t="n">
        <x:v>1000</x:v>
      </x:c>
      <x:c r="P244" s="74" t="n">
        <x:v>93</x:v>
      </x:c>
      <x:c r="Q244" s="74" t="n">
        <x:v>76</x:v>
      </x:c>
      <x:c r="R244" s="74" t="n">
        <x:v>74</x:v>
      </x:c>
      <x:c r="S244" s="74" t="n">
        <x:v>77</x:v>
      </x:c>
      <x:c r="T244" s="74" t="n">
        <x:v>2</x:v>
      </x:c>
      <x:c r="U244" s="74"/>
      <x:c r="V244" s="74"/>
      <x:c r="W244" s="74" t="n">
        <x:f>IF(COUNTA(P244:S244)=4,AVERAGE(P244:S244),"")</x:f>
        <x:v>80</x:v>
      </x:c>
      <x:c r="X244" s="74" t="n">
        <x:f>IF(V244&lt;&gt;"",V244,W244)</x:f>
        <x:v>80</x:v>
      </x:c>
      <x:c r="Y244" s="73" t="str">
        <x:v>파생 단순평균(참고)</x:v>
      </x:c>
      <x:c r="Z244" s="74" t="n">
        <x:v>80</x:v>
      </x:c>
      <x:c r="AA244" s="74" t="n">
        <x:f>IF(X244&lt;&gt;"",Z244-X244,"")</x:f>
        <x:v>0</x:v>
      </x:c>
      <x:c r="AB244" s="73" t="str">
        <x:f>IF(AA244="","",IF(AA244&gt;=5,"안정",IF(AA244&gt;=1,"적정",IF(AA244&gt;=-2,"소신","상향"))))</x:f>
      </x:c>
      <x:c r="AC244" s="75" t="n">
        <x:v>40</x:v>
      </x:c>
      <x:c r="AD244" s="75" t="n">
        <x:v>60</x:v>
      </x:c>
      <x:c r="AE244" s="75" t="n">
        <x:v>0</x:v>
      </x:c>
      <x:c r="AF244" s="73" t="str">
        <x:v>B: 공식 과목별 70% 백분위 → 단순평균 파생</x:v>
      </x:c>
      <x:c r="AG244" s="73" t="str">
        <x:v>https://adiga.kr/ucp/uvt/uni/univDetailSelection.do?menuId=PCUVTINF2000&amp;searchSyr=2026&amp;unvCd=0000141</x:v>
      </x:c>
    </x:row>
    <x:row r="245" ht="18" customHeight="1">
      <x:c r="A245" s="73" t="n">
        <x:v>2025</x:v>
      </x:c>
      <x:c r="B245" s="73" t="str">
        <x:v>서울특별시</x:v>
      </x:c>
      <x:c r="C245" s="73" t="str">
        <x:v>사립</x:v>
      </x:c>
      <x:c r="D245" s="73" t="str">
        <x:v>숙명여자대학교</x:v>
      </x:c>
      <x:c r="E245" s="73" t="str">
        <x:v>가</x:v>
      </x:c>
      <x:c r="F245" s="73" t="str">
        <x:v>일반전형</x:v>
      </x:c>
      <x:c r="G245" s="73" t="str">
        <x:v>일본학과</x:v>
      </x:c>
      <x:c r="H245" s="73" t="n">
        <x:v>4</x:v>
      </x:c>
      <x:c r="I245" s="73" t="n">
        <x:v>1</x:v>
      </x:c>
      <x:c r="J245" s="73" t="n">
        <x:v>5</x:v>
      </x:c>
      <x:c r="K245" s="74" t="n">
        <x:v>4.4</x:v>
      </x:c>
      <x:c r="L245" s="73" t="n">
        <x:v>1</x:v>
      </x:c>
      <x:c r="M245" s="74" t="n">
        <x:v>900.96</x:v>
      </x:c>
      <x:c r="N245" s="74" t="n">
        <x:v>900.37</x:v>
      </x:c>
      <x:c r="O245" s="74" t="n">
        <x:v>1000</x:v>
      </x:c>
      <x:c r="P245" s="74" t="n">
        <x:v>91</x:v>
      </x:c>
      <x:c r="Q245" s="74" t="n">
        <x:v>81</x:v>
      </x:c>
      <x:c r="R245" s="74" t="n">
        <x:v>74</x:v>
      </x:c>
      <x:c r="S245" s="74" t="n">
        <x:v>91</x:v>
      </x:c>
      <x:c r="T245" s="74" t="n">
        <x:v>2</x:v>
      </x:c>
      <x:c r="U245" s="74"/>
      <x:c r="V245" s="74"/>
      <x:c r="W245" s="74" t="n">
        <x:f>IF(COUNTA(P245:S245)=4,AVERAGE(P245:S245),"")</x:f>
        <x:v>84.25</x:v>
      </x:c>
      <x:c r="X245" s="74" t="n">
        <x:f>IF(V245&lt;&gt;"",V245,W245)</x:f>
        <x:v>84.25</x:v>
      </x:c>
      <x:c r="Y245" s="73" t="str">
        <x:v>파생 단순평균(참고)</x:v>
      </x:c>
      <x:c r="Z245" s="74" t="n">
        <x:v>80</x:v>
      </x:c>
      <x:c r="AA245" s="74" t="n">
        <x:f>IF(X245&lt;&gt;"",Z245-X245,"")</x:f>
        <x:v>-4.25</x:v>
      </x:c>
      <x:c r="AB245" s="73" t="str">
        <x:f>IF(AA245="","",IF(AA245&gt;=5,"안정",IF(AA245&gt;=1,"적정",IF(AA245&gt;=-2,"소신","상향"))))</x:f>
        <x:v>상향</x:v>
      </x:c>
      <x:c r="AC245" s="75" t="n">
        <x:v>80</x:v>
      </x:c>
      <x:c r="AD245" s="75" t="n">
        <x:v>20</x:v>
      </x:c>
      <x:c r="AE245" s="75" t="n">
        <x:v>0</x:v>
      </x:c>
      <x:c r="AF245" s="73" t="str">
        <x:v>B: 공식 과목별 70% 백분위 → 단순평균 파생</x:v>
      </x:c>
      <x:c r="AG245" s="73" t="str">
        <x:v>https://adiga.kr/ucp/uvt/uni/univDetailSelection.do?menuId=PCUVTINF2000&amp;searchSyr=2026&amp;unvCd=0000141</x:v>
      </x:c>
    </x:row>
    <x:row r="246" ht="18" customHeight="1">
      <x:c r="A246" s="73" t="n">
        <x:v>2025</x:v>
      </x:c>
      <x:c r="B246" s="73" t="str">
        <x:v>서울특별시</x:v>
      </x:c>
      <x:c r="C246" s="73" t="str">
        <x:v>사립</x:v>
      </x:c>
      <x:c r="D246" s="73" t="str">
        <x:v>숙명여자대학교</x:v>
      </x:c>
      <x:c r="E246" s="73" t="str">
        <x:v>가</x:v>
      </x:c>
      <x:c r="F246" s="73" t="str">
        <x:v>일반전형</x:v>
      </x:c>
      <x:c r="G246" s="73" t="str">
        <x:v>문헌정보학과</x:v>
      </x:c>
      <x:c r="H246" s="73" t="n">
        <x:v>8</x:v>
      </x:c>
      <x:c r="I246" s="73" t="n">
        <x:v>0</x:v>
      </x:c>
      <x:c r="J246" s="73" t="n">
        <x:v>8</x:v>
      </x:c>
      <x:c r="K246" s="74" t="n">
        <x:v>5</x:v>
      </x:c>
      <x:c r="L246" s="73" t="n">
        <x:v>5</x:v>
      </x:c>
      <x:c r="M246" s="74" t="n">
        <x:v>901.62</x:v>
      </x:c>
      <x:c r="N246" s="74" t="n">
        <x:v>896.45</x:v>
      </x:c>
      <x:c r="O246" s="74" t="n">
        <x:v>1000</x:v>
      </x:c>
      <x:c r="P246" s="74" t="n">
        <x:v>91</x:v>
      </x:c>
      <x:c r="Q246" s="74" t="n">
        <x:v>63</x:v>
      </x:c>
      <x:c r="R246" s="74" t="n">
        <x:v>87</x:v>
      </x:c>
      <x:c r="S246" s="74" t="n">
        <x:v>85</x:v>
      </x:c>
      <x:c r="T246" s="74" t="n">
        <x:v>2</x:v>
      </x:c>
      <x:c r="U246" s="74"/>
      <x:c r="V246" s="74"/>
      <x:c r="W246" s="74" t="n">
        <x:f>IF(COUNTA(P246:S246)=4,AVERAGE(P246:S246),"")</x:f>
        <x:v>81.5</x:v>
      </x:c>
      <x:c r="X246" s="74" t="n">
        <x:f>IF(V246&lt;&gt;"",V246,W246)</x:f>
        <x:v>81.5</x:v>
      </x:c>
      <x:c r="Y246" s="73" t="str">
        <x:v>파생 단순평균(참고)</x:v>
      </x:c>
      <x:c r="Z246" s="74" t="n">
        <x:v>80</x:v>
      </x:c>
      <x:c r="AA246" s="74" t="n">
        <x:f>IF(X246&lt;&gt;"",Z246-X246,"")</x:f>
        <x:v>-1.5</x:v>
      </x:c>
      <x:c r="AB246" s="73" t="str">
        <x:f>IF(AA246="","",IF(AA246&gt;=5,"안정",IF(AA246&gt;=1,"적정",IF(AA246&gt;=-2,"소신","상향"))))</x:f>
        <x:v>소신</x:v>
      </x:c>
      <x:c r="AC246" s="75" t="n">
        <x:v>62.5</x:v>
      </x:c>
      <x:c r="AD246" s="75" t="n">
        <x:v>25</x:v>
      </x:c>
      <x:c r="AE246" s="75" t="n">
        <x:v>12.5</x:v>
      </x:c>
      <x:c r="AF246" s="73" t="str">
        <x:v>B: 공식 과목별 70% 백분위 → 단순평균 파생</x:v>
      </x:c>
      <x:c r="AG246" s="73" t="str">
        <x:v>https://adiga.kr/ucp/uvt/uni/univDetailSelection.do?menuId=PCUVTINF2000&amp;searchSyr=2026&amp;unvCd=0000141</x:v>
      </x:c>
    </x:row>
    <x:row r="247" ht="18" customHeight="1">
      <x:c r="A247" s="73" t="n">
        <x:v>2025</x:v>
      </x:c>
      <x:c r="B247" s="73" t="str">
        <x:v>서울특별시</x:v>
      </x:c>
      <x:c r="C247" s="73" t="str">
        <x:v>사립</x:v>
      </x:c>
      <x:c r="D247" s="73" t="str">
        <x:v>숙명여자대학교</x:v>
      </x:c>
      <x:c r="E247" s="73" t="str">
        <x:v>가</x:v>
      </x:c>
      <x:c r="F247" s="73" t="str">
        <x:v>일반전형</x:v>
      </x:c>
      <x:c r="G247" s="73" t="str">
        <x:v>문화관광학전공</x:v>
      </x:c>
      <x:c r="H247" s="73" t="n">
        <x:v>9</x:v>
      </x:c>
      <x:c r="I247" s="73" t="n">
        <x:v>0</x:v>
      </x:c>
      <x:c r="J247" s="73" t="n">
        <x:v>9</x:v>
      </x:c>
      <x:c r="K247" s="74" t="n">
        <x:v>6.56</x:v>
      </x:c>
      <x:c r="L247" s="73" t="n">
        <x:v>7</x:v>
      </x:c>
      <x:c r="M247" s="74" t="n">
        <x:v>901.89</x:v>
      </x:c>
      <x:c r="N247" s="74" t="n">
        <x:v>901.24</x:v>
      </x:c>
      <x:c r="O247" s="74" t="n">
        <x:v>1000</x:v>
      </x:c>
      <x:c r="P247" s="74" t="n">
        <x:v>95</x:v>
      </x:c>
      <x:c r="Q247" s="74" t="n">
        <x:v>68</x:v>
      </x:c>
      <x:c r="R247" s="74" t="n">
        <x:v>81</x:v>
      </x:c>
      <x:c r="S247" s="74" t="n">
        <x:v>80</x:v>
      </x:c>
      <x:c r="T247" s="74" t="n">
        <x:v>2</x:v>
      </x:c>
      <x:c r="U247" s="74"/>
      <x:c r="V247" s="74"/>
      <x:c r="W247" s="74" t="n">
        <x:f>IF(COUNTA(P247:S247)=4,AVERAGE(P247:S247),"")</x:f>
        <x:v>81</x:v>
      </x:c>
      <x:c r="X247" s="74" t="n">
        <x:f>IF(V247&lt;&gt;"",V247,W247)</x:f>
        <x:v>81</x:v>
      </x:c>
      <x:c r="Y247" s="73" t="str">
        <x:v>파생 단순평균(참고)</x:v>
      </x:c>
      <x:c r="Z247" s="74" t="n">
        <x:v>80</x:v>
      </x:c>
      <x:c r="AA247" s="74" t="n">
        <x:f>IF(X247&lt;&gt;"",Z247-X247,"")</x:f>
        <x:v>-1</x:v>
      </x:c>
      <x:c r="AB247" s="73" t="str">
        <x:f>IF(AA247="","",IF(AA247&gt;=5,"안정",IF(AA247&gt;=1,"적정",IF(AA247&gt;=-2,"소신","상향"))))</x:f>
        <x:v>소신</x:v>
      </x:c>
      <x:c r="AC247" s="75" t="n">
        <x:v>77.78</x:v>
      </x:c>
      <x:c r="AD247" s="75" t="n">
        <x:v>22.22</x:v>
      </x:c>
      <x:c r="AE247" s="75" t="n">
        <x:v>0</x:v>
      </x:c>
      <x:c r="AF247" s="73" t="str">
        <x:v>B: 공식 과목별 70% 백분위 → 단순평균 파생</x:v>
      </x:c>
      <x:c r="AG247" s="73" t="str">
        <x:v>https://adiga.kr/ucp/uvt/uni/univDetailSelection.do?menuId=PCUVTINF2000&amp;searchSyr=2026&amp;unvCd=0000141</x:v>
      </x:c>
    </x:row>
    <x:row r="248" ht="18" customHeight="1">
      <x:c r="A248" s="73" t="n">
        <x:v>2025</x:v>
      </x:c>
      <x:c r="B248" s="73" t="str">
        <x:v>서울특별시</x:v>
      </x:c>
      <x:c r="C248" s="73" t="str">
        <x:v>사립</x:v>
      </x:c>
      <x:c r="D248" s="73" t="str">
        <x:v>숙명여자대학교</x:v>
      </x:c>
      <x:c r="E248" s="73" t="str">
        <x:v>가</x:v>
      </x:c>
      <x:c r="F248" s="73" t="str">
        <x:v>일반전형</x:v>
      </x:c>
      <x:c r="G248" s="73" t="str">
        <x:v>르꼬르동블루외식경영전공</x:v>
      </x:c>
      <x:c r="H248" s="73" t="n">
        <x:v>9</x:v>
      </x:c>
      <x:c r="I248" s="73" t="n">
        <x:v>0</x:v>
      </x:c>
      <x:c r="J248" s="73" t="n">
        <x:v>9</x:v>
      </x:c>
      <x:c r="K248" s="74" t="n">
        <x:v>5</x:v>
      </x:c>
      <x:c r="L248" s="73" t="n">
        <x:v>7</x:v>
      </x:c>
      <x:c r="M248" s="74" t="n">
        <x:v>900.1</x:v>
      </x:c>
      <x:c r="N248" s="74" t="n">
        <x:v>897.01</x:v>
      </x:c>
      <x:c r="O248" s="74" t="n">
        <x:v>1000</x:v>
      </x:c>
      <x:c r="P248" s="74" t="n">
        <x:v>91</x:v>
      </x:c>
      <x:c r="Q248" s="74" t="n">
        <x:v>70</x:v>
      </x:c>
      <x:c r="R248" s="74" t="n">
        <x:v>85</x:v>
      </x:c>
      <x:c r="S248" s="74" t="n">
        <x:v>85</x:v>
      </x:c>
      <x:c r="T248" s="74" t="n">
        <x:v>2</x:v>
      </x:c>
      <x:c r="U248" s="74"/>
      <x:c r="V248" s="74"/>
      <x:c r="W248" s="74" t="n">
        <x:f>IF(COUNTA(P248:S248)=4,AVERAGE(P248:S248),"")</x:f>
        <x:v>82.75</x:v>
      </x:c>
      <x:c r="X248" s="74" t="n">
        <x:f>IF(V248&lt;&gt;"",V248,W248)</x:f>
        <x:v>82.75</x:v>
      </x:c>
      <x:c r="Y248" s="73" t="str">
        <x:v>파생 단순평균(참고)</x:v>
      </x:c>
      <x:c r="Z248" s="74" t="n">
        <x:v>80</x:v>
      </x:c>
      <x:c r="AA248" s="74" t="n">
        <x:f>IF(X248&lt;&gt;"",Z248-X248,"")</x:f>
        <x:v>-2.75</x:v>
      </x:c>
      <x:c r="AB248" s="73" t="str">
        <x:f>IF(AA248="","",IF(AA248&gt;=5,"안정",IF(AA248&gt;=1,"적정",IF(AA248&gt;=-2,"소신","상향"))))</x:f>
        <x:v>상향</x:v>
      </x:c>
      <x:c r="AC248" s="75" t="n">
        <x:v>66.67</x:v>
      </x:c>
      <x:c r="AD248" s="75" t="n">
        <x:v>33.33</x:v>
      </x:c>
      <x:c r="AE248" s="75" t="n">
        <x:v>0</x:v>
      </x:c>
      <x:c r="AF248" s="73" t="str">
        <x:v>B: 공식 과목별 70% 백분위 → 단순평균 파생</x:v>
      </x:c>
      <x:c r="AG248" s="73" t="str">
        <x:v>https://adiga.kr/ucp/uvt/uni/univDetailSelection.do?menuId=PCUVTINF2000&amp;searchSyr=2026&amp;unvCd=0000141</x:v>
      </x:c>
    </x:row>
    <x:row r="249" ht="18" customHeight="1">
      <x:c r="A249" s="73" t="n">
        <x:v>2025</x:v>
      </x:c>
      <x:c r="B249" s="73" t="str">
        <x:v>서울특별시</x:v>
      </x:c>
      <x:c r="C249" s="73" t="str">
        <x:v>사립</x:v>
      </x:c>
      <x:c r="D249" s="73" t="str">
        <x:v>숙명여자대학교</x:v>
      </x:c>
      <x:c r="E249" s="73" t="str">
        <x:v>가</x:v>
      </x:c>
      <x:c r="F249" s="73" t="str">
        <x:v>일반전형</x:v>
      </x:c>
      <x:c r="G249" s="73" t="str">
        <x:v>교육학부</x:v>
      </x:c>
      <x:c r="H249" s="73" t="n">
        <x:v>23</x:v>
      </x:c>
      <x:c r="I249" s="73" t="n">
        <x:v>4</x:v>
      </x:c>
      <x:c r="J249" s="73" t="n">
        <x:v>27</x:v>
      </x:c>
      <x:c r="K249" s="74" t="n">
        <x:v>4.07</x:v>
      </x:c>
      <x:c r="L249" s="73" t="n">
        <x:v>22</x:v>
      </x:c>
      <x:c r="M249" s="74" t="n">
        <x:v>903.34</x:v>
      </x:c>
      <x:c r="N249" s="74" t="n">
        <x:v>902.33</x:v>
      </x:c>
      <x:c r="O249" s="74" t="n">
        <x:v>1000</x:v>
      </x:c>
      <x:c r="P249" s="74" t="n">
        <x:v>92</x:v>
      </x:c>
      <x:c r="Q249" s="74" t="n">
        <x:v>66</x:v>
      </x:c>
      <x:c r="R249" s="74" t="n">
        <x:v>81</x:v>
      </x:c>
      <x:c r="S249" s="74" t="n">
        <x:v>74</x:v>
      </x:c>
      <x:c r="T249" s="74" t="n">
        <x:v>2</x:v>
      </x:c>
      <x:c r="U249" s="74"/>
      <x:c r="V249" s="74"/>
      <x:c r="W249" s="74" t="n">
        <x:f>IF(COUNTA(P249:S249)=4,AVERAGE(P249:S249),"")</x:f>
        <x:v>78.25</x:v>
      </x:c>
      <x:c r="X249" s="74" t="n">
        <x:f>IF(V249&lt;&gt;"",V249,W249)</x:f>
        <x:v>78.25</x:v>
      </x:c>
      <x:c r="Y249" s="73" t="str">
        <x:v>파생 단순평균(참고)</x:v>
      </x:c>
      <x:c r="Z249" s="74" t="n">
        <x:v>80</x:v>
      </x:c>
      <x:c r="AA249" s="74" t="n">
        <x:f>IF(X249&lt;&gt;"",Z249-X249,"")</x:f>
        <x:v>1.75</x:v>
      </x:c>
      <x:c r="AB249" s="73" t="str">
        <x:f>IF(AA249="","",IF(AA249&gt;=5,"안정",IF(AA249&gt;=1,"적정",IF(AA249&gt;=-2,"소신","상향"))))</x:f>
        <x:v>적정</x:v>
      </x:c>
      <x:c r="AC249" s="75" t="n">
        <x:v>50</x:v>
      </x:c>
      <x:c r="AD249" s="75" t="n">
        <x:v>50</x:v>
      </x:c>
      <x:c r="AE249" s="75" t="n">
        <x:v>0</x:v>
      </x:c>
      <x:c r="AF249" s="73" t="str">
        <x:v>B: 공식 과목별 70% 백분위 → 단순평균 파생</x:v>
      </x:c>
      <x:c r="AG249" s="73" t="str">
        <x:v>https://adiga.kr/ucp/uvt/uni/univDetailSelection.do?menuId=PCUVTINF2000&amp;searchSyr=2026&amp;unvCd=0000141</x:v>
      </x:c>
    </x:row>
    <x:row r="250" ht="18" customHeight="1">
      <x:c r="A250" s="73" t="n">
        <x:v>2025</x:v>
      </x:c>
      <x:c r="B250" s="73" t="str">
        <x:v>서울특별시</x:v>
      </x:c>
      <x:c r="C250" s="73" t="str">
        <x:v>사립</x:v>
      </x:c>
      <x:c r="D250" s="73" t="str">
        <x:v>한국외국어대학교</x:v>
      </x:c>
      <x:c r="E250" s="73" t="str">
        <x:v>가</x:v>
      </x:c>
      <x:c r="F250" s="73" t="str">
        <x:v>일반전형</x:v>
      </x:c>
      <x:c r="G250" s="73" t="str">
        <x:v>ELLT학과</x:v>
      </x:c>
      <x:c r="H250" s="73" t="n">
        <x:v>21</x:v>
      </x:c>
      <x:c r="I250" s="73" t="n">
        <x:v>0</x:v>
      </x:c>
      <x:c r="J250" s="73" t="n">
        <x:v>21</x:v>
      </x:c>
      <x:c r="K250" s="74" t="n">
        <x:v>3.9</x:v>
      </x:c>
      <x:c r="L250" s="73" t="n">
        <x:v>27</x:v>
      </x:c>
      <x:c r="M250" s="74" t="n">
        <x:v>651.5</x:v>
      </x:c>
      <x:c r="N250" s="74" t="n">
        <x:v>651.1</x:v>
      </x:c>
      <x:c r="O250" s="74" t="n">
        <x:v>710</x:v>
      </x:c>
      <x:c r="P250" s="74" t="n">
        <x:v>88.7</x:v>
      </x:c>
      <x:c r="Q250" s="74" t="n">
        <x:v>91.4</x:v>
      </x:c>
      <x:c r="R250" s="74" t="n">
        <x:v>80</x:v>
      </x:c>
      <x:c r="S250" s="74" t="n">
        <x:v>80</x:v>
      </x:c>
      <x:c r="T250" s="74" t="n">
        <x:v>3</x:v>
      </x:c>
      <x:c r="U250" s="74" t="n">
        <x:v>2.3</x:v>
      </x:c>
      <x:c r="V250" s="74"/>
      <x:c r="W250" s="74" t="n">
        <x:f>IF(COUNTA(P250:S250)=4,AVERAGE(P250:S250),"")</x:f>
        <x:v>85.025</x:v>
      </x:c>
      <x:c r="X250" s="74" t="n">
        <x:f>IF(V250&lt;&gt;"",V250,W250)</x:f>
        <x:v>85.025</x:v>
      </x:c>
      <x:c r="Y250" s="73" t="str">
        <x:v>파생 단순평균(참고)</x:v>
      </x:c>
      <x:c r="Z250" s="74" t="n">
        <x:v>80</x:v>
      </x:c>
      <x:c r="AA250" s="74" t="n">
        <x:f>IF(X250&lt;&gt;"",Z250-X250,"")</x:f>
        <x:v>-5.025000000000006</x:v>
      </x:c>
      <x:c r="AB250" s="73" t="str">
        <x:f>IF(AA250="","",IF(AA250&gt;=5,"안정",IF(AA250&gt;=1,"적정",IF(AA250&gt;=-2,"소신","상향"))))</x:f>
        <x:v>상향</x:v>
      </x:c>
      <x:c r="AC250" s="75" t="n">
        <x:v>25</x:v>
      </x:c>
      <x:c r="AD250" s="75" t="n">
        <x:v>75</x:v>
      </x:c>
      <x:c r="AE250" s="75" t="n">
        <x:v>0</x:v>
      </x:c>
      <x:c r="AF250" s="73" t="str">
        <x:v>B: 공식 과목별 70% 백분위 → 단순평균 파생</x:v>
      </x:c>
      <x:c r="AG250" s="73" t="str">
        <x:v>https://www.adiga.kr/ucp/uvt/uni/univDetailSelection.do?menuId=PCUVTINF2000&amp;searchSyr=2026&amp;unvCd=0000192</x:v>
      </x:c>
    </x:row>
    <x:row r="251" ht="18" customHeight="1">
      <x:c r="A251" s="73" t="n">
        <x:v>2025</x:v>
      </x:c>
      <x:c r="B251" s="73" t="str">
        <x:v>서울특별시</x:v>
      </x:c>
      <x:c r="C251" s="73" t="str">
        <x:v>사립</x:v>
      </x:c>
      <x:c r="D251" s="73" t="str">
        <x:v>한국외국어대학교</x:v>
      </x:c>
      <x:c r="E251" s="73" t="str">
        <x:v>가</x:v>
      </x:c>
      <x:c r="F251" s="73" t="str">
        <x:v>일반전형</x:v>
      </x:c>
      <x:c r="G251" s="73" t="str">
        <x:v>말레이‧인도네시아어과</x:v>
      </x:c>
      <x:c r="H251" s="73" t="n">
        <x:v>9</x:v>
      </x:c>
      <x:c r="I251" s="73" t="n">
        <x:v>0</x:v>
      </x:c>
      <x:c r="J251" s="73" t="n">
        <x:v>9</x:v>
      </x:c>
      <x:c r="K251" s="74" t="n">
        <x:v>5.1</x:v>
      </x:c>
      <x:c r="L251" s="73" t="n">
        <x:v>13</x:v>
      </x:c>
      <x:c r="M251" s="74" t="n">
        <x:v>650.9</x:v>
      </x:c>
      <x:c r="N251" s="74" t="n">
        <x:v>650</x:v>
      </x:c>
      <x:c r="O251" s="74" t="n">
        <x:v>710</x:v>
      </x:c>
      <x:c r="P251" s="74" t="n">
        <x:v>86.8</x:v>
      </x:c>
      <x:c r="Q251" s="74" t="n">
        <x:v>80</x:v>
      </x:c>
      <x:c r="R251" s="74" t="n">
        <x:v>80.4</x:v>
      </x:c>
      <x:c r="S251" s="74" t="n">
        <x:v>85</x:v>
      </x:c>
      <x:c r="T251" s="74" t="n">
        <x:v>2</x:v>
      </x:c>
      <x:c r="U251" s="74" t="n">
        <x:v>2</x:v>
      </x:c>
      <x:c r="V251" s="74"/>
      <x:c r="W251" s="74" t="n">
        <x:f>IF(COUNTA(P251:S251)=4,AVERAGE(P251:S251),"")</x:f>
        <x:v>83.05000000000001</x:v>
      </x:c>
      <x:c r="X251" s="74" t="n">
        <x:f>IF(V251&lt;&gt;"",V251,W251)</x:f>
        <x:v>83.05000000000001</x:v>
      </x:c>
      <x:c r="Y251" s="73" t="str">
        <x:v>파생 단순평균(참고)</x:v>
      </x:c>
      <x:c r="Z251" s="74" t="n">
        <x:v>80</x:v>
      </x:c>
      <x:c r="AA251" s="74" t="n">
        <x:f>IF(X251&lt;&gt;"",Z251-X251,"")</x:f>
        <x:v>-3.0500000000000114</x:v>
      </x:c>
      <x:c r="AB251" s="73" t="str">
        <x:f>IF(AA251="","",IF(AA251&gt;=5,"안정",IF(AA251&gt;=1,"적정",IF(AA251&gt;=-2,"소신","상향"))))</x:f>
        <x:v>상향</x:v>
      </x:c>
      <x:c r="AC251" s="75" t="n">
        <x:v>33.3</x:v>
      </x:c>
      <x:c r="AD251" s="75" t="n">
        <x:v>66.7</x:v>
      </x:c>
      <x:c r="AE251" s="75" t="n">
        <x:v>0</x:v>
      </x:c>
      <x:c r="AF251" s="73" t="str">
        <x:v>B: 공식 과목별 70% 백분위 → 단순평균 파생</x:v>
      </x:c>
      <x:c r="AG251" s="73" t="str">
        <x:v>https://www.adiga.kr/ucp/uvt/uni/univDetailSelection.do?menuId=PCUVTINF2000&amp;searchSyr=2026&amp;unvCd=0000192</x:v>
      </x:c>
    </x:row>
    <x:row r="252" ht="18" customHeight="1">
      <x:c r="A252" s="73" t="n">
        <x:v>2025</x:v>
      </x:c>
      <x:c r="B252" s="73" t="str">
        <x:v>서울특별시</x:v>
      </x:c>
      <x:c r="C252" s="73" t="str">
        <x:v>사립</x:v>
      </x:c>
      <x:c r="D252" s="73" t="str">
        <x:v>한국외국어대학교</x:v>
      </x:c>
      <x:c r="E252" s="73" t="str">
        <x:v>가</x:v>
      </x:c>
      <x:c r="F252" s="73" t="str">
        <x:v>일반전형</x:v>
      </x:c>
      <x:c r="G252" s="73" t="str">
        <x:v>태국학과</x:v>
      </x:c>
      <x:c r="H252" s="73" t="n">
        <x:v>9</x:v>
      </x:c>
      <x:c r="I252" s="73" t="n">
        <x:v>0</x:v>
      </x:c>
      <x:c r="J252" s="73" t="n">
        <x:v>9</x:v>
      </x:c>
      <x:c r="K252" s="74" t="n">
        <x:v>5.4</x:v>
      </x:c>
      <x:c r="L252" s="73" t="n">
        <x:v>7</x:v>
      </x:c>
      <x:c r="M252" s="74" t="n">
        <x:v>650.7</x:v>
      </x:c>
      <x:c r="N252" s="74" t="n">
        <x:v>650.5</x:v>
      </x:c>
      <x:c r="O252" s="74" t="n">
        <x:v>710</x:v>
      </x:c>
      <x:c r="P252" s="74" t="n">
        <x:v>89.8</x:v>
      </x:c>
      <x:c r="Q252" s="74" t="n">
        <x:v>87</x:v>
      </x:c>
      <x:c r="R252" s="74" t="n">
        <x:v>77.4</x:v>
      </x:c>
      <x:c r="S252" s="74" t="n">
        <x:v>72.6</x:v>
      </x:c>
      <x:c r="T252" s="74" t="n">
        <x:v>2</x:v>
      </x:c>
      <x:c r="U252" s="74" t="n">
        <x:v>3</x:v>
      </x:c>
      <x:c r="V252" s="74"/>
      <x:c r="W252" s="74" t="n">
        <x:f>IF(COUNTA(P252:S252)=4,AVERAGE(P252:S252),"")</x:f>
        <x:v>81.7</x:v>
      </x:c>
      <x:c r="X252" s="74" t="n">
        <x:f>IF(V252&lt;&gt;"",V252,W252)</x:f>
        <x:v>81.7</x:v>
      </x:c>
      <x:c r="Y252" s="73" t="str">
        <x:v>파생 단순평균(참고)</x:v>
      </x:c>
      <x:c r="Z252" s="74" t="n">
        <x:v>80</x:v>
      </x:c>
      <x:c r="AA252" s="74" t="n">
        <x:f>IF(X252&lt;&gt;"",Z252-X252,"")</x:f>
        <x:v>-1.7000000000000028</x:v>
      </x:c>
      <x:c r="AB252" s="73" t="str">
        <x:f>IF(AA252="","",IF(AA252&gt;=5,"안정",IF(AA252&gt;=1,"적정",IF(AA252&gt;=-2,"소신","상향"))))</x:f>
        <x:v>소신</x:v>
      </x:c>
      <x:c r="AC252" s="75" t="n">
        <x:v>0</x:v>
      </x:c>
      <x:c r="AD252" s="75" t="n">
        <x:v>100</x:v>
      </x:c>
      <x:c r="AE252" s="75" t="n">
        <x:v>0</x:v>
      </x:c>
      <x:c r="AF252" s="73" t="str">
        <x:v>B: 공식 과목별 70% 백분위 → 단순평균 파생</x:v>
      </x:c>
      <x:c r="AG252" s="73" t="str">
        <x:v>https://www.adiga.kr/ucp/uvt/uni/univDetailSelection.do?menuId=PCUVTINF2000&amp;searchSyr=2026&amp;unvCd=0000192</x:v>
      </x:c>
    </x:row>
    <x:row r="253" ht="18" customHeight="1">
      <x:c r="A253" s="73" t="n">
        <x:v>2025</x:v>
      </x:c>
      <x:c r="B253" s="73" t="str">
        <x:v>서울특별시</x:v>
      </x:c>
      <x:c r="C253" s="73" t="str">
        <x:v>사립</x:v>
      </x:c>
      <x:c r="D253" s="73" t="str">
        <x:v>한국외국어대학교</x:v>
      </x:c>
      <x:c r="E253" s="73" t="str">
        <x:v>가</x:v>
      </x:c>
      <x:c r="F253" s="73" t="str">
        <x:v>일반전형</x:v>
      </x:c>
      <x:c r="G253" s="73" t="str">
        <x:v>베트남어과</x:v>
      </x:c>
      <x:c r="H253" s="73" t="n">
        <x:v>9</x:v>
      </x:c>
      <x:c r="I253" s="73" t="n">
        <x:v>0</x:v>
      </x:c>
      <x:c r="J253" s="73" t="n">
        <x:v>9</x:v>
      </x:c>
      <x:c r="K253" s="74" t="n">
        <x:v>5</x:v>
      </x:c>
      <x:c r="L253" s="73" t="n">
        <x:v>4</x:v>
      </x:c>
      <x:c r="M253" s="74" t="n">
        <x:v>649.6</x:v>
      </x:c>
      <x:c r="N253" s="74" t="n">
        <x:v>648.3</x:v>
      </x:c>
      <x:c r="O253" s="74" t="n">
        <x:v>710</x:v>
      </x:c>
      <x:c r="P253" s="74" t="n">
        <x:v>89</x:v>
      </x:c>
      <x:c r="Q253" s="74" t="n">
        <x:v>85</x:v>
      </x:c>
      <x:c r="R253" s="74" t="n">
        <x:v>87.4</x:v>
      </x:c>
      <x:c r="S253" s="74" t="n">
        <x:v>83.8</x:v>
      </x:c>
      <x:c r="T253" s="74" t="n">
        <x:v>3</x:v>
      </x:c>
      <x:c r="U253" s="74" t="n">
        <x:v>2</x:v>
      </x:c>
      <x:c r="V253" s="74"/>
      <x:c r="W253" s="74" t="n">
        <x:f>IF(COUNTA(P253:S253)=4,AVERAGE(P253:S253),"")</x:f>
        <x:v>86.3</x:v>
      </x:c>
      <x:c r="X253" s="74" t="n">
        <x:f>IF(V253&lt;&gt;"",V253,W253)</x:f>
        <x:v>86.3</x:v>
      </x:c>
      <x:c r="Y253" s="73" t="str">
        <x:v>파생 단순평균(참고)</x:v>
      </x:c>
      <x:c r="Z253" s="74" t="n">
        <x:v>80</x:v>
      </x:c>
      <x:c r="AA253" s="74" t="n">
        <x:f>IF(X253&lt;&gt;"",Z253-X253,"")</x:f>
        <x:v>-6.299999999999997</x:v>
      </x:c>
      <x:c r="AB253" s="73" t="str">
        <x:f>IF(AA253="","",IF(AA253&gt;=5,"안정",IF(AA253&gt;=1,"적정",IF(AA253&gt;=-2,"소신","상향"))))</x:f>
        <x:v>상향</x:v>
      </x:c>
      <x:c r="AC253" s="75" t="n">
        <x:v>55.6</x:v>
      </x:c>
      <x:c r="AD253" s="75" t="n">
        <x:v>44.4</x:v>
      </x:c>
      <x:c r="AE253" s="75" t="n">
        <x:v>0</x:v>
      </x:c>
      <x:c r="AF253" s="73" t="str">
        <x:v>B: 공식 과목별 70% 백분위 → 단순평균 파생</x:v>
      </x:c>
      <x:c r="AG253" s="73" t="str">
        <x:v>https://www.adiga.kr/ucp/uvt/uni/univDetailSelection.do?menuId=PCUVTINF2000&amp;searchSyr=2026&amp;unvCd=0000192</x:v>
      </x:c>
    </x:row>
    <x:row r="254" ht="18" customHeight="1">
      <x:c r="A254" s="73" t="n">
        <x:v>2025</x:v>
      </x:c>
      <x:c r="B254" s="73" t="str">
        <x:v>서울특별시</x:v>
      </x:c>
      <x:c r="C254" s="73" t="str">
        <x:v>사립</x:v>
      </x:c>
      <x:c r="D254" s="73" t="str">
        <x:v>한국외국어대학교</x:v>
      </x:c>
      <x:c r="E254" s="73" t="str">
        <x:v>가</x:v>
      </x:c>
      <x:c r="F254" s="73" t="str">
        <x:v>일반전형</x:v>
      </x:c>
      <x:c r="G254" s="73" t="str">
        <x:v>인도어과</x:v>
      </x:c>
      <x:c r="H254" s="73" t="n">
        <x:v>9</x:v>
      </x:c>
      <x:c r="I254" s="73" t="n">
        <x:v>1</x:v>
      </x:c>
      <x:c r="J254" s="73" t="n">
        <x:v>10</x:v>
      </x:c>
      <x:c r="K254" s="74" t="n">
        <x:v>6.2</x:v>
      </x:c>
      <x:c r="L254" s="73" t="n">
        <x:v>8</x:v>
      </x:c>
      <x:c r="M254" s="74" t="n">
        <x:v>650.3</x:v>
      </x:c>
      <x:c r="N254" s="74" t="n">
        <x:v>650.2</x:v>
      </x:c>
      <x:c r="O254" s="74" t="n">
        <x:v>710</x:v>
      </x:c>
      <x:c r="P254" s="74" t="n">
        <x:v>88</x:v>
      </x:c>
      <x:c r="Q254" s="74" t="n">
        <x:v>86.4</x:v>
      </x:c>
      <x:c r="R254" s="74" t="n">
        <x:v>83.2</x:v>
      </x:c>
      <x:c r="S254" s="74" t="n">
        <x:v>79.9</x:v>
      </x:c>
      <x:c r="T254" s="74" t="n">
        <x:v>2</x:v>
      </x:c>
      <x:c r="U254" s="74" t="n">
        <x:v>1</x:v>
      </x:c>
      <x:c r="V254" s="74"/>
      <x:c r="W254" s="74" t="n">
        <x:f>IF(COUNTA(P254:S254)=4,AVERAGE(P254:S254),"")</x:f>
        <x:v>84.375</x:v>
      </x:c>
      <x:c r="X254" s="74" t="n">
        <x:f>IF(V254&lt;&gt;"",V254,W254)</x:f>
        <x:v>84.375</x:v>
      </x:c>
      <x:c r="Y254" s="73" t="str">
        <x:v>파생 단순평균(참고)</x:v>
      </x:c>
      <x:c r="Z254" s="74" t="n">
        <x:v>80</x:v>
      </x:c>
      <x:c r="AA254" s="74" t="n">
        <x:f>IF(X254&lt;&gt;"",Z254-X254,"")</x:f>
        <x:v>-4.375</x:v>
      </x:c>
      <x:c r="AB254" s="73" t="str">
        <x:f>IF(AA254="","",IF(AA254&gt;=5,"안정",IF(AA254&gt;=1,"적정",IF(AA254&gt;=-2,"소신","상향"))))</x:f>
        <x:v>상향</x:v>
      </x:c>
      <x:c r="AC254" s="75" t="n">
        <x:v>40</x:v>
      </x:c>
      <x:c r="AD254" s="75" t="n">
        <x:v>40</x:v>
      </x:c>
      <x:c r="AE254" s="75" t="n">
        <x:v>20</x:v>
      </x:c>
      <x:c r="AF254" s="73" t="str">
        <x:v>B: 공식 과목별 70% 백분위 → 단순평균 파생</x:v>
      </x:c>
      <x:c r="AG254" s="73" t="str">
        <x:v>https://www.adiga.kr/ucp/uvt/uni/univDetailSelection.do?menuId=PCUVTINF2000&amp;searchSyr=2026&amp;unvCd=0000192</x:v>
      </x:c>
    </x:row>
    <x:row r="255" ht="18" customHeight="1">
      <x:c r="A255" s="73" t="n">
        <x:v>2025</x:v>
      </x:c>
      <x:c r="B255" s="73" t="str">
        <x:v>서울특별시</x:v>
      </x:c>
      <x:c r="C255" s="73" t="str">
        <x:v>사립</x:v>
      </x:c>
      <x:c r="D255" s="73" t="str">
        <x:v>한국외국어대학교</x:v>
      </x:c>
      <x:c r="E255" s="73" t="str">
        <x:v>가</x:v>
      </x:c>
      <x:c r="F255" s="73" t="str">
        <x:v>일반전형</x:v>
      </x:c>
      <x:c r="G255" s="73" t="str">
        <x:v>아랍어과</x:v>
      </x:c>
      <x:c r="H255" s="73" t="n">
        <x:v>14</x:v>
      </x:c>
      <x:c r="I255" s="73" t="n">
        <x:v>0</x:v>
      </x:c>
      <x:c r="J255" s="73" t="n">
        <x:v>14</x:v>
      </x:c>
      <x:c r="K255" s="74" t="n">
        <x:v>5</x:v>
      </x:c>
      <x:c r="L255" s="73" t="n">
        <x:v>11</x:v>
      </x:c>
      <x:c r="M255" s="74" t="n">
        <x:v>650.7</x:v>
      </x:c>
      <x:c r="N255" s="74" t="n">
        <x:v>650.2</x:v>
      </x:c>
      <x:c r="O255" s="74" t="n">
        <x:v>710</x:v>
      </x:c>
      <x:c r="P255" s="74" t="n">
        <x:v>86</x:v>
      </x:c>
      <x:c r="Q255" s="74" t="n">
        <x:v>82.2</x:v>
      </x:c>
      <x:c r="R255" s="74" t="n">
        <x:v>85.8</x:v>
      </x:c>
      <x:c r="S255" s="74" t="n">
        <x:v>83</x:v>
      </x:c>
      <x:c r="T255" s="74" t="n">
        <x:v>2</x:v>
      </x:c>
      <x:c r="U255" s="74" t="n">
        <x:v>2</x:v>
      </x:c>
      <x:c r="V255" s="74"/>
      <x:c r="W255" s="74" t="n">
        <x:f>IF(COUNTA(P255:S255)=4,AVERAGE(P255:S255),"")</x:f>
        <x:v>84.25</x:v>
      </x:c>
      <x:c r="X255" s="74" t="n">
        <x:f>IF(V255&lt;&gt;"",V255,W255)</x:f>
        <x:v>84.25</x:v>
      </x:c>
      <x:c r="Y255" s="73" t="str">
        <x:v>파생 단순평균(참고)</x:v>
      </x:c>
      <x:c r="Z255" s="74" t="n">
        <x:v>80</x:v>
      </x:c>
      <x:c r="AA255" s="74" t="n">
        <x:f>IF(X255&lt;&gt;"",Z255-X255,"")</x:f>
        <x:v>-4.25</x:v>
      </x:c>
      <x:c r="AB255" s="73" t="str">
        <x:f>IF(AA255="","",IF(AA255&gt;=5,"안정",IF(AA255&gt;=1,"적정",IF(AA255&gt;=-2,"소신","상향"))))</x:f>
        <x:v>상향</x:v>
      </x:c>
      <x:c r="AC255" s="75" t="n">
        <x:v>61.5</x:v>
      </x:c>
      <x:c r="AD255" s="75" t="n">
        <x:v>38.5</x:v>
      </x:c>
      <x:c r="AE255" s="75" t="n">
        <x:v>0</x:v>
      </x:c>
      <x:c r="AF255" s="73" t="str">
        <x:v>B: 공식 과목별 70% 백분위 → 단순평균 파생</x:v>
      </x:c>
      <x:c r="AG255" s="73" t="str">
        <x:v>https://www.adiga.kr/ucp/uvt/uni/univDetailSelection.do?menuId=PCUVTINF2000&amp;searchSyr=2026&amp;unvCd=0000192</x:v>
      </x:c>
    </x:row>
    <x:row r="256" ht="18" customHeight="1">
      <x:c r="A256" s="73" t="n">
        <x:v>2025</x:v>
      </x:c>
      <x:c r="B256" s="73" t="str">
        <x:v>서울특별시</x:v>
      </x:c>
      <x:c r="C256" s="73" t="str">
        <x:v>사립</x:v>
      </x:c>
      <x:c r="D256" s="73" t="str">
        <x:v>한국외국어대학교</x:v>
      </x:c>
      <x:c r="E256" s="73" t="str">
        <x:v>가</x:v>
      </x:c>
      <x:c r="F256" s="73" t="str">
        <x:v>일반전형</x:v>
      </x:c>
      <x:c r="G256" s="73" t="str">
        <x:v>튀르키예․아제르바이잔학과</x:v>
      </x:c>
      <x:c r="H256" s="73" t="n">
        <x:v>9</x:v>
      </x:c>
      <x:c r="I256" s="73" t="n">
        <x:v>0</x:v>
      </x:c>
      <x:c r="J256" s="73" t="n">
        <x:v>9</x:v>
      </x:c>
      <x:c r="K256" s="74" t="n">
        <x:v>8.8</x:v>
      </x:c>
      <x:c r="L256" s="73" t="n">
        <x:v>13</x:v>
      </x:c>
      <x:c r="M256" s="74" t="n">
        <x:v>650.8</x:v>
      </x:c>
      <x:c r="N256" s="74" t="n">
        <x:v>649.1</x:v>
      </x:c>
      <x:c r="O256" s="74" t="n">
        <x:v>710</x:v>
      </x:c>
      <x:c r="P256" s="74" t="n">
        <x:v>91.4</x:v>
      </x:c>
      <x:c r="Q256" s="74" t="n">
        <x:v>81.8</x:v>
      </x:c>
      <x:c r="R256" s="74" t="n">
        <x:v>85.8</x:v>
      </x:c>
      <x:c r="S256" s="74" t="n">
        <x:v>83.6</x:v>
      </x:c>
      <x:c r="T256" s="74" t="n">
        <x:v>2</x:v>
      </x:c>
      <x:c r="U256" s="74" t="n">
        <x:v>1.6</x:v>
      </x:c>
      <x:c r="V256" s="74"/>
      <x:c r="W256" s="74" t="n">
        <x:f>IF(COUNTA(P256:S256)=4,AVERAGE(P256:S256),"")</x:f>
        <x:v>85.65</x:v>
      </x:c>
      <x:c r="X256" s="74" t="n">
        <x:f>IF(V256&lt;&gt;"",V256,W256)</x:f>
        <x:v>85.65</x:v>
      </x:c>
      <x:c r="Y256" s="73" t="str">
        <x:v>파생 단순평균(참고)</x:v>
      </x:c>
      <x:c r="Z256" s="74" t="n">
        <x:v>80</x:v>
      </x:c>
      <x:c r="AA256" s="74" t="n">
        <x:f>IF(X256&lt;&gt;"",Z256-X256,"")</x:f>
        <x:v>-5.650000000000006</x:v>
      </x:c>
      <x:c r="AB256" s="73" t="str">
        <x:f>IF(AA256="","",IF(AA256&gt;=5,"안정",IF(AA256&gt;=1,"적정",IF(AA256&gt;=-2,"소신","상향"))))</x:f>
        <x:v>상향</x:v>
      </x:c>
      <x:c r="AC256" s="75" t="n">
        <x:v>44.4</x:v>
      </x:c>
      <x:c r="AD256" s="75" t="n">
        <x:v>33.3</x:v>
      </x:c>
      <x:c r="AE256" s="75" t="n">
        <x:v>22.2</x:v>
      </x:c>
      <x:c r="AF256" s="73" t="str">
        <x:v>B: 공식 과목별 70% 백분위 → 단순평균 파생</x:v>
      </x:c>
      <x:c r="AG256" s="73" t="str">
        <x:v>https://www.adiga.kr/ucp/uvt/uni/univDetailSelection.do?menuId=PCUVTINF2000&amp;searchSyr=2026&amp;unvCd=0000192</x:v>
      </x:c>
    </x:row>
    <x:row r="257" ht="18" customHeight="1">
      <x:c r="A257" s="73" t="n">
        <x:v>2025</x:v>
      </x:c>
      <x:c r="B257" s="73" t="str">
        <x:v>서울특별시</x:v>
      </x:c>
      <x:c r="C257" s="73" t="str">
        <x:v>사립</x:v>
      </x:c>
      <x:c r="D257" s="73" t="str">
        <x:v>한국외국어대학교</x:v>
      </x:c>
      <x:c r="E257" s="73" t="str">
        <x:v>가</x:v>
      </x:c>
      <x:c r="F257" s="73" t="str">
        <x:v>일반전형</x:v>
      </x:c>
      <x:c r="G257" s="73" t="str">
        <x:v>페르시아어․이란학과</x:v>
      </x:c>
      <x:c r="H257" s="73" t="n">
        <x:v>9</x:v>
      </x:c>
      <x:c r="I257" s="73" t="n">
        <x:v>0</x:v>
      </x:c>
      <x:c r="J257" s="73" t="n">
        <x:v>9</x:v>
      </x:c>
      <x:c r="K257" s="74" t="n">
        <x:v>4.6</x:v>
      </x:c>
      <x:c r="L257" s="73" t="n">
        <x:v>5</x:v>
      </x:c>
      <x:c r="M257" s="74" t="n">
        <x:v>650.3</x:v>
      </x:c>
      <x:c r="N257" s="74" t="n">
        <x:v>650.3</x:v>
      </x:c>
      <x:c r="O257" s="74" t="n">
        <x:v>710</x:v>
      </x:c>
      <x:c r="P257" s="74" t="n">
        <x:v>86.6</x:v>
      </x:c>
      <x:c r="Q257" s="74" t="n">
        <x:v>79.2</x:v>
      </x:c>
      <x:c r="R257" s="74" t="n">
        <x:v>83.4</x:v>
      </x:c>
      <x:c r="S257" s="74" t="n">
        <x:v>85</x:v>
      </x:c>
      <x:c r="T257" s="74" t="n">
        <x:v>2</x:v>
      </x:c>
      <x:c r="U257" s="74" t="n">
        <x:v>2</x:v>
      </x:c>
      <x:c r="V257" s="74"/>
      <x:c r="W257" s="74" t="n">
        <x:f>IF(COUNTA(P257:S257)=4,AVERAGE(P257:S257),"")</x:f>
        <x:v>83.55000000000001</x:v>
      </x:c>
      <x:c r="X257" s="74" t="n">
        <x:f>IF(V257&lt;&gt;"",V257,W257)</x:f>
        <x:v>83.55000000000001</x:v>
      </x:c>
      <x:c r="Y257" s="73" t="str">
        <x:v>파생 단순평균(참고)</x:v>
      </x:c>
      <x:c r="Z257" s="74" t="n">
        <x:v>80</x:v>
      </x:c>
      <x:c r="AA257" s="74" t="n">
        <x:f>IF(X257&lt;&gt;"",Z257-X257,"")</x:f>
        <x:v>-3.5500000000000114</x:v>
      </x:c>
      <x:c r="AB257" s="73" t="str">
        <x:f>IF(AA257="","",IF(AA257&gt;=5,"안정",IF(AA257&gt;=1,"적정",IF(AA257&gt;=-2,"소신","상향"))))</x:f>
        <x:v>상향</x:v>
      </x:c>
      <x:c r="AC257" s="75" t="n">
        <x:v>55.6</x:v>
      </x:c>
      <x:c r="AD257" s="75" t="n">
        <x:v>33.3</x:v>
      </x:c>
      <x:c r="AE257" s="75" t="n">
        <x:v>11.1</x:v>
      </x:c>
      <x:c r="AF257" s="73" t="str">
        <x:v>B: 공식 과목별 70% 백분위 → 단순평균 파생</x:v>
      </x:c>
      <x:c r="AG257" s="73" t="str">
        <x:v>https://www.adiga.kr/ucp/uvt/uni/univDetailSelection.do?menuId=PCUVTINF2000&amp;searchSyr=2026&amp;unvCd=0000192</x:v>
      </x:c>
    </x:row>
    <x:row r="258" ht="18" customHeight="1">
      <x:c r="A258" s="73" t="n">
        <x:v>2025</x:v>
      </x:c>
      <x:c r="B258" s="73" t="str">
        <x:v>서울특별시</x:v>
      </x:c>
      <x:c r="C258" s="73" t="str">
        <x:v>사립</x:v>
      </x:c>
      <x:c r="D258" s="73" t="str">
        <x:v>한국외국어대학교</x:v>
      </x:c>
      <x:c r="E258" s="73" t="str">
        <x:v>다</x:v>
      </x:c>
      <x:c r="F258" s="73" t="str">
        <x:v>일반전형</x:v>
      </x:c>
      <x:c r="G258" s="73" t="str">
        <x:v>경영학부</x:v>
      </x:c>
      <x:c r="H258" s="73" t="n">
        <x:v>53</x:v>
      </x:c>
      <x:c r="I258" s="73" t="n">
        <x:v>0</x:v>
      </x:c>
      <x:c r="J258" s="73" t="n">
        <x:v>53</x:v>
      </x:c>
      <x:c r="K258" s="74" t="n">
        <x:v>12.4</x:v>
      </x:c>
      <x:c r="L258" s="73" t="n">
        <x:v>231</x:v>
      </x:c>
      <x:c r="M258" s="74" t="n">
        <x:v>653.5</x:v>
      </x:c>
      <x:c r="N258" s="74" t="n">
        <x:v>652</x:v>
      </x:c>
      <x:c r="O258" s="74" t="n">
        <x:v>710</x:v>
      </x:c>
      <x:c r="P258" s="74" t="n">
        <x:v>89.8</x:v>
      </x:c>
      <x:c r="Q258" s="74" t="n">
        <x:v>87</x:v>
      </x:c>
      <x:c r="R258" s="74" t="n">
        <x:v>87</x:v>
      </x:c>
      <x:c r="S258" s="74" t="n">
        <x:v>85</x:v>
      </x:c>
      <x:c r="T258" s="74" t="n">
        <x:v>3</x:v>
      </x:c>
      <x:c r="U258" s="74" t="n">
        <x:v>2</x:v>
      </x:c>
      <x:c r="V258" s="74"/>
      <x:c r="W258" s="74" t="n">
        <x:f>IF(COUNTA(P258:S258)=4,AVERAGE(P258:S258),"")</x:f>
        <x:v>87.2</x:v>
      </x:c>
      <x:c r="X258" s="74" t="n">
        <x:f>IF(V258&lt;&gt;"",V258,W258)</x:f>
        <x:v>87.2</x:v>
      </x:c>
      <x:c r="Y258" s="73" t="str">
        <x:v>파생 단순평균(참고)</x:v>
      </x:c>
      <x:c r="Z258" s="74" t="n">
        <x:v>80</x:v>
      </x:c>
      <x:c r="AA258" s="74" t="n">
        <x:f>IF(X258&lt;&gt;"",Z258-X258,"")</x:f>
        <x:v>-7.200000000000003</x:v>
      </x:c>
      <x:c r="AB258" s="73" t="str">
        <x:f>IF(AA258="","",IF(AA258&gt;=5,"안정",IF(AA258&gt;=1,"적정",IF(AA258&gt;=-2,"소신","상향"))))</x:f>
        <x:v>상향</x:v>
      </x:c>
      <x:c r="AC258" s="75" t="n">
        <x:v>40.8</x:v>
      </x:c>
      <x:c r="AD258" s="75" t="n">
        <x:v>59.2</x:v>
      </x:c>
      <x:c r="AE258" s="75" t="n">
        <x:v>0</x:v>
      </x:c>
      <x:c r="AF258" s="73" t="str">
        <x:v>B: 공식 과목별 70% 백분위 → 단순평균 파생</x:v>
      </x:c>
      <x:c r="AG258" s="73" t="str">
        <x:v>https://www.adiga.kr/ucp/uvt/uni/univDetailSelection.do?menuId=PCUVTINF2000&amp;searchSyr=2026&amp;unvCd=0000192</x:v>
      </x:c>
    </x:row>
    <x:row r="259" ht="18" customHeight="1">
      <x:c r="A259" s="73" t="n">
        <x:v>2025</x:v>
      </x:c>
      <x:c r="B259" s="73" t="str">
        <x:v>서울특별시</x:v>
      </x:c>
      <x:c r="C259" s="73" t="str">
        <x:v>사립</x:v>
      </x:c>
      <x:c r="D259" s="73" t="str">
        <x:v>한국외국어대학교</x:v>
      </x:c>
      <x:c r="E259" s="73" t="str">
        <x:v>다</x:v>
      </x:c>
      <x:c r="F259" s="73" t="str">
        <x:v>일반전형</x:v>
      </x:c>
      <x:c r="G259" s="73" t="str">
        <x:v>Language &amp; AI 융합학부</x:v>
      </x:c>
      <x:c r="H259" s="73" t="n">
        <x:v>20</x:v>
      </x:c>
      <x:c r="I259" s="73" t="n">
        <x:v>2</x:v>
      </x:c>
      <x:c r="J259" s="73" t="n">
        <x:v>22</x:v>
      </x:c>
      <x:c r="K259" s="74" t="n">
        <x:v>11</x:v>
      </x:c>
      <x:c r="L259" s="73" t="n">
        <x:v>71</x:v>
      </x:c>
      <x:c r="M259" s="74" t="n">
        <x:v>651.9</x:v>
      </x:c>
      <x:c r="N259" s="74" t="n">
        <x:v>651</x:v>
      </x:c>
      <x:c r="O259" s="74" t="n">
        <x:v>700</x:v>
      </x:c>
      <x:c r="P259" s="74" t="n">
        <x:v>78.4</x:v>
      </x:c>
      <x:c r="Q259" s="74" t="n">
        <x:v>93</x:v>
      </x:c>
      <x:c r="R259" s="74" t="n">
        <x:v>94.7</x:v>
      </x:c>
      <x:c r="S259" s="74" t="n">
        <x:v>91.4</x:v>
      </x:c>
      <x:c r="T259" s="74" t="n">
        <x:v>3</x:v>
      </x:c>
      <x:c r="U259" s="74" t="n">
        <x:v>3</x:v>
      </x:c>
      <x:c r="V259" s="74"/>
      <x:c r="W259" s="74" t="n">
        <x:f>IF(COUNTA(P259:S259)=4,AVERAGE(P259:S259),"")</x:f>
        <x:v>89.375</x:v>
      </x:c>
      <x:c r="X259" s="74" t="n">
        <x:f>IF(V259&lt;&gt;"",V259,W259)</x:f>
        <x:v>89.375</x:v>
      </x:c>
      <x:c r="Y259" s="73" t="str">
        <x:v>파생 단순평균(참고)</x:v>
      </x:c>
      <x:c r="Z259" s="74" t="n">
        <x:v>80</x:v>
      </x:c>
      <x:c r="AA259" s="74" t="n">
        <x:f>IF(X259&lt;&gt;"",Z259-X259,"")</x:f>
        <x:v>-9.375</x:v>
      </x:c>
      <x:c r="AB259" s="73" t="str">
        <x:f>IF(AA259="","",IF(AA259&gt;=5,"안정",IF(AA259&gt;=1,"적정",IF(AA259&gt;=-2,"소신","상향"))))</x:f>
        <x:v>상향</x:v>
      </x:c>
      <x:c r="AC259" s="75" t="n">
        <x:v>50</x:v>
      </x:c>
      <x:c r="AD259" s="75" t="n">
        <x:v>50</x:v>
      </x:c>
      <x:c r="AE259" s="75" t="n">
        <x:v>0</x:v>
      </x:c>
      <x:c r="AF259" s="73" t="str">
        <x:v>B: 공식 과목별 70% 백분위 → 단순평균 파생</x:v>
      </x:c>
      <x:c r="AG259" s="73" t="str">
        <x:v>https://www.adiga.kr/ucp/uvt/uni/univDetailSelection.do?menuId=PCUVTINF2000&amp;searchSyr=2026&amp;unvCd=0000192</x:v>
      </x:c>
    </x:row>
    <x:row r="260" ht="18" customHeight="1">
      <x:c r="A260" s="73" t="n">
        <x:v>2025</x:v>
      </x:c>
      <x:c r="B260" s="73" t="str">
        <x:v>서울특별시</x:v>
      </x:c>
      <x:c r="C260" s="73" t="str">
        <x:v>사립</x:v>
      </x:c>
      <x:c r="D260" s="73" t="str">
        <x:v>한국외국어대학교</x:v>
      </x:c>
      <x:c r="E260" s="73" t="str">
        <x:v>다</x:v>
      </x:c>
      <x:c r="F260" s="73" t="str">
        <x:v>일반전형</x:v>
      </x:c>
      <x:c r="G260" s="73" t="str">
        <x:v>자유전공학부(서울)</x:v>
      </x:c>
      <x:c r="H260" s="73" t="n">
        <x:v>42</x:v>
      </x:c>
      <x:c r="I260" s="73" t="n">
        <x:v>0</x:v>
      </x:c>
      <x:c r="J260" s="73" t="n">
        <x:v>42</x:v>
      </x:c>
      <x:c r="K260" s="74" t="n">
        <x:v>11.4</x:v>
      </x:c>
      <x:c r="L260" s="73" t="n">
        <x:v>244</x:v>
      </x:c>
      <x:c r="M260" s="74" t="n">
        <x:v>655.1</x:v>
      </x:c>
      <x:c r="N260" s="74" t="n">
        <x:v>653.3</x:v>
      </x:c>
      <x:c r="O260" s="74" t="n">
        <x:v>710</x:v>
      </x:c>
      <x:c r="P260" s="74" t="n">
        <x:v>92.4</x:v>
      </x:c>
      <x:c r="Q260" s="74" t="n">
        <x:v>78</x:v>
      </x:c>
      <x:c r="R260" s="74" t="n">
        <x:v>87</x:v>
      </x:c>
      <x:c r="S260" s="74" t="n">
        <x:v>86.8</x:v>
      </x:c>
      <x:c r="T260" s="74" t="n">
        <x:v>2</x:v>
      </x:c>
      <x:c r="U260" s="74" t="n">
        <x:v>2</x:v>
      </x:c>
      <x:c r="V260" s="74"/>
      <x:c r="W260" s="74" t="n">
        <x:f>IF(COUNTA(P260:S260)=4,AVERAGE(P260:S260),"")</x:f>
        <x:v>86.05</x:v>
      </x:c>
      <x:c r="X260" s="74" t="n">
        <x:f>IF(V260&lt;&gt;"",V260,W260)</x:f>
        <x:v>86.05</x:v>
      </x:c>
      <x:c r="Y260" s="73" t="str">
        <x:v>파생 단순평균(참고)</x:v>
      </x:c>
      <x:c r="Z260" s="74" t="n">
        <x:v>80</x:v>
      </x:c>
      <x:c r="AA260" s="74" t="n">
        <x:f>IF(X260&lt;&gt;"",Z260-X260,"")</x:f>
        <x:v>-6.049999999999997</x:v>
      </x:c>
      <x:c r="AB260" s="73" t="str">
        <x:f>IF(AA260="","",IF(AA260&gt;=5,"안정",IF(AA260&gt;=1,"적정",IF(AA260&gt;=-2,"소신","상향"))))</x:f>
        <x:v>상향</x:v>
      </x:c>
      <x:c r="AC260" s="75" t="n">
        <x:v>71.8</x:v>
      </x:c>
      <x:c r="AD260" s="75" t="n">
        <x:v>28.2</x:v>
      </x:c>
      <x:c r="AE260" s="75" t="n">
        <x:v>0</x:v>
      </x:c>
      <x:c r="AF260" s="73" t="str">
        <x:v>B: 공식 과목별 70% 백분위 → 단순평균 파생</x:v>
      </x:c>
      <x:c r="AG260" s="73" t="str">
        <x:v>https://www.adiga.kr/ucp/uvt/uni/univDetailSelection.do?menuId=PCUVTINF2000&amp;searchSyr=2026&amp;unvCd=0000192</x:v>
      </x:c>
    </x:row>
    <x:row r="261" ht="18" customHeight="1">
      <x:c r="A261" s="73" t="n">
        <x:v>2025</x:v>
      </x:c>
      <x:c r="B261" s="73" t="str">
        <x:v>서울특별시</x:v>
      </x:c>
      <x:c r="C261" s="73" t="str">
        <x:v>사립</x:v>
      </x:c>
      <x:c r="D261" s="73" t="str">
        <x:v>경희대학교</x:v>
      </x:c>
      <x:c r="E261" s="73" t="str">
        <x:v>가</x:v>
      </x:c>
      <x:c r="F261" s="73" t="str">
        <x:v>일반전형</x:v>
      </x:c>
      <x:c r="G261" s="73" t="str">
        <x:v>자율전공학부</x:v>
      </x:c>
      <x:c r="H261" s="73" t="n">
        <x:v>85</x:v>
      </x:c>
      <x:c r="I261" s="73" t="n">
        <x:v>3</x:v>
      </x:c>
      <x:c r="J261" s="73" t="n">
        <x:v>88</x:v>
      </x:c>
      <x:c r="K261" s="74" t="n">
        <x:v>3.7</x:v>
      </x:c>
      <x:c r="L261" s="73" t="n">
        <x:v>64</x:v>
      </x:c>
      <x:c r="M261" s="74" t="n">
        <x:v>548.68</x:v>
      </x:c>
      <x:c r="N261" s="74" t="n">
        <x:v>545.9</x:v>
      </x:c>
      <x:c r="O261" s="74" t="n">
        <x:v>800</x:v>
      </x:c>
      <x:c r="P261" s="74" t="n">
        <x:v>92</x:v>
      </x:c>
      <x:c r="Q261" s="74" t="n">
        <x:v>85</x:v>
      </x:c>
      <x:c r="R261" s="74" t="n">
        <x:v>87</x:v>
      </x:c>
      <x:c r="S261" s="74" t="n">
        <x:v>85</x:v>
      </x:c>
      <x:c r="T261" s="74" t="n">
        <x:v>2</x:v>
      </x:c>
      <x:c r="U261" s="74" t="n">
        <x:v>2</x:v>
      </x:c>
      <x:c r="V261" s="74"/>
      <x:c r="W261" s="74" t="n">
        <x:f>IF(COUNTA(P261:S261)=4,AVERAGE(P261:S261),"")</x:f>
        <x:v>87.25</x:v>
      </x:c>
      <x:c r="X261" s="74" t="n">
        <x:f>IF(V261&lt;&gt;"",V261,W261)</x:f>
        <x:v>87.25</x:v>
      </x:c>
      <x:c r="Y261" s="73" t="str">
        <x:v>파생 단순평균(참고)</x:v>
      </x:c>
      <x:c r="Z261" s="74" t="n">
        <x:v>80</x:v>
      </x:c>
      <x:c r="AA261" s="74" t="n">
        <x:f>IF(X261&lt;&gt;"",Z261-X261,"")</x:f>
        <x:v>-7.25</x:v>
      </x:c>
      <x:c r="AB261" s="73" t="str">
        <x:f>IF(AA261="","",IF(AA261&gt;=5,"안정",IF(AA261&gt;=1,"적정",IF(AA261&gt;=-2,"소신","상향"))))</x:f>
        <x:v>상향</x:v>
      </x:c>
      <x:c r="AC261" s="75" t="n">
        <x:v>19.3</x:v>
      </x:c>
      <x:c r="AD261" s="75" t="n">
        <x:v>77.3</x:v>
      </x:c>
      <x:c r="AE261" s="75" t="n">
        <x:v>3.4</x:v>
      </x:c>
      <x:c r="AF261" s="73" t="str">
        <x:v>B: 공식 과목별 70% 백분위 → 단순평균 파생</x:v>
      </x:c>
      <x:c r="AG261" s="73" t="str">
        <x:v>https://www.adiga.kr/ucp/uvt/uni/univDetailSelection.do?menuId=PCUVTINF2000&amp;searchSyr=2026&amp;unvCd=0000066</x:v>
      </x:c>
    </x:row>
    <x:row r="262" ht="18" customHeight="1">
      <x:c r="A262" s="73" t="n">
        <x:v>2025</x:v>
      </x:c>
      <x:c r="B262" s="73" t="str">
        <x:v>서울특별시</x:v>
      </x:c>
      <x:c r="C262" s="73" t="str">
        <x:v>사립</x:v>
      </x:c>
      <x:c r="D262" s="73" t="str">
        <x:v>경희대학교</x:v>
      </x:c>
      <x:c r="E262" s="73" t="str">
        <x:v>가</x:v>
      </x:c>
      <x:c r="F262" s="73" t="str">
        <x:v>일반전형</x:v>
      </x:c>
      <x:c r="G262" s="73" t="str">
        <x:v>자유전공학부</x:v>
      </x:c>
      <x:c r="H262" s="73" t="n">
        <x:v>54</x:v>
      </x:c>
      <x:c r="I262" s="73" t="n">
        <x:v>2</x:v>
      </x:c>
      <x:c r="J262" s="73" t="n">
        <x:v>56</x:v>
      </x:c>
      <x:c r="K262" s="74" t="n">
        <x:v>4.2</x:v>
      </x:c>
      <x:c r="L262" s="73" t="n">
        <x:v>28</x:v>
      </x:c>
      <x:c r="M262" s="74" t="n">
        <x:v>551.29</x:v>
      </x:c>
      <x:c r="N262" s="74" t="n">
        <x:v>550.64</x:v>
      </x:c>
      <x:c r="O262" s="74" t="n">
        <x:v>800</x:v>
      </x:c>
      <x:c r="P262" s="74" t="n">
        <x:v>82</x:v>
      </x:c>
      <x:c r="Q262" s="74" t="n">
        <x:v>92</x:v>
      </x:c>
      <x:c r="R262" s="74" t="n">
        <x:v>94</x:v>
      </x:c>
      <x:c r="S262" s="74" t="n">
        <x:v>91</x:v>
      </x:c>
      <x:c r="T262" s="74" t="n">
        <x:v>2</x:v>
      </x:c>
      <x:c r="U262" s="74" t="n">
        <x:v>2</x:v>
      </x:c>
      <x:c r="V262" s="74"/>
      <x:c r="W262" s="74" t="n">
        <x:f>IF(COUNTA(P262:S262)=4,AVERAGE(P262:S262),"")</x:f>
        <x:v>89.75</x:v>
      </x:c>
      <x:c r="X262" s="74" t="n">
        <x:f>IF(V262&lt;&gt;"",V262,W262)</x:f>
        <x:v>89.75</x:v>
      </x:c>
      <x:c r="Y262" s="73" t="str">
        <x:v>파생 단순평균(참고)</x:v>
      </x:c>
      <x:c r="Z262" s="74" t="n">
        <x:v>80</x:v>
      </x:c>
      <x:c r="AA262" s="74" t="n">
        <x:f>IF(X262&lt;&gt;"",Z262-X262,"")</x:f>
        <x:v>-9.75</x:v>
      </x:c>
      <x:c r="AB262" s="73" t="str">
        <x:f>IF(AA262="","",IF(AA262&gt;=5,"안정",IF(AA262&gt;=1,"적정",IF(AA262&gt;=-2,"소신","상향"))))</x:f>
        <x:v>상향</x:v>
      </x:c>
      <x:c r="AC262" s="75" t="n">
        <x:v>16.1</x:v>
      </x:c>
      <x:c r="AD262" s="75" t="n">
        <x:v>82.1</x:v>
      </x:c>
      <x:c r="AE262" s="75" t="n">
        <x:v>1.8</x:v>
      </x:c>
      <x:c r="AF262" s="73" t="str">
        <x:v>B: 공식 과목별 70% 백분위 → 단순평균 파생</x:v>
      </x:c>
      <x:c r="AG262" s="73" t="str">
        <x:v>https://www.adiga.kr/ucp/uvt/uni/univDetailSelection.do?menuId=PCUVTINF2000&amp;searchSyr=2026&amp;unvCd=0000066</x:v>
      </x:c>
    </x:row>
    <x:row r="263">
      <x:c r="A263" s="80" t="n">
        <x:v>2025</x:v>
      </x:c>
      <x:c r="B263" s="80" t="str">
        <x:v>서울특별시</x:v>
      </x:c>
      <x:c r="C263" s="80" t="str">
        <x:v>사립</x:v>
      </x:c>
      <x:c r="D263" s="80" t="str">
        <x:v>경희대학교</x:v>
      </x:c>
      <x:c r="E263" s="80" t="str">
        <x:v>가</x:v>
      </x:c>
      <x:c r="F263" s="80" t="str">
        <x:v>일반전형</x:v>
      </x:c>
      <x:c r="G263" s="80" t="str">
        <x:v>국어국문학과</x:v>
      </x:c>
      <x:c r="H263" s="80" t="n">
        <x:v>17</x:v>
      </x:c>
      <x:c r="I263" s="80" t="n">
        <x:v>0</x:v>
      </x:c>
      <x:c r="J263" s="80" t="n">
        <x:v>17</x:v>
      </x:c>
      <x:c r="K263" s="81" t="n">
        <x:v>3.3</x:v>
      </x:c>
      <x:c r="L263" s="81" t="n">
        <x:v>13</x:v>
      </x:c>
      <x:c r="M263" s="81" t="n">
        <x:v>561.84</x:v>
      </x:c>
      <x:c r="N263" s="81" t="n">
        <x:v>559.12</x:v>
      </x:c>
      <x:c r="O263" s="81" t="n">
        <x:v>800</x:v>
      </x:c>
      <x:c r="P263" s="81" t="n">
        <x:v>94</x:v>
      </x:c>
      <x:c r="Q263" s="81" t="n">
        <x:v>70</x:v>
      </x:c>
      <x:c r="R263" s="81" t="n">
        <x:v>96</x:v>
      </x:c>
      <x:c r="S263" s="81" t="n">
        <x:v>94</x:v>
      </x:c>
      <x:c r="T263" s="81" t="n">
        <x:v>2</x:v>
      </x:c>
      <x:c r="U263" s="81" t="n">
        <x:v>2</x:v>
      </x:c>
      <x:c r="V263" s="80"/>
      <x:c r="W263" s="81" t="n">
        <x:f>IF(COUNTA(P263:S263)=4,AVERAGE(P263:S263),"")</x:f>
        <x:v>88.5</x:v>
      </x:c>
      <x:c r="X263" s="81" t="n">
        <x:f>IF(V263&lt;&gt;"",V263,W263)</x:f>
        <x:v>88.5</x:v>
      </x:c>
      <x:c r="Y263" s="80" t="str">
        <x:v>파생 단순평균(참고)</x:v>
      </x:c>
      <x:c r="Z263" s="81" t="n">
        <x:v>80</x:v>
      </x:c>
      <x:c r="AA263" s="81" t="n">
        <x:f>IF(X263&lt;&gt;"",Z263-X263,"")</x:f>
        <x:v>-8.5</x:v>
      </x:c>
      <x:c r="AB263" s="80" t="str">
        <x:f>IF(AA263="","",IF(AA263&gt;=5,"안정",IF(AA263&gt;=1,"적정",IF(AA263&gt;=-2,"소신","상향"))))</x:f>
        <x:v>상향</x:v>
      </x:c>
      <x:c r="AC263" s="82" t="n">
        <x:v>82.4</x:v>
      </x:c>
      <x:c r="AD263" s="82" t="n">
        <x:v>17.6</x:v>
      </x:c>
      <x:c r="AE263" s="82" t="n">
        <x:v>0</x:v>
      </x:c>
      <x:c r="AF263" s="80" t="str">
        <x:v>B: 공식 과목별 70% 백분위 → 단순평균 파생</x:v>
      </x:c>
      <x:c r="AG263" s="80" t="str">
        <x:v>https://www.adiga.kr/ucp/uvt/uni/univDetailSelection.do?menuId=PCUVTINF2000&amp;searchSyr=2026&amp;unvCd=0000066</x:v>
      </x:c>
    </x:row>
    <x:row r="264">
      <x:c r="A264" s="80" t="n">
        <x:v>2025</x:v>
      </x:c>
      <x:c r="B264" s="80" t="str">
        <x:v>서울특별시</x:v>
      </x:c>
      <x:c r="C264" s="80" t="str">
        <x:v>사립</x:v>
      </x:c>
      <x:c r="D264" s="80" t="str">
        <x:v>경희대학교</x:v>
      </x:c>
      <x:c r="E264" s="80" t="str">
        <x:v>가</x:v>
      </x:c>
      <x:c r="F264" s="80" t="str">
        <x:v>일반전형</x:v>
      </x:c>
      <x:c r="G264" s="80" t="str">
        <x:v>영어영문학과</x:v>
      </x:c>
      <x:c r="H264" s="80" t="n">
        <x:v>19</x:v>
      </x:c>
      <x:c r="I264" s="80" t="n">
        <x:v>0</x:v>
      </x:c>
      <x:c r="J264" s="80" t="n">
        <x:v>19</x:v>
      </x:c>
      <x:c r="K264" s="81" t="n">
        <x:v>4.9</x:v>
      </x:c>
      <x:c r="L264" s="81" t="n">
        <x:v>14</x:v>
      </x:c>
      <x:c r="M264" s="81" t="n">
        <x:v>561.97</x:v>
      </x:c>
      <x:c r="N264" s="81" t="n">
        <x:v>561.35</x:v>
      </x:c>
      <x:c r="O264" s="81" t="n">
        <x:v>800</x:v>
      </x:c>
      <x:c r="P264" s="81" t="n">
        <x:v>95</x:v>
      </x:c>
      <x:c r="Q264" s="81" t="n">
        <x:v>68</x:v>
      </x:c>
      <x:c r="R264" s="81" t="n">
        <x:v>93</x:v>
      </x:c>
      <x:c r="S264" s="81" t="n">
        <x:v>93</x:v>
      </x:c>
      <x:c r="T264" s="81" t="n">
        <x:v>2</x:v>
      </x:c>
      <x:c r="U264" s="81" t="n">
        <x:v>1</x:v>
      </x:c>
      <x:c r="V264" s="80"/>
      <x:c r="W264" s="81" t="n">
        <x:f>IF(COUNTA(P264:S264)=4,AVERAGE(P264:S264),"")</x:f>
        <x:v>87.25</x:v>
      </x:c>
      <x:c r="X264" s="81" t="n">
        <x:f>IF(V264&lt;&gt;"",V264,W264)</x:f>
        <x:v>87.25</x:v>
      </x:c>
      <x:c r="Y264" s="80" t="str">
        <x:v>파생 단순평균(참고)</x:v>
      </x:c>
      <x:c r="Z264" s="81" t="n">
        <x:v>80</x:v>
      </x:c>
      <x:c r="AA264" s="81" t="n">
        <x:f>IF(X264&lt;&gt;"",Z264-X264,"")</x:f>
        <x:v>-7.25</x:v>
      </x:c>
      <x:c r="AB264" s="80" t="str">
        <x:f>IF(AA264="","",IF(AA264&gt;=5,"안정",IF(AA264&gt;=1,"적정",IF(AA264&gt;=-2,"소신","상향"))))</x:f>
        <x:v>상향</x:v>
      </x:c>
      <x:c r="AC264" s="82" t="n">
        <x:v>88.9</x:v>
      </x:c>
      <x:c r="AD264" s="82" t="n">
        <x:v>11.1</x:v>
      </x:c>
      <x:c r="AE264" s="82" t="n">
        <x:v>0</x:v>
      </x:c>
      <x:c r="AF264" s="80" t="str">
        <x:v>B: 공식 과목별 70% 백분위 → 단순평균 파생</x:v>
      </x:c>
      <x:c r="AG264" s="80" t="str">
        <x:v>https://www.adiga.kr/ucp/uvt/uni/univDetailSelection.do?menuId=PCUVTINF2000&amp;searchSyr=2026&amp;unvCd=0000066</x:v>
      </x:c>
    </x:row>
    <x:row r="265">
      <x:c r="A265" s="80" t="n">
        <x:v>2025</x:v>
      </x:c>
      <x:c r="B265" s="80" t="str">
        <x:v>서울특별시</x:v>
      </x:c>
      <x:c r="C265" s="80" t="str">
        <x:v>사립</x:v>
      </x:c>
      <x:c r="D265" s="80" t="str">
        <x:v>경희대학교</x:v>
      </x:c>
      <x:c r="E265" s="80" t="str">
        <x:v>가</x:v>
      </x:c>
      <x:c r="F265" s="80" t="str">
        <x:v>일반전형</x:v>
      </x:c>
      <x:c r="G265" s="80" t="str">
        <x:v>응용영어통번역학과</x:v>
      </x:c>
      <x:c r="H265" s="80" t="n">
        <x:v>17</x:v>
      </x:c>
      <x:c r="I265" s="80" t="n">
        <x:v>0</x:v>
      </x:c>
      <x:c r="J265" s="80" t="n">
        <x:v>17</x:v>
      </x:c>
      <x:c r="K265" s="81" t="n">
        <x:v>5.1</x:v>
      </x:c>
      <x:c r="L265" s="81" t="n">
        <x:v>5</x:v>
      </x:c>
      <x:c r="M265" s="81" t="n">
        <x:v>561.24</x:v>
      </x:c>
      <x:c r="N265" s="81" t="n">
        <x:v>560.12</x:v>
      </x:c>
      <x:c r="O265" s="81" t="n">
        <x:v>800</x:v>
      </x:c>
      <x:c r="P265" s="81" t="n">
        <x:v>92</x:v>
      </x:c>
      <x:c r="Q265" s="81" t="n">
        <x:v>66</x:v>
      </x:c>
      <x:c r="R265" s="81" t="n">
        <x:v>95</x:v>
      </x:c>
      <x:c r="S265" s="81" t="n">
        <x:v>93</x:v>
      </x:c>
      <x:c r="T265" s="81" t="n">
        <x:v>2</x:v>
      </x:c>
      <x:c r="U265" s="81" t="n">
        <x:v>2</x:v>
      </x:c>
      <x:c r="V265" s="80"/>
      <x:c r="W265" s="81" t="n">
        <x:f>IF(COUNTA(P265:S265)=4,AVERAGE(P265:S265),"")</x:f>
        <x:v>86.5</x:v>
      </x:c>
      <x:c r="X265" s="81" t="n">
        <x:f>IF(V265&lt;&gt;"",V265,W265)</x:f>
        <x:v>86.5</x:v>
      </x:c>
      <x:c r="Y265" s="80" t="str">
        <x:v>파생 단순평균(참고)</x:v>
      </x:c>
      <x:c r="Z265" s="81" t="n">
        <x:v>80</x:v>
      </x:c>
      <x:c r="AA265" s="81" t="n">
        <x:f>IF(X265&lt;&gt;"",Z265-X265,"")</x:f>
        <x:v>-6.5</x:v>
      </x:c>
      <x:c r="AB265" s="80" t="str">
        <x:f>IF(AA265="","",IF(AA265&gt;=5,"안정",IF(AA265&gt;=1,"적정",IF(AA265&gt;=-2,"소신","상향"))))</x:f>
        <x:v>상향</x:v>
      </x:c>
      <x:c r="AC265" s="82" t="n">
        <x:v>88.2</x:v>
      </x:c>
      <x:c r="AD265" s="82" t="n">
        <x:v>11.8</x:v>
      </x:c>
      <x:c r="AE265" s="82" t="n">
        <x:v>0</x:v>
      </x:c>
      <x:c r="AF265" s="80" t="str">
        <x:v>B: 공식 과목별 70% 백분위 → 단순평균 파생</x:v>
      </x:c>
      <x:c r="AG265" s="80" t="str">
        <x:v>https://www.adiga.kr/ucp/uvt/uni/univDetailSelection.do?menuId=PCUVTINF2000&amp;searchSyr=2026&amp;unvCd=0000066</x:v>
      </x:c>
    </x:row>
    <x:row r="266">
      <x:c r="A266" s="80" t="n">
        <x:v>2025</x:v>
      </x:c>
      <x:c r="B266" s="80" t="str">
        <x:v>서울특별시</x:v>
      </x:c>
      <x:c r="C266" s="80" t="str">
        <x:v>사립</x:v>
      </x:c>
      <x:c r="D266" s="80" t="str">
        <x:v>경희대학교</x:v>
      </x:c>
      <x:c r="E266" s="80" t="str">
        <x:v>가</x:v>
      </x:c>
      <x:c r="F266" s="80" t="str">
        <x:v>일반전형</x:v>
      </x:c>
      <x:c r="G266" s="80" t="str">
        <x:v>사학과</x:v>
      </x:c>
      <x:c r="H266" s="80" t="n">
        <x:v>12</x:v>
      </x:c>
      <x:c r="I266" s="80" t="n">
        <x:v>0</x:v>
      </x:c>
      <x:c r="J266" s="80" t="n">
        <x:v>12</x:v>
      </x:c>
      <x:c r="K266" s="81" t="n">
        <x:v>4</x:v>
      </x:c>
      <x:c r="L266" s="81" t="n">
        <x:v>4</x:v>
      </x:c>
      <x:c r="M266" s="81" t="n">
        <x:v>560.56</x:v>
      </x:c>
      <x:c r="N266" s="81" t="n">
        <x:v>560.14</x:v>
      </x:c>
      <x:c r="O266" s="81" t="n">
        <x:v>800</x:v>
      </x:c>
      <x:c r="P266" s="81" t="n">
        <x:v>93</x:v>
      </x:c>
      <x:c r="Q266" s="81" t="n">
        <x:v>74</x:v>
      </x:c>
      <x:c r="R266" s="81" t="n">
        <x:v>93</x:v>
      </x:c>
      <x:c r="S266" s="81" t="n">
        <x:v>95</x:v>
      </x:c>
      <x:c r="T266" s="81" t="n">
        <x:v>2</x:v>
      </x:c>
      <x:c r="U266" s="81" t="n">
        <x:v>1</x:v>
      </x:c>
      <x:c r="V266" s="80"/>
      <x:c r="W266" s="81" t="n">
        <x:f>IF(COUNTA(P266:S266)=4,AVERAGE(P266:S266),"")</x:f>
        <x:v>88.75</x:v>
      </x:c>
      <x:c r="X266" s="81" t="n">
        <x:f>IF(V266&lt;&gt;"",V266,W266)</x:f>
        <x:v>88.75</x:v>
      </x:c>
      <x:c r="Y266" s="80" t="str">
        <x:v>파생 단순평균(참고)</x:v>
      </x:c>
      <x:c r="Z266" s="81" t="n">
        <x:v>80</x:v>
      </x:c>
      <x:c r="AA266" s="81" t="n">
        <x:f>IF(X266&lt;&gt;"",Z266-X266,"")</x:f>
        <x:v>-8.75</x:v>
      </x:c>
      <x:c r="AB266" s="80" t="str">
        <x:f>IF(AA266="","",IF(AA266&gt;=5,"안정",IF(AA266&gt;=1,"적정",IF(AA266&gt;=-2,"소신","상향"))))</x:f>
        <x:v>상향</x:v>
      </x:c>
      <x:c r="AC266" s="82" t="n">
        <x:v>58.3</x:v>
      </x:c>
      <x:c r="AD266" s="82" t="n">
        <x:v>33.3</x:v>
      </x:c>
      <x:c r="AE266" s="82" t="n">
        <x:v>8.3</x:v>
      </x:c>
      <x:c r="AF266" s="80" t="str">
        <x:v>B: 공식 과목별 70% 백분위 → 단순평균 파생</x:v>
      </x:c>
      <x:c r="AG266" s="80" t="str">
        <x:v>https://www.adiga.kr/ucp/uvt/uni/univDetailSelection.do?menuId=PCUVTINF2000&amp;searchSyr=2026&amp;unvCd=0000066</x:v>
      </x:c>
    </x:row>
    <x:row r="267">
      <x:c r="A267" s="80" t="n">
        <x:v>2025</x:v>
      </x:c>
      <x:c r="B267" s="80" t="str">
        <x:v>서울특별시</x:v>
      </x:c>
      <x:c r="C267" s="80" t="str">
        <x:v>사립</x:v>
      </x:c>
      <x:c r="D267" s="80" t="str">
        <x:v>경희대학교</x:v>
      </x:c>
      <x:c r="E267" s="80" t="str">
        <x:v>가</x:v>
      </x:c>
      <x:c r="F267" s="80" t="str">
        <x:v>일반전형</x:v>
      </x:c>
      <x:c r="G267" s="80" t="str">
        <x:v>철학과</x:v>
      </x:c>
      <x:c r="H267" s="80" t="n">
        <x:v>14</x:v>
      </x:c>
      <x:c r="I267" s="80" t="n">
        <x:v>0</x:v>
      </x:c>
      <x:c r="J267" s="80" t="n">
        <x:v>14</x:v>
      </x:c>
      <x:c r="K267" s="81" t="n">
        <x:v>4.4</x:v>
      </x:c>
      <x:c r="L267" s="81" t="n">
        <x:v>8</x:v>
      </x:c>
      <x:c r="M267" s="81" t="n">
        <x:v>561.6</x:v>
      </x:c>
      <x:c r="N267" s="81" t="n">
        <x:v>560.94</x:v>
      </x:c>
      <x:c r="O267" s="81" t="n">
        <x:v>800</x:v>
      </x:c>
      <x:c r="P267" s="81" t="n">
        <x:v>95</x:v>
      </x:c>
      <x:c r="Q267" s="81" t="n">
        <x:v>63</x:v>
      </x:c>
      <x:c r="R267" s="81" t="n">
        <x:v>97</x:v>
      </x:c>
      <x:c r="S267" s="81" t="n">
        <x:v>95</x:v>
      </x:c>
      <x:c r="T267" s="81" t="n">
        <x:v>2</x:v>
      </x:c>
      <x:c r="U267" s="81" t="n">
        <x:v>2</x:v>
      </x:c>
      <x:c r="V267" s="80"/>
      <x:c r="W267" s="81" t="n">
        <x:f>IF(COUNTA(P267:S267)=4,AVERAGE(P267:S267),"")</x:f>
        <x:v>87.5</x:v>
      </x:c>
      <x:c r="X267" s="81" t="n">
        <x:f>IF(V267&lt;&gt;"",V267,W267)</x:f>
        <x:v>87.5</x:v>
      </x:c>
      <x:c r="Y267" s="80" t="str">
        <x:v>파생 단순평균(참고)</x:v>
      </x:c>
      <x:c r="Z267" s="81" t="n">
        <x:v>80</x:v>
      </x:c>
      <x:c r="AA267" s="81" t="n">
        <x:f>IF(X267&lt;&gt;"",Z267-X267,"")</x:f>
        <x:v>-7.5</x:v>
      </x:c>
      <x:c r="AB267" s="80" t="str">
        <x:f>IF(AA267="","",IF(AA267&gt;=5,"안정",IF(AA267&gt;=1,"적정",IF(AA267&gt;=-2,"소신","상향"))))</x:f>
        <x:v>상향</x:v>
      </x:c>
      <x:c r="AC267" s="82" t="n">
        <x:v>78.6</x:v>
      </x:c>
      <x:c r="AD267" s="82" t="n">
        <x:v>21.4</x:v>
      </x:c>
      <x:c r="AE267" s="82" t="n">
        <x:v>0</x:v>
      </x:c>
      <x:c r="AF267" s="80" t="str">
        <x:v>B: 공식 과목별 70% 백분위 → 단순평균 파생</x:v>
      </x:c>
      <x:c r="AG267" s="80" t="str">
        <x:v>https://www.adiga.kr/ucp/uvt/uni/univDetailSelection.do?menuId=PCUVTINF2000&amp;searchSyr=2026&amp;unvCd=0000066</x:v>
      </x:c>
    </x:row>
    <x:row r="268">
      <x:c r="A268" s="80" t="n">
        <x:v>2025</x:v>
      </x:c>
      <x:c r="B268" s="80" t="str">
        <x:v>서울특별시</x:v>
      </x:c>
      <x:c r="C268" s="80" t="str">
        <x:v>사립</x:v>
      </x:c>
      <x:c r="D268" s="80" t="str">
        <x:v>경희대학교</x:v>
      </x:c>
      <x:c r="E268" s="80" t="str">
        <x:v>가</x:v>
      </x:c>
      <x:c r="F268" s="80" t="str">
        <x:v>일반전형</x:v>
      </x:c>
      <x:c r="G268" s="80" t="str">
        <x:v>프랑스어학과</x:v>
      </x:c>
      <x:c r="H268" s="80" t="n">
        <x:v>18</x:v>
      </x:c>
      <x:c r="I268" s="80" t="n">
        <x:v>0</x:v>
      </x:c>
      <x:c r="J268" s="80" t="n">
        <x:v>18</x:v>
      </x:c>
      <x:c r="K268" s="81" t="n">
        <x:v>7.1</x:v>
      </x:c>
      <x:c r="L268" s="81" t="n">
        <x:v>8</x:v>
      </x:c>
      <x:c r="M268" s="81" t="n">
        <x:v>551.14</x:v>
      </x:c>
      <x:c r="N268" s="81" t="n">
        <x:v>550.57</x:v>
      </x:c>
      <x:c r="O268" s="81" t="n">
        <x:v>800</x:v>
      </x:c>
      <x:c r="P268" s="81" t="n">
        <x:v>85</x:v>
      </x:c>
      <x:c r="Q268" s="81" t="n">
        <x:v>78</x:v>
      </x:c>
      <x:c r="R268" s="81" t="n">
        <x:v>88</x:v>
      </x:c>
      <x:c r="S268" s="81" t="n">
        <x:v>92</x:v>
      </x:c>
      <x:c r="T268" s="81" t="n">
        <x:v>2</x:v>
      </x:c>
      <x:c r="U268" s="81" t="n">
        <x:v>2</x:v>
      </x:c>
      <x:c r="V268" s="80"/>
      <x:c r="W268" s="81" t="n">
        <x:f>IF(COUNTA(P268:S268)=4,AVERAGE(P268:S268),"")</x:f>
        <x:v>85.75</x:v>
      </x:c>
      <x:c r="X268" s="81" t="n">
        <x:f>IF(V268&lt;&gt;"",V268,W268)</x:f>
        <x:v>85.75</x:v>
      </x:c>
      <x:c r="Y268" s="80" t="str">
        <x:v>파생 단순평균(참고)</x:v>
      </x:c>
      <x:c r="Z268" s="81" t="n">
        <x:v>80</x:v>
      </x:c>
      <x:c r="AA268" s="81" t="n">
        <x:f>IF(X268&lt;&gt;"",Z268-X268,"")</x:f>
        <x:v>-5.75</x:v>
      </x:c>
      <x:c r="AB268" s="80" t="str">
        <x:f>IF(AA268="","",IF(AA268&gt;=5,"안정",IF(AA268&gt;=1,"적정",IF(AA268&gt;=-2,"소신","상향"))))</x:f>
        <x:v>상향</x:v>
      </x:c>
      <x:c r="AC268" s="82" t="n">
        <x:v>61.1</x:v>
      </x:c>
      <x:c r="AD268" s="82" t="n">
        <x:v>33.3</x:v>
      </x:c>
      <x:c r="AE268" s="82" t="n">
        <x:v>5.6</x:v>
      </x:c>
      <x:c r="AF268" s="80" t="str">
        <x:v>B: 공식 과목별 70% 백분위 → 단순평균 파생</x:v>
      </x:c>
      <x:c r="AG268" s="80" t="str">
        <x:v>https://www.adiga.kr/ucp/uvt/uni/univDetailSelection.do?menuId=PCUVTINF2000&amp;searchSyr=2026&amp;unvCd=0000066</x:v>
      </x:c>
    </x:row>
    <x:row r="269">
      <x:c r="A269" s="80" t="n">
        <x:v>2025</x:v>
      </x:c>
      <x:c r="B269" s="80" t="str">
        <x:v>서울특별시</x:v>
      </x:c>
      <x:c r="C269" s="80" t="str">
        <x:v>사립</x:v>
      </x:c>
      <x:c r="D269" s="80" t="str">
        <x:v>경희대학교</x:v>
      </x:c>
      <x:c r="E269" s="80" t="str">
        <x:v>가</x:v>
      </x:c>
      <x:c r="F269" s="80" t="str">
        <x:v>일반전형</x:v>
      </x:c>
      <x:c r="G269" s="80" t="str">
        <x:v>스페인어학과</x:v>
      </x:c>
      <x:c r="H269" s="80" t="n">
        <x:v>18</x:v>
      </x:c>
      <x:c r="I269" s="80" t="n">
        <x:v>0</x:v>
      </x:c>
      <x:c r="J269" s="80" t="n">
        <x:v>18</x:v>
      </x:c>
      <x:c r="K269" s="81" t="n">
        <x:v>5.5</x:v>
      </x:c>
      <x:c r="L269" s="81" t="n">
        <x:v>4</x:v>
      </x:c>
      <x:c r="M269" s="81" t="n">
        <x:v>552.61</x:v>
      </x:c>
      <x:c r="N269" s="81" t="n">
        <x:v>552.4</x:v>
      </x:c>
      <x:c r="O269" s="81" t="n">
        <x:v>800</x:v>
      </x:c>
      <x:c r="P269" s="81" t="n">
        <x:v>91</x:v>
      </x:c>
      <x:c r="Q269" s="81" t="n">
        <x:v>70</x:v>
      </x:c>
      <x:c r="R269" s="81" t="n">
        <x:v>93</x:v>
      </x:c>
      <x:c r="S269" s="81" t="n">
        <x:v>93</x:v>
      </x:c>
      <x:c r="T269" s="81" t="n">
        <x:v>3</x:v>
      </x:c>
      <x:c r="U269" s="81" t="n">
        <x:v>2</x:v>
      </x:c>
      <x:c r="V269" s="80"/>
      <x:c r="W269" s="81" t="n">
        <x:f>IF(COUNTA(P269:S269)=4,AVERAGE(P269:S269),"")</x:f>
        <x:v>86.75</x:v>
      </x:c>
      <x:c r="X269" s="81" t="n">
        <x:f>IF(V269&lt;&gt;"",V269,W269)</x:f>
        <x:v>86.75</x:v>
      </x:c>
      <x:c r="Y269" s="80" t="str">
        <x:v>파생 단순평균(참고)</x:v>
      </x:c>
      <x:c r="Z269" s="81" t="n">
        <x:v>80</x:v>
      </x:c>
      <x:c r="AA269" s="81" t="n">
        <x:f>IF(X269&lt;&gt;"",Z269-X269,"")</x:f>
        <x:v>-6.75</x:v>
      </x:c>
      <x:c r="AB269" s="80" t="str">
        <x:f>IF(AA269="","",IF(AA269&gt;=5,"안정",IF(AA269&gt;=1,"적정",IF(AA269&gt;=-2,"소신","상향"))))</x:f>
        <x:v>상향</x:v>
      </x:c>
      <x:c r="AC269" s="82" t="n">
        <x:v>66.7</x:v>
      </x:c>
      <x:c r="AD269" s="82" t="n">
        <x:v>33.3</x:v>
      </x:c>
      <x:c r="AE269" s="82" t="n">
        <x:v>0</x:v>
      </x:c>
      <x:c r="AF269" s="80" t="str">
        <x:v>B: 공식 과목별 70% 백분위 → 단순평균 파생</x:v>
      </x:c>
      <x:c r="AG269" s="80" t="str">
        <x:v>https://www.adiga.kr/ucp/uvt/uni/univDetailSelection.do?menuId=PCUVTINF2000&amp;searchSyr=2026&amp;unvCd=0000066</x:v>
      </x:c>
    </x:row>
    <x:row r="270">
      <x:c r="A270" s="80" t="n">
        <x:v>2025</x:v>
      </x:c>
      <x:c r="B270" s="80" t="str">
        <x:v>서울특별시</x:v>
      </x:c>
      <x:c r="C270" s="80" t="str">
        <x:v>사립</x:v>
      </x:c>
      <x:c r="D270" s="80" t="str">
        <x:v>경희대학교</x:v>
      </x:c>
      <x:c r="E270" s="80" t="str">
        <x:v>가</x:v>
      </x:c>
      <x:c r="F270" s="80" t="str">
        <x:v>일반전형</x:v>
      </x:c>
      <x:c r="G270" s="80" t="str">
        <x:v>러시아어학과</x:v>
      </x:c>
      <x:c r="H270" s="80" t="n">
        <x:v>18</x:v>
      </x:c>
      <x:c r="I270" s="80" t="n">
        <x:v>2</x:v>
      </x:c>
      <x:c r="J270" s="80" t="n">
        <x:v>20</x:v>
      </x:c>
      <x:c r="K270" s="81" t="n">
        <x:v>3.5</x:v>
      </x:c>
      <x:c r="L270" s="81" t="n">
        <x:v>4</x:v>
      </x:c>
      <x:c r="M270" s="81" t="n">
        <x:v>551.74</x:v>
      </x:c>
      <x:c r="N270" s="81" t="n">
        <x:v>550.57</x:v>
      </x:c>
      <x:c r="O270" s="81" t="n">
        <x:v>800</x:v>
      </x:c>
      <x:c r="P270" s="81" t="n">
        <x:v>91</x:v>
      </x:c>
      <x:c r="Q270" s="81" t="n">
        <x:v>66</x:v>
      </x:c>
      <x:c r="R270" s="81" t="n">
        <x:v>92</x:v>
      </x:c>
      <x:c r="S270" s="81" t="n">
        <x:v>88</x:v>
      </x:c>
      <x:c r="T270" s="81" t="n">
        <x:v>3</x:v>
      </x:c>
      <x:c r="U270" s="81" t="n">
        <x:v>3</x:v>
      </x:c>
      <x:c r="V270" s="80"/>
      <x:c r="W270" s="81" t="n">
        <x:f>IF(COUNTA(P270:S270)=4,AVERAGE(P270:S270),"")</x:f>
        <x:v>84.25</x:v>
      </x:c>
      <x:c r="X270" s="81" t="n">
        <x:f>IF(V270&lt;&gt;"",V270,W270)</x:f>
        <x:v>84.25</x:v>
      </x:c>
      <x:c r="Y270" s="80" t="str">
        <x:v>파생 단순평균(참고)</x:v>
      </x:c>
      <x:c r="Z270" s="81" t="n">
        <x:v>80</x:v>
      </x:c>
      <x:c r="AA270" s="81" t="n">
        <x:f>IF(X270&lt;&gt;"",Z270-X270,"")</x:f>
        <x:v>-4.25</x:v>
      </x:c>
      <x:c r="AB270" s="80" t="str">
        <x:f>IF(AA270="","",IF(AA270&gt;=5,"안정",IF(AA270&gt;=1,"적정",IF(AA270&gt;=-2,"소신","상향"))))</x:f>
        <x:v>상향</x:v>
      </x:c>
      <x:c r="AC270" s="82" t="n">
        <x:v>70</x:v>
      </x:c>
      <x:c r="AD270" s="82" t="n">
        <x:v>30</x:v>
      </x:c>
      <x:c r="AE270" s="82" t="n">
        <x:v>0</x:v>
      </x:c>
      <x:c r="AF270" s="80" t="str">
        <x:v>B: 공식 과목별 70% 백분위 → 단순평균 파생</x:v>
      </x:c>
      <x:c r="AG270" s="80" t="str">
        <x:v>https://www.adiga.kr/ucp/uvt/uni/univDetailSelection.do?menuId=PCUVTINF2000&amp;searchSyr=2026&amp;unvCd=0000066</x:v>
      </x:c>
    </x:row>
    <x:row r="271">
      <x:c r="A271" s="80" t="n">
        <x:v>2025</x:v>
      </x:c>
      <x:c r="B271" s="80" t="str">
        <x:v>서울특별시</x:v>
      </x:c>
      <x:c r="C271" s="80" t="str">
        <x:v>사립</x:v>
      </x:c>
      <x:c r="D271" s="80" t="str">
        <x:v>경희대학교</x:v>
      </x:c>
      <x:c r="E271" s="80" t="str">
        <x:v>가</x:v>
      </x:c>
      <x:c r="F271" s="80" t="str">
        <x:v>일반전형</x:v>
      </x:c>
      <x:c r="G271" s="80" t="str">
        <x:v>중국어학과</x:v>
      </x:c>
      <x:c r="H271" s="80" t="n">
        <x:v>22</x:v>
      </x:c>
      <x:c r="I271" s="80" t="n">
        <x:v>0</x:v>
      </x:c>
      <x:c r="J271" s="80" t="n">
        <x:v>22</x:v>
      </x:c>
      <x:c r="K271" s="81" t="n">
        <x:v>6.5</x:v>
      </x:c>
      <x:c r="L271" s="81" t="n">
        <x:v>9</x:v>
      </x:c>
      <x:c r="M271" s="81" t="n">
        <x:v>552.07</x:v>
      </x:c>
      <x:c r="N271" s="81" t="n">
        <x:v>551.04</x:v>
      </x:c>
      <x:c r="O271" s="81" t="n">
        <x:v>800</x:v>
      </x:c>
      <x:c r="P271" s="81" t="n">
        <x:v>85</x:v>
      </x:c>
      <x:c r="Q271" s="81" t="n">
        <x:v>74</x:v>
      </x:c>
      <x:c r="R271" s="81" t="n">
        <x:v>92</x:v>
      </x:c>
      <x:c r="S271" s="81" t="n">
        <x:v>90</x:v>
      </x:c>
      <x:c r="T271" s="81" t="n">
        <x:v>2</x:v>
      </x:c>
      <x:c r="U271" s="81" t="n">
        <x:v>2</x:v>
      </x:c>
      <x:c r="V271" s="80"/>
      <x:c r="W271" s="81" t="n">
        <x:f>IF(COUNTA(P271:S271)=4,AVERAGE(P271:S271),"")</x:f>
        <x:v>85.25</x:v>
      </x:c>
      <x:c r="X271" s="81" t="n">
        <x:f>IF(V271&lt;&gt;"",V271,W271)</x:f>
        <x:v>85.25</x:v>
      </x:c>
      <x:c r="Y271" s="80" t="str">
        <x:v>파생 단순평균(참고)</x:v>
      </x:c>
      <x:c r="Z271" s="81" t="n">
        <x:v>80</x:v>
      </x:c>
      <x:c r="AA271" s="81" t="n">
        <x:f>IF(X271&lt;&gt;"",Z271-X271,"")</x:f>
        <x:v>-5.25</x:v>
      </x:c>
      <x:c r="AB271" s="80" t="str">
        <x:f>IF(AA271="","",IF(AA271&gt;=5,"안정",IF(AA271&gt;=1,"적정",IF(AA271&gt;=-2,"소신","상향"))))</x:f>
        <x:v>상향</x:v>
      </x:c>
      <x:c r="AC271" s="82" t="n">
        <x:v>81.8</x:v>
      </x:c>
      <x:c r="AD271" s="82" t="n">
        <x:v>18.2</x:v>
      </x:c>
      <x:c r="AE271" s="82" t="n">
        <x:v>0</x:v>
      </x:c>
      <x:c r="AF271" s="80" t="str">
        <x:v>B: 공식 과목별 70% 백분위 → 단순평균 파생</x:v>
      </x:c>
      <x:c r="AG271" s="80" t="str">
        <x:v>https://www.adiga.kr/ucp/uvt/uni/univDetailSelection.do?menuId=PCUVTINF2000&amp;searchSyr=2026&amp;unvCd=0000066</x:v>
      </x:c>
    </x:row>
    <x:row r="272">
      <x:c r="A272" s="80" t="n">
        <x:v>2025</x:v>
      </x:c>
      <x:c r="B272" s="80" t="str">
        <x:v>서울특별시</x:v>
      </x:c>
      <x:c r="C272" s="80" t="str">
        <x:v>사립</x:v>
      </x:c>
      <x:c r="D272" s="80" t="str">
        <x:v>경희대학교</x:v>
      </x:c>
      <x:c r="E272" s="80" t="str">
        <x:v>가</x:v>
      </x:c>
      <x:c r="F272" s="80" t="str">
        <x:v>일반전형</x:v>
      </x:c>
      <x:c r="G272" s="80" t="str">
        <x:v>일본어학과</x:v>
      </x:c>
      <x:c r="H272" s="80" t="n">
        <x:v>21</x:v>
      </x:c>
      <x:c r="I272" s="80" t="n">
        <x:v>0</x:v>
      </x:c>
      <x:c r="J272" s="80" t="n">
        <x:v>21</x:v>
      </x:c>
      <x:c r="K272" s="81" t="n">
        <x:v>3.9</x:v>
      </x:c>
      <x:c r="L272" s="81" t="n">
        <x:v>6</x:v>
      </x:c>
      <x:c r="M272" s="81" t="n">
        <x:v>553.3</x:v>
      </x:c>
      <x:c r="N272" s="81" t="n">
        <x:v>552.55</x:v>
      </x:c>
      <x:c r="O272" s="81" t="n">
        <x:v>800</x:v>
      </x:c>
      <x:c r="P272" s="81" t="n">
        <x:v>89</x:v>
      </x:c>
      <x:c r="Q272" s="81" t="n">
        <x:v>70</x:v>
      </x:c>
      <x:c r="R272" s="81" t="n">
        <x:v>90</x:v>
      </x:c>
      <x:c r="S272" s="81" t="n">
        <x:v>88</x:v>
      </x:c>
      <x:c r="T272" s="81" t="n">
        <x:v>2</x:v>
      </x:c>
      <x:c r="U272" s="81" t="n">
        <x:v>2</x:v>
      </x:c>
      <x:c r="V272" s="80"/>
      <x:c r="W272" s="81" t="n">
        <x:f>IF(COUNTA(P272:S272)=4,AVERAGE(P272:S272),"")</x:f>
        <x:v>84.25</x:v>
      </x:c>
      <x:c r="X272" s="81" t="n">
        <x:f>IF(V272&lt;&gt;"",V272,W272)</x:f>
        <x:v>84.25</x:v>
      </x:c>
      <x:c r="Y272" s="80" t="str">
        <x:v>파생 단순평균(참고)</x:v>
      </x:c>
      <x:c r="Z272" s="81" t="n">
        <x:v>80</x:v>
      </x:c>
      <x:c r="AA272" s="81" t="n">
        <x:f>IF(X272&lt;&gt;"",Z272-X272,"")</x:f>
        <x:v>-4.25</x:v>
      </x:c>
      <x:c r="AB272" s="80" t="str">
        <x:f>IF(AA272="","",IF(AA272&gt;=5,"안정",IF(AA272&gt;=1,"적정",IF(AA272&gt;=-2,"소신","상향"))))</x:f>
        <x:v>상향</x:v>
      </x:c>
      <x:c r="AC272" s="82" t="n">
        <x:v>66.7</x:v>
      </x:c>
      <x:c r="AD272" s="82" t="n">
        <x:v>33.3</x:v>
      </x:c>
      <x:c r="AE272" s="82" t="n">
        <x:v>0</x:v>
      </x:c>
      <x:c r="AF272" s="80" t="str">
        <x:v>B: 공식 과목별 70% 백분위 → 단순평균 파생</x:v>
      </x:c>
      <x:c r="AG272" s="80" t="str">
        <x:v>https://www.adiga.kr/ucp/uvt/uni/univDetailSelection.do?menuId=PCUVTINF2000&amp;searchSyr=2026&amp;unvCd=0000066</x:v>
      </x:c>
    </x:row>
    <x:row r="273">
      <x:c r="A273" s="80" t="n">
        <x:v>2025</x:v>
      </x:c>
      <x:c r="B273" s="80" t="str">
        <x:v>서울특별시</x:v>
      </x:c>
      <x:c r="C273" s="80" t="str">
        <x:v>사립</x:v>
      </x:c>
      <x:c r="D273" s="80" t="str">
        <x:v>경희대학교</x:v>
      </x:c>
      <x:c r="E273" s="80" t="str">
        <x:v>가</x:v>
      </x:c>
      <x:c r="F273" s="80" t="str">
        <x:v>일반전형</x:v>
      </x:c>
      <x:c r="G273" s="80" t="str">
        <x:v>한국어학과</x:v>
      </x:c>
      <x:c r="H273" s="80" t="n">
        <x:v>11</x:v>
      </x:c>
      <x:c r="I273" s="80" t="n">
        <x:v>2</x:v>
      </x:c>
      <x:c r="J273" s="80" t="n">
        <x:v>13</x:v>
      </x:c>
      <x:c r="K273" s="81" t="n">
        <x:v>3</x:v>
      </x:c>
      <x:c r="L273" s="81" t="n">
        <x:v>5</x:v>
      </x:c>
      <x:c r="M273" s="81" t="n">
        <x:v>551</x:v>
      </x:c>
      <x:c r="N273" s="81" t="n">
        <x:v>550.82</x:v>
      </x:c>
      <x:c r="O273" s="81" t="n">
        <x:v>800</x:v>
      </x:c>
      <x:c r="P273" s="81" t="n">
        <x:v>89</x:v>
      </x:c>
      <x:c r="Q273" s="81" t="n">
        <x:v>70</x:v>
      </x:c>
      <x:c r="R273" s="81" t="n">
        <x:v>94</x:v>
      </x:c>
      <x:c r="S273" s="81" t="n">
        <x:v>89</x:v>
      </x:c>
      <x:c r="T273" s="81" t="n">
        <x:v>2</x:v>
      </x:c>
      <x:c r="U273" s="81" t="n">
        <x:v>1</x:v>
      </x:c>
      <x:c r="V273" s="80"/>
      <x:c r="W273" s="81" t="n">
        <x:f>IF(COUNTA(P273:S273)=4,AVERAGE(P273:S273),"")</x:f>
        <x:v>85.5</x:v>
      </x:c>
      <x:c r="X273" s="81" t="n">
        <x:f>IF(V273&lt;&gt;"",V273,W273)</x:f>
        <x:v>85.5</x:v>
      </x:c>
      <x:c r="Y273" s="80" t="str">
        <x:v>파생 단순평균(참고)</x:v>
      </x:c>
      <x:c r="Z273" s="81" t="n">
        <x:v>80</x:v>
      </x:c>
      <x:c r="AA273" s="81" t="n">
        <x:f>IF(X273&lt;&gt;"",Z273-X273,"")</x:f>
        <x:v>-5.5</x:v>
      </x:c>
      <x:c r="AB273" s="80" t="str">
        <x:f>IF(AA273="","",IF(AA273&gt;=5,"안정",IF(AA273&gt;=1,"적정",IF(AA273&gt;=-2,"소신","상향"))))</x:f>
        <x:v>상향</x:v>
      </x:c>
      <x:c r="AC273" s="82" t="n">
        <x:v>84.6</x:v>
      </x:c>
      <x:c r="AD273" s="82" t="n">
        <x:v>15.4</x:v>
      </x:c>
      <x:c r="AE273" s="82" t="n">
        <x:v>0</x:v>
      </x:c>
      <x:c r="AF273" s="80" t="str">
        <x:v>B: 공식 과목별 70% 백분위 → 단순평균 파생</x:v>
      </x:c>
      <x:c r="AG273" s="80" t="str">
        <x:v>https://www.adiga.kr/ucp/uvt/uni/univDetailSelection.do?menuId=PCUVTINF2000&amp;searchSyr=2026&amp;unvCd=0000066</x:v>
      </x:c>
    </x:row>
    <x:row r="274">
      <x:c r="A274" s="80" t="n">
        <x:v>2025</x:v>
      </x:c>
      <x:c r="B274" s="80" t="str">
        <x:v>서울특별시</x:v>
      </x:c>
      <x:c r="C274" s="80" t="str">
        <x:v>사립</x:v>
      </x:c>
      <x:c r="D274" s="80" t="str">
        <x:v>경희대학교</x:v>
      </x:c>
      <x:c r="E274" s="80" t="str">
        <x:v>가</x:v>
      </x:c>
      <x:c r="F274" s="80" t="str">
        <x:v>일반전형</x:v>
      </x:c>
      <x:c r="G274" s="80" t="str">
        <x:v>글로벌커뮤니케이션학부</x:v>
      </x:c>
      <x:c r="H274" s="80" t="n">
        <x:v>34</x:v>
      </x:c>
      <x:c r="I274" s="80" t="n">
        <x:v>0</x:v>
      </x:c>
      <x:c r="J274" s="80" t="n">
        <x:v>34</x:v>
      </x:c>
      <x:c r="K274" s="81" t="n">
        <x:v>3.5</x:v>
      </x:c>
      <x:c r="L274" s="81" t="n">
        <x:v>17</x:v>
      </x:c>
      <x:c r="M274" s="81" t="n">
        <x:v>555.18</x:v>
      </x:c>
      <x:c r="N274" s="81" t="n">
        <x:v>554.57</x:v>
      </x:c>
      <x:c r="O274" s="81" t="n">
        <x:v>800</x:v>
      </x:c>
      <x:c r="P274" s="81" t="n">
        <x:v>93</x:v>
      </x:c>
      <x:c r="Q274" s="81" t="n">
        <x:v>63</x:v>
      </x:c>
      <x:c r="R274" s="81" t="n">
        <x:v>92</x:v>
      </x:c>
      <x:c r="S274" s="81" t="n">
        <x:v>90</x:v>
      </x:c>
      <x:c r="T274" s="81" t="n">
        <x:v>2</x:v>
      </x:c>
      <x:c r="U274" s="81" t="n">
        <x:v>2</x:v>
      </x:c>
      <x:c r="V274" s="80"/>
      <x:c r="W274" s="81" t="n">
        <x:f>IF(COUNTA(P274:S274)=4,AVERAGE(P274:S274),"")</x:f>
        <x:v>84.5</x:v>
      </x:c>
      <x:c r="X274" s="81" t="n">
        <x:f>IF(V274&lt;&gt;"",V274,W274)</x:f>
        <x:v>84.5</x:v>
      </x:c>
      <x:c r="Y274" s="80" t="str">
        <x:v>파생 단순평균(참고)</x:v>
      </x:c>
      <x:c r="Z274" s="81" t="n">
        <x:v>80</x:v>
      </x:c>
      <x:c r="AA274" s="81" t="n">
        <x:f>IF(X274&lt;&gt;"",Z274-X274,"")</x:f>
        <x:v>-4.5</x:v>
      </x:c>
      <x:c r="AB274" s="80" t="str">
        <x:f>IF(AA274="","",IF(AA274&gt;=5,"안정",IF(AA274&gt;=1,"적정",IF(AA274&gt;=-2,"소신","상향"))))</x:f>
        <x:v>상향</x:v>
      </x:c>
      <x:c r="AC274" s="82" t="n">
        <x:v>82.4</x:v>
      </x:c>
      <x:c r="AD274" s="82" t="n">
        <x:v>14.7</x:v>
      </x:c>
      <x:c r="AE274" s="82" t="n">
        <x:v>2.9</x:v>
      </x:c>
      <x:c r="AF274" s="80" t="str">
        <x:v>B: 공식 과목별 70% 백분위 → 단순평균 파생</x:v>
      </x:c>
      <x:c r="AG274" s="80" t="str">
        <x:v>https://www.adiga.kr/ucp/uvt/uni/univDetailSelection.do?menuId=PCUVTINF2000&amp;searchSyr=2026&amp;unvCd=0000066</x:v>
      </x:c>
    </x:row>
    <x:row r="275">
      <x:c r="A275" s="80" t="n">
        <x:v>2025</x:v>
      </x:c>
      <x:c r="B275" s="80" t="str">
        <x:v>서울특별시</x:v>
      </x:c>
      <x:c r="C275" s="80" t="str">
        <x:v>사립</x:v>
      </x:c>
      <x:c r="D275" s="80" t="str">
        <x:v>경희대학교</x:v>
      </x:c>
      <x:c r="E275" s="80" t="str">
        <x:v>가</x:v>
      </x:c>
      <x:c r="F275" s="80" t="str">
        <x:v>일반전형</x:v>
      </x:c>
      <x:c r="G275" s="80" t="str">
        <x:v>정치외교학과</x:v>
      </x:c>
      <x:c r="H275" s="80" t="n">
        <x:v>16</x:v>
      </x:c>
      <x:c r="I275" s="80" t="n">
        <x:v>0</x:v>
      </x:c>
      <x:c r="J275" s="80" t="n">
        <x:v>16</x:v>
      </x:c>
      <x:c r="K275" s="81" t="n">
        <x:v>3.1</x:v>
      </x:c>
      <x:c r="L275" s="81" t="n">
        <x:v>16</x:v>
      </x:c>
      <x:c r="M275" s="81" t="n">
        <x:v>548.83</x:v>
      </x:c>
      <x:c r="N275" s="81" t="n">
        <x:v>547.93</x:v>
      </x:c>
      <x:c r="O275" s="81" t="n">
        <x:v>800</x:v>
      </x:c>
      <x:c r="P275" s="81" t="n">
        <x:v>92</x:v>
      </x:c>
      <x:c r="Q275" s="81" t="n">
        <x:v>83</x:v>
      </x:c>
      <x:c r="R275" s="81" t="n">
        <x:v>90</x:v>
      </x:c>
      <x:c r="S275" s="81" t="n">
        <x:v>94</x:v>
      </x:c>
      <x:c r="T275" s="81" t="n">
        <x:v>2</x:v>
      </x:c>
      <x:c r="U275" s="81" t="n">
        <x:v>1</x:v>
      </x:c>
      <x:c r="V275" s="80"/>
      <x:c r="W275" s="81" t="n">
        <x:f>IF(COUNTA(P275:S275)=4,AVERAGE(P275:S275),"")</x:f>
        <x:v>89.75</x:v>
      </x:c>
      <x:c r="X275" s="81" t="n">
        <x:f>IF(V275&lt;&gt;"",V275,W275)</x:f>
        <x:v>89.75</x:v>
      </x:c>
      <x:c r="Y275" s="80" t="str">
        <x:v>파생 단순평균(참고)</x:v>
      </x:c>
      <x:c r="Z275" s="81" t="n">
        <x:v>80</x:v>
      </x:c>
      <x:c r="AA275" s="81" t="n">
        <x:f>IF(X275&lt;&gt;"",Z275-X275,"")</x:f>
        <x:v>-9.75</x:v>
      </x:c>
      <x:c r="AB275" s="80" t="str">
        <x:f>IF(AA275="","",IF(AA275&gt;=5,"안정",IF(AA275&gt;=1,"적정",IF(AA275&gt;=-2,"소신","상향"))))</x:f>
        <x:v>상향</x:v>
      </x:c>
      <x:c r="AC275" s="82" t="n">
        <x:v>62.5</x:v>
      </x:c>
      <x:c r="AD275" s="82" t="n">
        <x:v>37.5</x:v>
      </x:c>
      <x:c r="AE275" s="82" t="n">
        <x:v>0</x:v>
      </x:c>
      <x:c r="AF275" s="80" t="str">
        <x:v>B: 공식 과목별 70% 백분위 → 단순평균 파생</x:v>
      </x:c>
      <x:c r="AG275" s="80" t="str">
        <x:v>https://www.adiga.kr/ucp/uvt/uni/univDetailSelection.do?menuId=PCUVTINF2000&amp;searchSyr=2026&amp;unvCd=0000066</x:v>
      </x:c>
    </x:row>
    <x:row r="276">
      <x:c r="A276" s="80" t="n">
        <x:v>2025</x:v>
      </x:c>
      <x:c r="B276" s="80" t="str">
        <x:v>서울특별시</x:v>
      </x:c>
      <x:c r="C276" s="80" t="str">
        <x:v>사립</x:v>
      </x:c>
      <x:c r="D276" s="80" t="str">
        <x:v>경희대학교</x:v>
      </x:c>
      <x:c r="E276" s="80" t="str">
        <x:v>가</x:v>
      </x:c>
      <x:c r="F276" s="80" t="str">
        <x:v>일반전형</x:v>
      </x:c>
      <x:c r="G276" s="80" t="str">
        <x:v>행정학과</x:v>
      </x:c>
      <x:c r="H276" s="80" t="n">
        <x:v>29</x:v>
      </x:c>
      <x:c r="I276" s="80" t="n">
        <x:v>0</x:v>
      </x:c>
      <x:c r="J276" s="80" t="n">
        <x:v>29</x:v>
      </x:c>
      <x:c r="K276" s="81" t="n">
        <x:v>2.9</x:v>
      </x:c>
      <x:c r="L276" s="81" t="n">
        <x:v>30</x:v>
      </x:c>
      <x:c r="M276" s="81" t="n">
        <x:v>548.07</x:v>
      </x:c>
      <x:c r="N276" s="81" t="n">
        <x:v>546.93</x:v>
      </x:c>
      <x:c r="O276" s="81" t="n">
        <x:v>800</x:v>
      </x:c>
      <x:c r="P276" s="81" t="n">
        <x:v>91</x:v>
      </x:c>
      <x:c r="Q276" s="81" t="n">
        <x:v>83</x:v>
      </x:c>
      <x:c r="R276" s="81" t="n">
        <x:v>90</x:v>
      </x:c>
      <x:c r="S276" s="81" t="n">
        <x:v>85</x:v>
      </x:c>
      <x:c r="T276" s="81" t="n">
        <x:v>2</x:v>
      </x:c>
      <x:c r="U276" s="81" t="n">
        <x:v>2</x:v>
      </x:c>
      <x:c r="V276" s="80"/>
      <x:c r="W276" s="81" t="n">
        <x:f>IF(COUNTA(P276:S276)=4,AVERAGE(P276:S276),"")</x:f>
        <x:v>87.25</x:v>
      </x:c>
      <x:c r="X276" s="81" t="n">
        <x:f>IF(V276&lt;&gt;"",V276,W276)</x:f>
        <x:v>87.25</x:v>
      </x:c>
      <x:c r="Y276" s="80" t="str">
        <x:v>파생 단순평균(참고)</x:v>
      </x:c>
      <x:c r="Z276" s="81" t="n">
        <x:v>80</x:v>
      </x:c>
      <x:c r="AA276" s="81" t="n">
        <x:f>IF(X276&lt;&gt;"",Z276-X276,"")</x:f>
        <x:v>-7.25</x:v>
      </x:c>
      <x:c r="AB276" s="80" t="str">
        <x:f>IF(AA276="","",IF(AA276&gt;=5,"안정",IF(AA276&gt;=1,"적정",IF(AA276&gt;=-2,"소신","상향"))))</x:f>
        <x:v>상향</x:v>
      </x:c>
      <x:c r="AC276" s="82" t="n">
        <x:v>65.5</x:v>
      </x:c>
      <x:c r="AD276" s="82" t="n">
        <x:v>34.5</x:v>
      </x:c>
      <x:c r="AE276" s="82" t="n">
        <x:v>0</x:v>
      </x:c>
      <x:c r="AF276" s="80" t="str">
        <x:v>B: 공식 과목별 70% 백분위 → 단순평균 파생</x:v>
      </x:c>
      <x:c r="AG276" s="80" t="str">
        <x:v>https://www.adiga.kr/ucp/uvt/uni/univDetailSelection.do?menuId=PCUVTINF2000&amp;searchSyr=2026&amp;unvCd=0000066</x:v>
      </x:c>
    </x:row>
    <x:row r="277">
      <x:c r="A277" s="80" t="n">
        <x:v>2025</x:v>
      </x:c>
      <x:c r="B277" s="80" t="str">
        <x:v>서울특별시</x:v>
      </x:c>
      <x:c r="C277" s="80" t="str">
        <x:v>사립</x:v>
      </x:c>
      <x:c r="D277" s="80" t="str">
        <x:v>경희대학교</x:v>
      </x:c>
      <x:c r="E277" s="80" t="str">
        <x:v>가</x:v>
      </x:c>
      <x:c r="F277" s="80" t="str">
        <x:v>일반전형</x:v>
      </x:c>
      <x:c r="G277" s="80" t="str">
        <x:v>사회학과</x:v>
      </x:c>
      <x:c r="H277" s="80" t="n">
        <x:v>12</x:v>
      </x:c>
      <x:c r="I277" s="80" t="n">
        <x:v>0</x:v>
      </x:c>
      <x:c r="J277" s="80" t="n">
        <x:v>12</x:v>
      </x:c>
      <x:c r="K277" s="81" t="n">
        <x:v>4.9</x:v>
      </x:c>
      <x:c r="L277" s="81" t="n">
        <x:v>16</x:v>
      </x:c>
      <x:c r="M277" s="81" t="n">
        <x:v>547.12</x:v>
      </x:c>
      <x:c r="N277" s="81" t="n">
        <x:v>546.53</x:v>
      </x:c>
      <x:c r="O277" s="81" t="n">
        <x:v>800</x:v>
      </x:c>
      <x:c r="P277" s="81" t="n">
        <x:v>91</x:v>
      </x:c>
      <x:c r="Q277" s="81" t="n">
        <x:v>85</x:v>
      </x:c>
      <x:c r="R277" s="81" t="n">
        <x:v>89</x:v>
      </x:c>
      <x:c r="S277" s="81" t="n">
        <x:v>89</x:v>
      </x:c>
      <x:c r="T277" s="81" t="n">
        <x:v>2</x:v>
      </x:c>
      <x:c r="U277" s="81" t="n">
        <x:v>2</x:v>
      </x:c>
      <x:c r="V277" s="80"/>
      <x:c r="W277" s="81" t="n">
        <x:f>IF(COUNTA(P277:S277)=4,AVERAGE(P277:S277),"")</x:f>
        <x:v>88.5</x:v>
      </x:c>
      <x:c r="X277" s="81" t="n">
        <x:f>IF(V277&lt;&gt;"",V277,W277)</x:f>
        <x:v>88.5</x:v>
      </x:c>
      <x:c r="Y277" s="80" t="str">
        <x:v>파생 단순평균(참고)</x:v>
      </x:c>
      <x:c r="Z277" s="81" t="n">
        <x:v>80</x:v>
      </x:c>
      <x:c r="AA277" s="81" t="n">
        <x:f>IF(X277&lt;&gt;"",Z277-X277,"")</x:f>
        <x:v>-8.5</x:v>
      </x:c>
      <x:c r="AB277" s="80" t="str">
        <x:f>IF(AA277="","",IF(AA277&gt;=5,"안정",IF(AA277&gt;=1,"적정",IF(AA277&gt;=-2,"소신","상향"))))</x:f>
        <x:v>상향</x:v>
      </x:c>
      <x:c r="AC277" s="82" t="n">
        <x:v>58.3</x:v>
      </x:c>
      <x:c r="AD277" s="82" t="n">
        <x:v>41.7</x:v>
      </x:c>
      <x:c r="AE277" s="82" t="n">
        <x:v>0</x:v>
      </x:c>
      <x:c r="AF277" s="80" t="str">
        <x:v>B: 공식 과목별 70% 백분위 → 단순평균 파생</x:v>
      </x:c>
      <x:c r="AG277" s="80" t="str">
        <x:v>https://www.adiga.kr/ucp/uvt/uni/univDetailSelection.do?menuId=PCUVTINF2000&amp;searchSyr=2026&amp;unvCd=0000066</x:v>
      </x:c>
    </x:row>
    <x:row r="278">
      <x:c r="A278" s="80" t="n">
        <x:v>2025</x:v>
      </x:c>
      <x:c r="B278" s="80" t="str">
        <x:v>서울특별시</x:v>
      </x:c>
      <x:c r="C278" s="80" t="str">
        <x:v>사립</x:v>
      </x:c>
      <x:c r="D278" s="80" t="str">
        <x:v>경희대학교</x:v>
      </x:c>
      <x:c r="E278" s="80" t="str">
        <x:v>가</x:v>
      </x:c>
      <x:c r="F278" s="80" t="str">
        <x:v>일반전형</x:v>
      </x:c>
      <x:c r="G278" s="80" t="str">
        <x:v>경제학과</x:v>
      </x:c>
      <x:c r="H278" s="80" t="n">
        <x:v>44</x:v>
      </x:c>
      <x:c r="I278" s="80" t="n">
        <x:v>1</x:v>
      </x:c>
      <x:c r="J278" s="80" t="n">
        <x:v>45</x:v>
      </x:c>
      <x:c r="K278" s="81" t="n">
        <x:v>3.4</x:v>
      </x:c>
      <x:c r="L278" s="81" t="n">
        <x:v>21</x:v>
      </x:c>
      <x:c r="M278" s="81" t="n">
        <x:v>549.14</x:v>
      </x:c>
      <x:c r="N278" s="81" t="n">
        <x:v>548.61</x:v>
      </x:c>
      <x:c r="O278" s="81" t="n">
        <x:v>800</x:v>
      </x:c>
      <x:c r="P278" s="81" t="n">
        <x:v>92</x:v>
      </x:c>
      <x:c r="Q278" s="81" t="n">
        <x:v>81</x:v>
      </x:c>
      <x:c r="R278" s="81" t="n">
        <x:v>89</x:v>
      </x:c>
      <x:c r="S278" s="81" t="n">
        <x:v>88</x:v>
      </x:c>
      <x:c r="T278" s="81" t="n">
        <x:v>2</x:v>
      </x:c>
      <x:c r="U278" s="81" t="n">
        <x:v>2</x:v>
      </x:c>
      <x:c r="V278" s="80"/>
      <x:c r="W278" s="81" t="n">
        <x:f>IF(COUNTA(P278:S278)=4,AVERAGE(P278:S278),"")</x:f>
        <x:v>87.5</x:v>
      </x:c>
      <x:c r="X278" s="81" t="n">
        <x:f>IF(V278&lt;&gt;"",V278,W278)</x:f>
        <x:v>87.5</x:v>
      </x:c>
      <x:c r="Y278" s="80" t="str">
        <x:v>파생 단순평균(참고)</x:v>
      </x:c>
      <x:c r="Z278" s="81" t="n">
        <x:v>80</x:v>
      </x:c>
      <x:c r="AA278" s="81" t="n">
        <x:f>IF(X278&lt;&gt;"",Z278-X278,"")</x:f>
        <x:v>-7.5</x:v>
      </x:c>
      <x:c r="AB278" s="80" t="str">
        <x:f>IF(AA278="","",IF(AA278&gt;=5,"안정",IF(AA278&gt;=1,"적정",IF(AA278&gt;=-2,"소신","상향"))))</x:f>
        <x:v>상향</x:v>
      </x:c>
      <x:c r="AC278" s="82" t="n">
        <x:v>33.3</x:v>
      </x:c>
      <x:c r="AD278" s="82" t="n">
        <x:v>64.4</x:v>
      </x:c>
      <x:c r="AE278" s="82" t="n">
        <x:v>2.2</x:v>
      </x:c>
      <x:c r="AF278" s="80" t="str">
        <x:v>B: 공식 과목별 70% 백분위 → 단순평균 파생</x:v>
      </x:c>
      <x:c r="AG278" s="80" t="str">
        <x:v>https://www.adiga.kr/ucp/uvt/uni/univDetailSelection.do?menuId=PCUVTINF2000&amp;searchSyr=2026&amp;unvCd=0000066</x:v>
      </x:c>
    </x:row>
    <x:row r="279">
      <x:c r="A279" s="80" t="n">
        <x:v>2025</x:v>
      </x:c>
      <x:c r="B279" s="80" t="str">
        <x:v>서울특별시</x:v>
      </x:c>
      <x:c r="C279" s="80" t="str">
        <x:v>사립</x:v>
      </x:c>
      <x:c r="D279" s="80" t="str">
        <x:v>경희대학교</x:v>
      </x:c>
      <x:c r="E279" s="80" t="str">
        <x:v>가</x:v>
      </x:c>
      <x:c r="F279" s="80" t="str">
        <x:v>일반전형</x:v>
      </x:c>
      <x:c r="G279" s="80" t="str">
        <x:v>무역학과</x:v>
      </x:c>
      <x:c r="H279" s="80" t="n">
        <x:v>30</x:v>
      </x:c>
      <x:c r="I279" s="80" t="n">
        <x:v>0</x:v>
      </x:c>
      <x:c r="J279" s="80" t="n">
        <x:v>30</x:v>
      </x:c>
      <x:c r="K279" s="81" t="n">
        <x:v>3.4</x:v>
      </x:c>
      <x:c r="L279" s="81" t="n">
        <x:v>28</x:v>
      </x:c>
      <x:c r="M279" s="81" t="n">
        <x:v>548.36</x:v>
      </x:c>
      <x:c r="N279" s="81" t="n">
        <x:v>547.29</x:v>
      </x:c>
      <x:c r="O279" s="81" t="n">
        <x:v>800</x:v>
      </x:c>
      <x:c r="P279" s="81" t="n">
        <x:v>88</x:v>
      </x:c>
      <x:c r="Q279" s="81" t="n">
        <x:v>85</x:v>
      </x:c>
      <x:c r="R279" s="81" t="n">
        <x:v>90</x:v>
      </x:c>
      <x:c r="S279" s="81" t="n">
        <x:v>92</x:v>
      </x:c>
      <x:c r="T279" s="81" t="n">
        <x:v>2</x:v>
      </x:c>
      <x:c r="U279" s="81" t="n">
        <x:v>2</x:v>
      </x:c>
      <x:c r="V279" s="80"/>
      <x:c r="W279" s="81" t="n">
        <x:f>IF(COUNTA(P279:S279)=4,AVERAGE(P279:S279),"")</x:f>
        <x:v>88.75</x:v>
      </x:c>
      <x:c r="X279" s="81" t="n">
        <x:f>IF(V279&lt;&gt;"",V279,W279)</x:f>
        <x:v>88.75</x:v>
      </x:c>
      <x:c r="Y279" s="80" t="str">
        <x:v>파생 단순평균(참고)</x:v>
      </x:c>
      <x:c r="Z279" s="81" t="n">
        <x:v>80</x:v>
      </x:c>
      <x:c r="AA279" s="81" t="n">
        <x:f>IF(X279&lt;&gt;"",Z279-X279,"")</x:f>
        <x:v>-8.75</x:v>
      </x:c>
      <x:c r="AB279" s="80" t="str">
        <x:f>IF(AA279="","",IF(AA279&gt;=5,"안정",IF(AA279&gt;=1,"적정",IF(AA279&gt;=-2,"소신","상향"))))</x:f>
        <x:v>상향</x:v>
      </x:c>
      <x:c r="AC279" s="82" t="n">
        <x:v>60</x:v>
      </x:c>
      <x:c r="AD279" s="82" t="n">
        <x:v>40</x:v>
      </x:c>
      <x:c r="AE279" s="82" t="n">
        <x:v>0</x:v>
      </x:c>
      <x:c r="AF279" s="80" t="str">
        <x:v>B: 공식 과목별 70% 백분위 → 단순평균 파생</x:v>
      </x:c>
      <x:c r="AG279" s="80" t="str">
        <x:v>https://www.adiga.kr/ucp/uvt/uni/univDetailSelection.do?menuId=PCUVTINF2000&amp;searchSyr=2026&amp;unvCd=0000066</x:v>
      </x:c>
    </x:row>
    <x:row r="280">
      <x:c r="A280" s="80" t="n">
        <x:v>2025</x:v>
      </x:c>
      <x:c r="B280" s="80" t="str">
        <x:v>서울특별시</x:v>
      </x:c>
      <x:c r="C280" s="80" t="str">
        <x:v>사립</x:v>
      </x:c>
      <x:c r="D280" s="80" t="str">
        <x:v>경희대학교</x:v>
      </x:c>
      <x:c r="E280" s="80" t="str">
        <x:v>가</x:v>
      </x:c>
      <x:c r="F280" s="80" t="str">
        <x:v>일반전형</x:v>
      </x:c>
      <x:c r="G280" s="80" t="str">
        <x:v>미디어학과</x:v>
      </x:c>
      <x:c r="H280" s="80" t="n">
        <x:v>22</x:v>
      </x:c>
      <x:c r="I280" s="80" t="n">
        <x:v>0</x:v>
      </x:c>
      <x:c r="J280" s="80" t="n">
        <x:v>22</x:v>
      </x:c>
      <x:c r="K280" s="81" t="n">
        <x:v>4</x:v>
      </x:c>
      <x:c r="L280" s="81" t="n">
        <x:v>15</x:v>
      </x:c>
      <x:c r="M280" s="81" t="n">
        <x:v>548.28</x:v>
      </x:c>
      <x:c r="N280" s="81" t="n">
        <x:v>548.02</x:v>
      </x:c>
      <x:c r="O280" s="81" t="n">
        <x:v>800</x:v>
      </x:c>
      <x:c r="P280" s="81" t="n">
        <x:v>94</x:v>
      </x:c>
      <x:c r="Q280" s="81" t="n">
        <x:v>83</x:v>
      </x:c>
      <x:c r="R280" s="81" t="n">
        <x:v>90</x:v>
      </x:c>
      <x:c r="S280" s="81" t="n">
        <x:v>92</x:v>
      </x:c>
      <x:c r="T280" s="81" t="n">
        <x:v>2</x:v>
      </x:c>
      <x:c r="U280" s="81" t="n">
        <x:v>2</x:v>
      </x:c>
      <x:c r="V280" s="80"/>
      <x:c r="W280" s="81" t="n">
        <x:f>IF(COUNTA(P280:S280)=4,AVERAGE(P280:S280),"")</x:f>
        <x:v>89.75</x:v>
      </x:c>
      <x:c r="X280" s="81" t="n">
        <x:f>IF(V280&lt;&gt;"",V280,W280)</x:f>
        <x:v>89.75</x:v>
      </x:c>
      <x:c r="Y280" s="80" t="str">
        <x:v>파생 단순평균(참고)</x:v>
      </x:c>
      <x:c r="Z280" s="81" t="n">
        <x:v>80</x:v>
      </x:c>
      <x:c r="AA280" s="81" t="n">
        <x:f>IF(X280&lt;&gt;"",Z280-X280,"")</x:f>
        <x:v>-9.75</x:v>
      </x:c>
      <x:c r="AB280" s="80" t="str">
        <x:f>IF(AA280="","",IF(AA280&gt;=5,"안정",IF(AA280&gt;=1,"적정",IF(AA280&gt;=-2,"소신","상향"))))</x:f>
        <x:v>상향</x:v>
      </x:c>
      <x:c r="AC280" s="82" t="n">
        <x:v>77.3</x:v>
      </x:c>
      <x:c r="AD280" s="82" t="n">
        <x:v>18.2</x:v>
      </x:c>
      <x:c r="AE280" s="82" t="n">
        <x:v>4.5</x:v>
      </x:c>
      <x:c r="AF280" s="80" t="str">
        <x:v>B: 공식 과목별 70% 백분위 → 단순평균 파생</x:v>
      </x:c>
      <x:c r="AG280" s="80" t="str">
        <x:v>https://www.adiga.kr/ucp/uvt/uni/univDetailSelection.do?menuId=PCUVTINF2000&amp;searchSyr=2026&amp;unvCd=0000066</x:v>
      </x:c>
    </x:row>
    <x:row r="281">
      <x:c r="A281" s="80" t="n">
        <x:v>2025</x:v>
      </x:c>
      <x:c r="B281" s="80" t="str">
        <x:v>서울특별시</x:v>
      </x:c>
      <x:c r="C281" s="80" t="str">
        <x:v>사립</x:v>
      </x:c>
      <x:c r="D281" s="80" t="str">
        <x:v>경희대학교</x:v>
      </x:c>
      <x:c r="E281" s="80" t="str">
        <x:v>가</x:v>
      </x:c>
      <x:c r="F281" s="80" t="str">
        <x:v>일반전형</x:v>
      </x:c>
      <x:c r="G281" s="80" t="str">
        <x:v>경영학과</x:v>
      </x:c>
      <x:c r="H281" s="80" t="n">
        <x:v>78</x:v>
      </x:c>
      <x:c r="I281" s="80" t="n">
        <x:v>1</x:v>
      </x:c>
      <x:c r="J281" s="80" t="n">
        <x:v>79</x:v>
      </x:c>
      <x:c r="K281" s="81" t="n">
        <x:v>3</x:v>
      </x:c>
      <x:c r="L281" s="81" t="n">
        <x:v>48</x:v>
      </x:c>
      <x:c r="M281" s="81" t="n">
        <x:v>549.38</x:v>
      </x:c>
      <x:c r="N281" s="81" t="n">
        <x:v>547.5</x:v>
      </x:c>
      <x:c r="O281" s="81" t="n">
        <x:v>800</x:v>
      </x:c>
      <x:c r="P281" s="81" t="n">
        <x:v>92</x:v>
      </x:c>
      <x:c r="Q281" s="81" t="n">
        <x:v>87</x:v>
      </x:c>
      <x:c r="R281" s="81" t="n">
        <x:v>88</x:v>
      </x:c>
      <x:c r="S281" s="81" t="n">
        <x:v>89</x:v>
      </x:c>
      <x:c r="T281" s="81" t="n">
        <x:v>2</x:v>
      </x:c>
      <x:c r="U281" s="81" t="n">
        <x:v>2</x:v>
      </x:c>
      <x:c r="V281" s="80"/>
      <x:c r="W281" s="81" t="n">
        <x:f>IF(COUNTA(P281:S281)=4,AVERAGE(P281:S281),"")</x:f>
        <x:v>89</x:v>
      </x:c>
      <x:c r="X281" s="81" t="n">
        <x:f>IF(V281&lt;&gt;"",V281,W281)</x:f>
        <x:v>89</x:v>
      </x:c>
      <x:c r="Y281" s="80" t="str">
        <x:v>파생 단순평균(참고)</x:v>
      </x:c>
      <x:c r="Z281" s="81" t="n">
        <x:v>80</x:v>
      </x:c>
      <x:c r="AA281" s="81" t="n">
        <x:f>IF(X281&lt;&gt;"",Z281-X281,"")</x:f>
        <x:v>-9</x:v>
      </x:c>
      <x:c r="AB281" s="80" t="str">
        <x:f>IF(AA281="","",IF(AA281&gt;=5,"안정",IF(AA281&gt;=1,"적정",IF(AA281&gt;=-2,"소신","상향"))))</x:f>
        <x:v>상향</x:v>
      </x:c>
      <x:c r="AC281" s="82" t="n">
        <x:v>51.9</x:v>
      </x:c>
      <x:c r="AD281" s="82" t="n">
        <x:v>46.8</x:v>
      </x:c>
      <x:c r="AE281" s="82" t="n">
        <x:v>1.3</x:v>
      </x:c>
      <x:c r="AF281" s="80" t="str">
        <x:v>B: 공식 과목별 70% 백분위 → 단순평균 파생</x:v>
      </x:c>
      <x:c r="AG281" s="80" t="str">
        <x:v>https://www.adiga.kr/ucp/uvt/uni/univDetailSelection.do?menuId=PCUVTINF2000&amp;searchSyr=2026&amp;unvCd=0000066</x:v>
      </x:c>
    </x:row>
    <x:row r="282">
      <x:c r="A282" s="80" t="n">
        <x:v>2025</x:v>
      </x:c>
      <x:c r="B282" s="80" t="str">
        <x:v>서울특별시</x:v>
      </x:c>
      <x:c r="C282" s="80" t="str">
        <x:v>사립</x:v>
      </x:c>
      <x:c r="D282" s="80" t="str">
        <x:v>경희대학교</x:v>
      </x:c>
      <x:c r="E282" s="80" t="str">
        <x:v>가</x:v>
      </x:c>
      <x:c r="F282" s="80" t="str">
        <x:v>일반전형</x:v>
      </x:c>
      <x:c r="G282" s="80" t="str">
        <x:v>회계·세무학과</x:v>
      </x:c>
      <x:c r="H282" s="80" t="n">
        <x:v>30</x:v>
      </x:c>
      <x:c r="I282" s="80" t="n">
        <x:v>0</x:v>
      </x:c>
      <x:c r="J282" s="80" t="n">
        <x:v>30</x:v>
      </x:c>
      <x:c r="K282" s="81" t="n">
        <x:v>3.1</x:v>
      </x:c>
      <x:c r="L282" s="81" t="n">
        <x:v>17</x:v>
      </x:c>
      <x:c r="M282" s="81" t="n">
        <x:v>549.22</x:v>
      </x:c>
      <x:c r="N282" s="81" t="n">
        <x:v>548.67</x:v>
      </x:c>
      <x:c r="O282" s="81" t="n">
        <x:v>800</x:v>
      </x:c>
      <x:c r="P282" s="81" t="n">
        <x:v>91</x:v>
      </x:c>
      <x:c r="Q282" s="81" t="n">
        <x:v>85</x:v>
      </x:c>
      <x:c r="R282" s="81" t="n">
        <x:v>85</x:v>
      </x:c>
      <x:c r="S282" s="81" t="n">
        <x:v>88</x:v>
      </x:c>
      <x:c r="T282" s="81" t="n">
        <x:v>2</x:v>
      </x:c>
      <x:c r="U282" s="81" t="n">
        <x:v>2</x:v>
      </x:c>
      <x:c r="V282" s="80"/>
      <x:c r="W282" s="81" t="n">
        <x:f>IF(COUNTA(P282:S282)=4,AVERAGE(P282:S282),"")</x:f>
        <x:v>87.25</x:v>
      </x:c>
      <x:c r="X282" s="81" t="n">
        <x:f>IF(V282&lt;&gt;"",V282,W282)</x:f>
        <x:v>87.25</x:v>
      </x:c>
      <x:c r="Y282" s="80" t="str">
        <x:v>파생 단순평균(참고)</x:v>
      </x:c>
      <x:c r="Z282" s="81" t="n">
        <x:v>80</x:v>
      </x:c>
      <x:c r="AA282" s="81" t="n">
        <x:f>IF(X282&lt;&gt;"",Z282-X282,"")</x:f>
        <x:v>-7.25</x:v>
      </x:c>
      <x:c r="AB282" s="80" t="str">
        <x:f>IF(AA282="","",IF(AA282&gt;=5,"안정",IF(AA282&gt;=1,"적정",IF(AA282&gt;=-2,"소신","상향"))))</x:f>
        <x:v>상향</x:v>
      </x:c>
      <x:c r="AC282" s="82" t="n">
        <x:v>20</x:v>
      </x:c>
      <x:c r="AD282" s="82" t="n">
        <x:v>80</x:v>
      </x:c>
      <x:c r="AE282" s="82" t="n">
        <x:v>0</x:v>
      </x:c>
      <x:c r="AF282" s="80" t="str">
        <x:v>B: 공식 과목별 70% 백분위 → 단순평균 파생</x:v>
      </x:c>
      <x:c r="AG282" s="80" t="str">
        <x:v>https://www.adiga.kr/ucp/uvt/uni/univDetailSelection.do?menuId=PCUVTINF2000&amp;searchSyr=2026&amp;unvCd=0000066</x:v>
      </x:c>
    </x:row>
    <x:row r="283">
      <x:c r="A283" s="80" t="n">
        <x:v>2025</x:v>
      </x:c>
      <x:c r="B283" s="80" t="str">
        <x:v>서울특별시</x:v>
      </x:c>
      <x:c r="C283" s="80" t="str">
        <x:v>사립</x:v>
      </x:c>
      <x:c r="D283" s="80" t="str">
        <x:v>경희대학교</x:v>
      </x:c>
      <x:c r="E283" s="80" t="str">
        <x:v>가</x:v>
      </x:c>
      <x:c r="F283" s="80" t="str">
        <x:v>일반전형</x:v>
      </x:c>
      <x:c r="G283" s="80" t="str">
        <x:v>빅데이터응용학과</x:v>
      </x:c>
      <x:c r="H283" s="80" t="n">
        <x:v>12</x:v>
      </x:c>
      <x:c r="I283" s="80" t="n">
        <x:v>0</x:v>
      </x:c>
      <x:c r="J283" s="80" t="n">
        <x:v>12</x:v>
      </x:c>
      <x:c r="K283" s="81" t="n">
        <x:v>4.8</x:v>
      </x:c>
      <x:c r="L283" s="81" t="n">
        <x:v>7</x:v>
      </x:c>
      <x:c r="M283" s="81" t="n">
        <x:v>552.21</x:v>
      </x:c>
      <x:c r="N283" s="81" t="n">
        <x:v>551.17</x:v>
      </x:c>
      <x:c r="O283" s="81" t="n">
        <x:v>800</x:v>
      </x:c>
      <x:c r="P283" s="81" t="n">
        <x:v>93</x:v>
      </x:c>
      <x:c r="Q283" s="81" t="n">
        <x:v>85</x:v>
      </x:c>
      <x:c r="R283" s="81" t="n">
        <x:v>90</x:v>
      </x:c>
      <x:c r="S283" s="81" t="n">
        <x:v>92</x:v>
      </x:c>
      <x:c r="T283" s="81" t="n">
        <x:v>1</x:v>
      </x:c>
      <x:c r="U283" s="81" t="n">
        <x:v>2</x:v>
      </x:c>
      <x:c r="V283" s="80"/>
      <x:c r="W283" s="81" t="n">
        <x:f>IF(COUNTA(P283:S283)=4,AVERAGE(P283:S283),"")</x:f>
        <x:v>90</x:v>
      </x:c>
      <x:c r="X283" s="81" t="n">
        <x:f>IF(V283&lt;&gt;"",V283,W283)</x:f>
        <x:v>90</x:v>
      </x:c>
      <x:c r="Y283" s="80" t="str">
        <x:v>파생 단순평균(참고)</x:v>
      </x:c>
      <x:c r="Z283" s="81" t="n">
        <x:v>80</x:v>
      </x:c>
      <x:c r="AA283" s="81" t="n">
        <x:f>IF(X283&lt;&gt;"",Z283-X283,"")</x:f>
        <x:v>-10</x:v>
      </x:c>
      <x:c r="AB283" s="80" t="str">
        <x:f>IF(AA283="","",IF(AA283&gt;=5,"안정",IF(AA283&gt;=1,"적정",IF(AA283&gt;=-2,"소신","상향"))))</x:f>
        <x:v>상향</x:v>
      </x:c>
      <x:c r="AC283" s="82" t="n">
        <x:v>16.7</x:v>
      </x:c>
      <x:c r="AD283" s="82" t="n">
        <x:v>83.3</x:v>
      </x:c>
      <x:c r="AE283" s="82" t="n">
        <x:v>0</x:v>
      </x:c>
      <x:c r="AF283" s="80" t="str">
        <x:v>B: 공식 과목별 70% 백분위 → 단순평균 파생</x:v>
      </x:c>
      <x:c r="AG283" s="80" t="str">
        <x:v>https://www.adiga.kr/ucp/uvt/uni/univDetailSelection.do?menuId=PCUVTINF2000&amp;searchSyr=2026&amp;unvCd=0000066</x:v>
      </x:c>
    </x:row>
    <x:row r="284">
      <x:c r="A284" s="80" t="n">
        <x:v>2025</x:v>
      </x:c>
      <x:c r="B284" s="80" t="str">
        <x:v>서울특별시</x:v>
      </x:c>
      <x:c r="C284" s="80" t="str">
        <x:v>사립</x:v>
      </x:c>
      <x:c r="D284" s="80" t="str">
        <x:v>경희대학교</x:v>
      </x:c>
      <x:c r="E284" s="80" t="str">
        <x:v>가</x:v>
      </x:c>
      <x:c r="F284" s="80" t="str">
        <x:v>일반전형</x:v>
      </x:c>
      <x:c r="G284" s="80" t="str">
        <x:v>Hospitality 경영학과</x:v>
      </x:c>
      <x:c r="H284" s="80" t="n">
        <x:v>42</x:v>
      </x:c>
      <x:c r="I284" s="80" t="n">
        <x:v>1</x:v>
      </x:c>
      <x:c r="J284" s="80" t="n">
        <x:v>43</x:v>
      </x:c>
      <x:c r="K284" s="81" t="n">
        <x:v>3.5</x:v>
      </x:c>
      <x:c r="L284" s="81" t="n">
        <x:v>16</x:v>
      </x:c>
      <x:c r="M284" s="81" t="n">
        <x:v>547.28</x:v>
      </x:c>
      <x:c r="N284" s="81" t="n">
        <x:v>546.75</x:v>
      </x:c>
      <x:c r="O284" s="81" t="n">
        <x:v>800</x:v>
      </x:c>
      <x:c r="P284" s="81" t="n">
        <x:v>91</x:v>
      </x:c>
      <x:c r="Q284" s="81" t="n">
        <x:v>85</x:v>
      </x:c>
      <x:c r="R284" s="81" t="n">
        <x:v>86</x:v>
      </x:c>
      <x:c r="S284" s="81" t="n">
        <x:v>88</x:v>
      </x:c>
      <x:c r="T284" s="81" t="n">
        <x:v>2</x:v>
      </x:c>
      <x:c r="U284" s="81" t="n">
        <x:v>2</x:v>
      </x:c>
      <x:c r="V284" s="80"/>
      <x:c r="W284" s="81" t="n">
        <x:f>IF(COUNTA(P284:S284)=4,AVERAGE(P284:S284),"")</x:f>
        <x:v>87.5</x:v>
      </x:c>
      <x:c r="X284" s="81" t="n">
        <x:f>IF(V284&lt;&gt;"",V284,W284)</x:f>
        <x:v>87.5</x:v>
      </x:c>
      <x:c r="Y284" s="80" t="str">
        <x:v>파생 단순평균(참고)</x:v>
      </x:c>
      <x:c r="Z284" s="81" t="n">
        <x:v>80</x:v>
      </x:c>
      <x:c r="AA284" s="81" t="n">
        <x:f>IF(X284&lt;&gt;"",Z284-X284,"")</x:f>
        <x:v>-7.5</x:v>
      </x:c>
      <x:c r="AB284" s="80" t="str">
        <x:f>IF(AA284="","",IF(AA284&gt;=5,"안정",IF(AA284&gt;=1,"적정",IF(AA284&gt;=-2,"소신","상향"))))</x:f>
        <x:v>상향</x:v>
      </x:c>
      <x:c r="AC284" s="82" t="n">
        <x:v>67.4</x:v>
      </x:c>
      <x:c r="AD284" s="82" t="n">
        <x:v>32.6</x:v>
      </x:c>
      <x:c r="AE284" s="82" t="n">
        <x:v>0</x:v>
      </x:c>
      <x:c r="AF284" s="80" t="str">
        <x:v>B: 공식 과목별 70% 백분위 → 단순평균 파생</x:v>
      </x:c>
      <x:c r="AG284" s="80" t="str">
        <x:v>https://www.adiga.kr/ucp/uvt/uni/univDetailSelection.do?menuId=PCUVTINF2000&amp;searchSyr=2026&amp;unvCd=0000066</x:v>
      </x:c>
    </x:row>
    <x:row r="285">
      <x:c r="A285" s="80" t="n">
        <x:v>2025</x:v>
      </x:c>
      <x:c r="B285" s="80" t="str">
        <x:v>서울특별시</x:v>
      </x:c>
      <x:c r="C285" s="80" t="str">
        <x:v>사립</x:v>
      </x:c>
      <x:c r="D285" s="80" t="str">
        <x:v>경희대학교</x:v>
      </x:c>
      <x:c r="E285" s="80" t="str">
        <x:v>가</x:v>
      </x:c>
      <x:c r="F285" s="80" t="str">
        <x:v>일반전형</x:v>
      </x:c>
      <x:c r="G285" s="80" t="str">
        <x:v>조리&amp;푸드디자인학과</x:v>
      </x:c>
      <x:c r="H285" s="80" t="n">
        <x:v>5</x:v>
      </x:c>
      <x:c r="I285" s="80" t="n">
        <x:v>0</x:v>
      </x:c>
      <x:c r="J285" s="80" t="n">
        <x:v>5</x:v>
      </x:c>
      <x:c r="K285" s="81" t="n">
        <x:v>9.2</x:v>
      </x:c>
      <x:c r="L285" s="81" t="n">
        <x:v>2</x:v>
      </x:c>
      <x:c r="M285" s="81" t="n">
        <x:v>545.97</x:v>
      </x:c>
      <x:c r="N285" s="81" t="n">
        <x:v>545.97</x:v>
      </x:c>
      <x:c r="O285" s="81" t="n">
        <x:v>800</x:v>
      </x:c>
      <x:c r="P285" s="81" t="n">
        <x:v>89</x:v>
      </x:c>
      <x:c r="Q285" s="81" t="n">
        <x:v>90</x:v>
      </x:c>
      <x:c r="R285" s="81" t="n">
        <x:v>94</x:v>
      </x:c>
      <x:c r="S285" s="81" t="n">
        <x:v>100</x:v>
      </x:c>
      <x:c r="T285" s="81" t="n">
        <x:v>2</x:v>
      </x:c>
      <x:c r="U285" s="81" t="n">
        <x:v>1</x:v>
      </x:c>
      <x:c r="V285" s="80"/>
      <x:c r="W285" s="81" t="n">
        <x:f>IF(COUNTA(P285:S285)=4,AVERAGE(P285:S285),"")</x:f>
        <x:v>93.25</x:v>
      </x:c>
      <x:c r="X285" s="81" t="n">
        <x:f>IF(V285&lt;&gt;"",V285,W285)</x:f>
        <x:v>93.25</x:v>
      </x:c>
      <x:c r="Y285" s="80" t="str">
        <x:v>파생 단순평균(참고)</x:v>
      </x:c>
      <x:c r="Z285" s="81" t="n">
        <x:v>80</x:v>
      </x:c>
      <x:c r="AA285" s="81" t="n">
        <x:f>IF(X285&lt;&gt;"",Z285-X285,"")</x:f>
        <x:v>-13.25</x:v>
      </x:c>
      <x:c r="AB285" s="80" t="str">
        <x:f>IF(AA285="","",IF(AA285&gt;=5,"안정",IF(AA285&gt;=1,"적정",IF(AA285&gt;=-2,"소신","상향"))))</x:f>
        <x:v>상향</x:v>
      </x:c>
      <x:c r="AC285" s="82" t="n">
        <x:v>100</x:v>
      </x:c>
      <x:c r="AD285" s="82" t="n">
        <x:v>0</x:v>
      </x:c>
      <x:c r="AE285" s="82" t="n">
        <x:v>0</x:v>
      </x:c>
      <x:c r="AF285" s="80" t="str">
        <x:v>B: 공식 과목별 70% 백분위 → 단순평균 파생</x:v>
      </x:c>
      <x:c r="AG285" s="80" t="str">
        <x:v>https://www.adiga.kr/ucp/uvt/uni/univDetailSelection.do?menuId=PCUVTINF2000&amp;searchSyr=2026&amp;unvCd=0000066</x:v>
      </x:c>
    </x:row>
    <x:row r="286">
      <x:c r="A286" s="80" t="n">
        <x:v>2025</x:v>
      </x:c>
      <x:c r="B286" s="80" t="str">
        <x:v>서울특별시</x:v>
      </x:c>
      <x:c r="C286" s="80" t="str">
        <x:v>사립</x:v>
      </x:c>
      <x:c r="D286" s="80" t="str">
        <x:v>경희대학교</x:v>
      </x:c>
      <x:c r="E286" s="80" t="str">
        <x:v>가</x:v>
      </x:c>
      <x:c r="F286" s="80" t="str">
        <x:v>일반전형</x:v>
      </x:c>
      <x:c r="G286" s="80" t="str">
        <x:v>관광·엔터테인먼트학부</x:v>
      </x:c>
      <x:c r="H286" s="80" t="n">
        <x:v>26</x:v>
      </x:c>
      <x:c r="I286" s="80" t="n">
        <x:v>0</x:v>
      </x:c>
      <x:c r="J286" s="80" t="n">
        <x:v>26</x:v>
      </x:c>
      <x:c r="K286" s="81" t="n">
        <x:v>2.9</x:v>
      </x:c>
      <x:c r="L286" s="81" t="n">
        <x:v>11</x:v>
      </x:c>
      <x:c r="M286" s="81" t="n">
        <x:v>546.89</x:v>
      </x:c>
      <x:c r="N286" s="81" t="n">
        <x:v>546.45</x:v>
      </x:c>
      <x:c r="O286" s="81" t="n">
        <x:v>800</x:v>
      </x:c>
      <x:c r="P286" s="81" t="n">
        <x:v>91</x:v>
      </x:c>
      <x:c r="Q286" s="81" t="n">
        <x:v>85</x:v>
      </x:c>
      <x:c r="R286" s="81" t="n">
        <x:v>83</x:v>
      </x:c>
      <x:c r="S286" s="81" t="n">
        <x:v>94</x:v>
      </x:c>
      <x:c r="T286" s="81" t="n">
        <x:v>2</x:v>
      </x:c>
      <x:c r="U286" s="81" t="n">
        <x:v>2</x:v>
      </x:c>
      <x:c r="V286" s="80"/>
      <x:c r="W286" s="81" t="n">
        <x:f>IF(COUNTA(P286:S286)=4,AVERAGE(P286:S286),"")</x:f>
        <x:v>88.25</x:v>
      </x:c>
      <x:c r="X286" s="81" t="n">
        <x:f>IF(V286&lt;&gt;"",V286,W286)</x:f>
        <x:v>88.25</x:v>
      </x:c>
      <x:c r="Y286" s="80" t="str">
        <x:v>파생 단순평균(참고)</x:v>
      </x:c>
      <x:c r="Z286" s="81" t="n">
        <x:v>80</x:v>
      </x:c>
      <x:c r="AA286" s="81" t="n">
        <x:f>IF(X286&lt;&gt;"",Z286-X286,"")</x:f>
        <x:v>-8.25</x:v>
      </x:c>
      <x:c r="AB286" s="80" t="str">
        <x:f>IF(AA286="","",IF(AA286&gt;=5,"안정",IF(AA286&gt;=1,"적정",IF(AA286&gt;=-2,"소신","상향"))))</x:f>
        <x:v>상향</x:v>
      </x:c>
      <x:c r="AC286" s="82" t="n">
        <x:v>53.8</x:v>
      </x:c>
      <x:c r="AD286" s="82" t="n">
        <x:v>46.2</x:v>
      </x:c>
      <x:c r="AE286" s="82" t="n">
        <x:v>0</x:v>
      </x:c>
      <x:c r="AF286" s="80" t="str">
        <x:v>B: 공식 과목별 70% 백분위 → 단순평균 파생</x:v>
      </x:c>
      <x:c r="AG286" s="80" t="str">
        <x:v>https://www.adiga.kr/ucp/uvt/uni/univDetailSelection.do?menuId=PCUVTINF2000&amp;searchSyr=2026&amp;unvCd=0000066</x:v>
      </x:c>
    </x:row>
    <x:row r="287">
      <x:c r="A287" s="80" t="n">
        <x:v>2025</x:v>
      </x:c>
      <x:c r="B287" s="80" t="str">
        <x:v>서울특별시</x:v>
      </x:c>
      <x:c r="C287" s="80" t="str">
        <x:v>사립</x:v>
      </x:c>
      <x:c r="D287" s="80" t="str">
        <x:v>경희대학교</x:v>
      </x:c>
      <x:c r="E287" s="80" t="str">
        <x:v>가</x:v>
      </x:c>
      <x:c r="F287" s="80" t="str">
        <x:v>일반전형</x:v>
      </x:c>
      <x:c r="G287" s="80" t="str">
        <x:v>글로벌 Hospitality·관광학과</x:v>
      </x:c>
      <x:c r="H287" s="80" t="n">
        <x:v>5</x:v>
      </x:c>
      <x:c r="I287" s="80" t="n">
        <x:v>0</x:v>
      </x:c>
      <x:c r="J287" s="80" t="n">
        <x:v>5</x:v>
      </x:c>
      <x:c r="K287" s="81" t="n">
        <x:v>11.2</x:v>
      </x:c>
      <x:c r="L287" s="81" t="n">
        <x:v>1</x:v>
      </x:c>
      <x:c r="M287" s="81" t="n">
        <x:v>545.73</x:v>
      </x:c>
      <x:c r="N287" s="81" t="n">
        <x:v>545.52</x:v>
      </x:c>
      <x:c r="O287" s="81" t="n">
        <x:v>800</x:v>
      </x:c>
      <x:c r="P287" s="81" t="n">
        <x:v>94</x:v>
      </x:c>
      <x:c r="Q287" s="81" t="n">
        <x:v>78</x:v>
      </x:c>
      <x:c r="R287" s="81" t="n">
        <x:v>96</x:v>
      </x:c>
      <x:c r="S287" s="81" t="n">
        <x:v>88</x:v>
      </x:c>
      <x:c r="T287" s="81" t="n">
        <x:v>2</x:v>
      </x:c>
      <x:c r="U287" s="81" t="n">
        <x:v>2</x:v>
      </x:c>
      <x:c r="V287" s="80"/>
      <x:c r="W287" s="81" t="n">
        <x:f>IF(COUNTA(P287:S287)=4,AVERAGE(P287:S287),"")</x:f>
        <x:v>89</x:v>
      </x:c>
      <x:c r="X287" s="81" t="n">
        <x:f>IF(V287&lt;&gt;"",V287,W287)</x:f>
        <x:v>89</x:v>
      </x:c>
      <x:c r="Y287" s="80" t="str">
        <x:v>파생 단순평균(참고)</x:v>
      </x:c>
      <x:c r="Z287" s="81" t="n">
        <x:v>80</x:v>
      </x:c>
      <x:c r="AA287" s="81" t="n">
        <x:f>IF(X287&lt;&gt;"",Z287-X287,"")</x:f>
        <x:v>-9</x:v>
      </x:c>
      <x:c r="AB287" s="80" t="str">
        <x:f>IF(AA287="","",IF(AA287&gt;=5,"안정",IF(AA287&gt;=1,"적정",IF(AA287&gt;=-2,"소신","상향"))))</x:f>
        <x:v>상향</x:v>
      </x:c>
      <x:c r="AC287" s="82" t="n">
        <x:v>80</x:v>
      </x:c>
      <x:c r="AD287" s="82" t="n">
        <x:v>20</x:v>
      </x:c>
      <x:c r="AE287" s="82" t="n">
        <x:v>0</x:v>
      </x:c>
      <x:c r="AF287" s="80" t="str">
        <x:v>B: 공식 과목별 70% 백분위 → 단순평균 파생</x:v>
      </x:c>
      <x:c r="AG287" s="80" t="str">
        <x:v>https://www.adiga.kr/ucp/uvt/uni/univDetailSelection.do?menuId=PCUVTINF2000&amp;searchSyr=2026&amp;unvCd=0000066</x:v>
      </x:c>
    </x:row>
    <x:row r="288">
      <x:c r="A288" s="80" t="n">
        <x:v>2025</x:v>
      </x:c>
      <x:c r="B288" s="80" t="str">
        <x:v>서울특별시</x:v>
      </x:c>
      <x:c r="C288" s="80" t="str">
        <x:v>사립</x:v>
      </x:c>
      <x:c r="D288" s="80" t="str">
        <x:v>경희대학교</x:v>
      </x:c>
      <x:c r="E288" s="80" t="str">
        <x:v>가</x:v>
      </x:c>
      <x:c r="F288" s="80" t="str">
        <x:v>일반전형</x:v>
      </x:c>
      <x:c r="G288" s="80" t="str">
        <x:v>아동가족학과</x:v>
      </x:c>
      <x:c r="H288" s="80" t="n">
        <x:v>11</x:v>
      </x:c>
      <x:c r="I288" s="80" t="n">
        <x:v>0</x:v>
      </x:c>
      <x:c r="J288" s="80" t="n">
        <x:v>11</x:v>
      </x:c>
      <x:c r="K288" s="81" t="n">
        <x:v>4.4</x:v>
      </x:c>
      <x:c r="L288" s="81" t="n">
        <x:v>5</x:v>
      </x:c>
      <x:c r="M288" s="81" t="n">
        <x:v>559.66</x:v>
      </x:c>
      <x:c r="N288" s="81" t="n">
        <x:v>559.42</x:v>
      </x:c>
      <x:c r="O288" s="81" t="n">
        <x:v>800</x:v>
      </x:c>
      <x:c r="P288" s="81" t="n">
        <x:v>95</x:v>
      </x:c>
      <x:c r="Q288" s="81" t="n">
        <x:v>70</x:v>
      </x:c>
      <x:c r="R288" s="81" t="n">
        <x:v>93</x:v>
      </x:c>
      <x:c r="S288" s="81" t="n">
        <x:v>95</x:v>
      </x:c>
      <x:c r="T288" s="81" t="n">
        <x:v>2</x:v>
      </x:c>
      <x:c r="U288" s="81" t="n">
        <x:v>2</x:v>
      </x:c>
      <x:c r="V288" s="80"/>
      <x:c r="W288" s="81" t="n">
        <x:f>IF(COUNTA(P288:S288)=4,AVERAGE(P288:S288),"")</x:f>
        <x:v>88.25</x:v>
      </x:c>
      <x:c r="X288" s="81" t="n">
        <x:f>IF(V288&lt;&gt;"",V288,W288)</x:f>
        <x:v>88.25</x:v>
      </x:c>
      <x:c r="Y288" s="80" t="str">
        <x:v>파생 단순평균(참고)</x:v>
      </x:c>
      <x:c r="Z288" s="81" t="n">
        <x:v>80</x:v>
      </x:c>
      <x:c r="AA288" s="81" t="n">
        <x:f>IF(X288&lt;&gt;"",Z288-X288,"")</x:f>
        <x:v>-8.25</x:v>
      </x:c>
      <x:c r="AB288" s="80" t="str">
        <x:f>IF(AA288="","",IF(AA288&gt;=5,"안정",IF(AA288&gt;=1,"적정",IF(AA288&gt;=-2,"소신","상향"))))</x:f>
        <x:v>상향</x:v>
      </x:c>
      <x:c r="AC288" s="82" t="n">
        <x:v>81.8</x:v>
      </x:c>
      <x:c r="AD288" s="82" t="n">
        <x:v>18.2</x:v>
      </x:c>
      <x:c r="AE288" s="82" t="n">
        <x:v>0</x:v>
      </x:c>
      <x:c r="AF288" s="80" t="str">
        <x:v>B: 공식 과목별 70% 백분위 → 단순평균 파생</x:v>
      </x:c>
      <x:c r="AG288" s="80" t="str">
        <x:v>https://www.adiga.kr/ucp/uvt/uni/univDetailSelection.do?menuId=PCUVTINF2000&amp;searchSyr=2026&amp;unvCd=0000066</x:v>
      </x:c>
    </x:row>
    <x:row r="289">
      <x:c r="A289" s="80" t="n">
        <x:v>2025</x:v>
      </x:c>
      <x:c r="B289" s="80" t="str">
        <x:v>서울특별시</x:v>
      </x:c>
      <x:c r="C289" s="80" t="str">
        <x:v>사립</x:v>
      </x:c>
      <x:c r="D289" s="80" t="str">
        <x:v>경희대학교</x:v>
      </x:c>
      <x:c r="E289" s="80" t="str">
        <x:v>가</x:v>
      </x:c>
      <x:c r="F289" s="80" t="str">
        <x:v>일반전형</x:v>
      </x:c>
      <x:c r="G289" s="80" t="str">
        <x:v>주거환경학과</x:v>
      </x:c>
      <x:c r="H289" s="80" t="n">
        <x:v>16</x:v>
      </x:c>
      <x:c r="I289" s="80" t="n">
        <x:v>0</x:v>
      </x:c>
      <x:c r="J289" s="80" t="n">
        <x:v>16</x:v>
      </x:c>
      <x:c r="K289" s="81" t="n">
        <x:v>4.6</x:v>
      </x:c>
      <x:c r="L289" s="81" t="n">
        <x:v>9</x:v>
      </x:c>
      <x:c r="M289" s="81" t="n">
        <x:v>560.57</x:v>
      </x:c>
      <x:c r="N289" s="81" t="n">
        <x:v>560.06</x:v>
      </x:c>
      <x:c r="O289" s="81" t="n">
        <x:v>800</x:v>
      </x:c>
      <x:c r="P289" s="81" t="n">
        <x:v>94</x:v>
      </x:c>
      <x:c r="Q289" s="81" t="n">
        <x:v>70</x:v>
      </x:c>
      <x:c r="R289" s="81" t="n">
        <x:v>92</x:v>
      </x:c>
      <x:c r="S289" s="81" t="n">
        <x:v>95</x:v>
      </x:c>
      <x:c r="T289" s="81" t="n">
        <x:v>2</x:v>
      </x:c>
      <x:c r="U289" s="81" t="n">
        <x:v>2</x:v>
      </x:c>
      <x:c r="V289" s="80"/>
      <x:c r="W289" s="81" t="n">
        <x:f>IF(COUNTA(P289:S289)=4,AVERAGE(P289:S289),"")</x:f>
        <x:v>87.75</x:v>
      </x:c>
      <x:c r="X289" s="81" t="n">
        <x:f>IF(V289&lt;&gt;"",V289,W289)</x:f>
        <x:v>87.75</x:v>
      </x:c>
      <x:c r="Y289" s="80" t="str">
        <x:v>파생 단순평균(참고)</x:v>
      </x:c>
      <x:c r="Z289" s="81" t="n">
        <x:v>80</x:v>
      </x:c>
      <x:c r="AA289" s="81" t="n">
        <x:f>IF(X289&lt;&gt;"",Z289-X289,"")</x:f>
        <x:v>-7.75</x:v>
      </x:c>
      <x:c r="AB289" s="80" t="str">
        <x:f>IF(AA289="","",IF(AA289&gt;=5,"안정",IF(AA289&gt;=1,"적정",IF(AA289&gt;=-2,"소신","상향"))))</x:f>
        <x:v>상향</x:v>
      </x:c>
      <x:c r="AC289" s="82" t="n">
        <x:v>80</x:v>
      </x:c>
      <x:c r="AD289" s="82" t="n">
        <x:v>20</x:v>
      </x:c>
      <x:c r="AE289" s="82" t="n">
        <x:v>0</x:v>
      </x:c>
      <x:c r="AF289" s="80" t="str">
        <x:v>B: 공식 과목별 70% 백분위 → 단순평균 파생</x:v>
      </x:c>
      <x:c r="AG289" s="80" t="str">
        <x:v>https://www.adiga.kr/ucp/uvt/uni/univDetailSelection.do?menuId=PCUVTINF2000&amp;searchSyr=2026&amp;unvCd=0000066</x:v>
      </x:c>
    </x:row>
    <x:row r="290">
      <x:c r="A290" s="80" t="n">
        <x:v>2025</x:v>
      </x:c>
      <x:c r="B290" s="80" t="str">
        <x:v>서울특별시</x:v>
      </x:c>
      <x:c r="C290" s="80" t="str">
        <x:v>사립</x:v>
      </x:c>
      <x:c r="D290" s="80" t="str">
        <x:v>경희대학교</x:v>
      </x:c>
      <x:c r="E290" s="80" t="str">
        <x:v>가</x:v>
      </x:c>
      <x:c r="F290" s="80" t="str">
        <x:v>일반전형</x:v>
      </x:c>
      <x:c r="G290" s="80" t="str">
        <x:v>의상학과</x:v>
      </x:c>
      <x:c r="H290" s="80" t="n">
        <x:v>16</x:v>
      </x:c>
      <x:c r="I290" s="80" t="n">
        <x:v>0</x:v>
      </x:c>
      <x:c r="J290" s="80" t="n">
        <x:v>16</x:v>
      </x:c>
      <x:c r="K290" s="81" t="n">
        <x:v>2.9</x:v>
      </x:c>
      <x:c r="L290" s="81" t="n">
        <x:v>0</x:v>
      </x:c>
      <x:c r="M290" s="81" t="n">
        <x:v>559.93</x:v>
      </x:c>
      <x:c r="N290" s="81" t="n">
        <x:v>559.33</x:v>
      </x:c>
      <x:c r="O290" s="81" t="n">
        <x:v>800</x:v>
      </x:c>
      <x:c r="P290" s="81" t="n">
        <x:v>94</x:v>
      </x:c>
      <x:c r="Q290" s="81" t="n">
        <x:v>68</x:v>
      </x:c>
      <x:c r="R290" s="81" t="n">
        <x:v>92</x:v>
      </x:c>
      <x:c r="S290" s="81" t="n">
        <x:v>94</x:v>
      </x:c>
      <x:c r="T290" s="81" t="n">
        <x:v>2</x:v>
      </x:c>
      <x:c r="U290" s="81" t="n">
        <x:v>1</x:v>
      </x:c>
      <x:c r="V290" s="80"/>
      <x:c r="W290" s="81" t="n">
        <x:f>IF(COUNTA(P290:S290)=4,AVERAGE(P290:S290),"")</x:f>
        <x:v>87</x:v>
      </x:c>
      <x:c r="X290" s="81" t="n">
        <x:f>IF(V290&lt;&gt;"",V290,W290)</x:f>
        <x:v>87</x:v>
      </x:c>
      <x:c r="Y290" s="80" t="str">
        <x:v>파생 단순평균(참고)</x:v>
      </x:c>
      <x:c r="Z290" s="81" t="n">
        <x:v>80</x:v>
      </x:c>
      <x:c r="AA290" s="81" t="n">
        <x:f>IF(X290&lt;&gt;"",Z290-X290,"")</x:f>
        <x:v>-7</x:v>
      </x:c>
      <x:c r="AB290" s="80" t="str">
        <x:f>IF(AA290="","",IF(AA290&gt;=5,"안정",IF(AA290&gt;=1,"적정",IF(AA290&gt;=-2,"소신","상향"))))</x:f>
        <x:v>상향</x:v>
      </x:c>
      <x:c r="AC290" s="82" t="n">
        <x:v>75</x:v>
      </x:c>
      <x:c r="AD290" s="82" t="n">
        <x:v>25</x:v>
      </x:c>
      <x:c r="AE290" s="82" t="n">
        <x:v>0</x:v>
      </x:c>
      <x:c r="AF290" s="80" t="str">
        <x:v>B: 공식 과목별 70% 백분위 → 단순평균 파생</x:v>
      </x:c>
      <x:c r="AG290" s="80" t="str">
        <x:v>https://www.adiga.kr/ucp/uvt/uni/univDetailSelection.do?menuId=PCUVTINF2000&amp;searchSyr=2026&amp;unvCd=0000066</x:v>
      </x:c>
    </x:row>
    <x:row r="291">
      <x:c r="A291" s="80" t="n">
        <x:v>2025</x:v>
      </x:c>
      <x:c r="B291" s="80" t="str">
        <x:v>서울특별시</x:v>
      </x:c>
      <x:c r="C291" s="80" t="str">
        <x:v>사립</x:v>
      </x:c>
      <x:c r="D291" s="80" t="str">
        <x:v>경희대학교</x:v>
      </x:c>
      <x:c r="E291" s="80" t="str">
        <x:v>가</x:v>
      </x:c>
      <x:c r="F291" s="80" t="str">
        <x:v>일반전형</x:v>
      </x:c>
      <x:c r="G291" s="80" t="str">
        <x:v>지리학과(인문)</x:v>
      </x:c>
      <x:c r="H291" s="80" t="n">
        <x:v>12</x:v>
      </x:c>
      <x:c r="I291" s="80" t="n">
        <x:v>0</x:v>
      </x:c>
      <x:c r="J291" s="80" t="n">
        <x:v>12</x:v>
      </x:c>
      <x:c r="K291" s="81" t="n">
        <x:v>4.7</x:v>
      </x:c>
      <x:c r="L291" s="81" t="n">
        <x:v>5</x:v>
      </x:c>
      <x:c r="M291" s="81" t="n">
        <x:v>547.2</x:v>
      </x:c>
      <x:c r="N291" s="81" t="n">
        <x:v>546.8</x:v>
      </x:c>
      <x:c r="O291" s="81" t="n">
        <x:v>800</x:v>
      </x:c>
      <x:c r="P291" s="81" t="n">
        <x:v>91</x:v>
      </x:c>
      <x:c r="Q291" s="81" t="n">
        <x:v>85</x:v>
      </x:c>
      <x:c r="R291" s="81" t="n">
        <x:v>93</x:v>
      </x:c>
      <x:c r="S291" s="81" t="n">
        <x:v>88</x:v>
      </x:c>
      <x:c r="T291" s="81" t="n">
        <x:v>2</x:v>
      </x:c>
      <x:c r="U291" s="81" t="n">
        <x:v>2</x:v>
      </x:c>
      <x:c r="V291" s="80"/>
      <x:c r="W291" s="81" t="n">
        <x:f>IF(COUNTA(P291:S291)=4,AVERAGE(P291:S291),"")</x:f>
        <x:v>89.25</x:v>
      </x:c>
      <x:c r="X291" s="81" t="n">
        <x:f>IF(V291&lt;&gt;"",V291,W291)</x:f>
        <x:v>89.25</x:v>
      </x:c>
      <x:c r="Y291" s="80" t="str">
        <x:v>파생 단순평균(참고)</x:v>
      </x:c>
      <x:c r="Z291" s="81" t="n">
        <x:v>80</x:v>
      </x:c>
      <x:c r="AA291" s="81" t="n">
        <x:f>IF(X291&lt;&gt;"",Z291-X291,"")</x:f>
        <x:v>-9.25</x:v>
      </x:c>
      <x:c r="AB291" s="80" t="str">
        <x:f>IF(AA291="","",IF(AA291&gt;=5,"안정",IF(AA291&gt;=1,"적정",IF(AA291&gt;=-2,"소신","상향"))))</x:f>
        <x:v>상향</x:v>
      </x:c>
      <x:c r="AC291" s="82" t="n">
        <x:v>50</x:v>
      </x:c>
      <x:c r="AD291" s="82" t="n">
        <x:v>50</x:v>
      </x:c>
      <x:c r="AE291" s="82" t="n">
        <x:v>0</x:v>
      </x:c>
      <x:c r="AF291" s="80" t="str">
        <x:v>B: 공식 과목별 70% 백분위 → 단순평균 파생</x:v>
      </x:c>
      <x:c r="AG291" s="80" t="str">
        <x:v>https://www.adiga.kr/ucp/uvt/uni/univDetailSelection.do?menuId=PCUVTINF2000&amp;searchSyr=2026&amp;unvCd=0000066</x:v>
      </x:c>
    </x:row>
    <x:row r="292">
      <x:c r="A292" s="80" t="n">
        <x:v>2025</x:v>
      </x:c>
      <x:c r="B292" s="80" t="str">
        <x:v>서울특별시</x:v>
      </x:c>
      <x:c r="C292" s="80" t="str">
        <x:v>사립</x:v>
      </x:c>
      <x:c r="D292" s="80" t="str">
        <x:v>경희대학교</x:v>
      </x:c>
      <x:c r="E292" s="80" t="str">
        <x:v>가</x:v>
      </x:c>
      <x:c r="F292" s="80" t="str">
        <x:v>일반전형</x:v>
      </x:c>
      <x:c r="G292" s="80" t="str">
        <x:v>식품영양학과</x:v>
      </x:c>
      <x:c r="H292" s="80" t="n">
        <x:v>16</x:v>
      </x:c>
      <x:c r="I292" s="80" t="n">
        <x:v>0</x:v>
      </x:c>
      <x:c r="J292" s="80" t="n">
        <x:v>16</x:v>
      </x:c>
      <x:c r="K292" s="81" t="n">
        <x:v>7.7</x:v>
      </x:c>
      <x:c r="L292" s="81" t="n">
        <x:v>16</x:v>
      </x:c>
      <x:c r="M292" s="81" t="n">
        <x:v>555.92</x:v>
      </x:c>
      <x:c r="N292" s="81" t="n">
        <x:v>555.4</x:v>
      </x:c>
      <x:c r="O292" s="81" t="n">
        <x:v>800</x:v>
      </x:c>
      <x:c r="P292" s="81" t="n">
        <x:v>83</x:v>
      </x:c>
      <x:c r="Q292" s="81" t="n">
        <x:v>95</x:v>
      </x:c>
      <x:c r="R292" s="81" t="n">
        <x:v>85</x:v>
      </x:c>
      <x:c r="S292" s="81" t="n">
        <x:v>85</x:v>
      </x:c>
      <x:c r="T292" s="81" t="n">
        <x:v>2</x:v>
      </x:c>
      <x:c r="U292" s="81" t="n">
        <x:v>2</x:v>
      </x:c>
      <x:c r="V292" s="80"/>
      <x:c r="W292" s="81" t="n">
        <x:f>IF(COUNTA(P292:S292)=4,AVERAGE(P292:S292),"")</x:f>
        <x:v>87</x:v>
      </x:c>
      <x:c r="X292" s="81" t="n">
        <x:f>IF(V292&lt;&gt;"",V292,W292)</x:f>
        <x:v>87</x:v>
      </x:c>
      <x:c r="Y292" s="80" t="str">
        <x:v>파생 단순평균(참고)</x:v>
      </x:c>
      <x:c r="Z292" s="81" t="n">
        <x:v>80</x:v>
      </x:c>
      <x:c r="AA292" s="81" t="n">
        <x:f>IF(X292&lt;&gt;"",Z292-X292,"")</x:f>
        <x:v>-7</x:v>
      </x:c>
      <x:c r="AB292" s="80" t="str">
        <x:f>IF(AA292="","",IF(AA292&gt;=5,"안정",IF(AA292&gt;=1,"적정",IF(AA292&gt;=-2,"소신","상향"))))</x:f>
        <x:v>상향</x:v>
      </x:c>
      <x:c r="AC292" s="82" t="n">
        <x:v>0</x:v>
      </x:c>
      <x:c r="AD292" s="82" t="n">
        <x:v>93.8</x:v>
      </x:c>
      <x:c r="AE292" s="82" t="n">
        <x:v>6.3</x:v>
      </x:c>
      <x:c r="AF292" s="80" t="str">
        <x:v>B: 공식 과목별 70% 백분위 → 단순평균 파생</x:v>
      </x:c>
      <x:c r="AG292" s="80" t="str">
        <x:v>https://www.adiga.kr/ucp/uvt/uni/univDetailSelection.do?menuId=PCUVTINF2000&amp;searchSyr=2026&amp;unvCd=0000066</x:v>
      </x:c>
    </x:row>
    <x:row r="293">
      <x:c r="A293" s="80" t="n">
        <x:v>2025</x:v>
      </x:c>
      <x:c r="B293" s="80" t="str">
        <x:v>서울특별시</x:v>
      </x:c>
      <x:c r="C293" s="80" t="str">
        <x:v>사립</x:v>
      </x:c>
      <x:c r="D293" s="80" t="str">
        <x:v>경희대학교</x:v>
      </x:c>
      <x:c r="E293" s="80" t="str">
        <x:v>가</x:v>
      </x:c>
      <x:c r="F293" s="80" t="str">
        <x:v>일반전형</x:v>
      </x:c>
      <x:c r="G293" s="80" t="str">
        <x:v>수학과</x:v>
      </x:c>
      <x:c r="H293" s="80" t="n">
        <x:v>19</x:v>
      </x:c>
      <x:c r="I293" s="80" t="n">
        <x:v>0</x:v>
      </x:c>
      <x:c r="J293" s="80" t="n">
        <x:v>19</x:v>
      </x:c>
      <x:c r="K293" s="81" t="n">
        <x:v>4.2</x:v>
      </x:c>
      <x:c r="L293" s="81" t="n">
        <x:v>16</x:v>
      </x:c>
      <x:c r="M293" s="81" t="n">
        <x:v>558.7</x:v>
      </x:c>
      <x:c r="N293" s="81" t="n">
        <x:v>558.28</x:v>
      </x:c>
      <x:c r="O293" s="81" t="n">
        <x:v>800</x:v>
      </x:c>
      <x:c r="P293" s="81" t="n">
        <x:v>83</x:v>
      </x:c>
      <x:c r="Q293" s="81" t="n">
        <x:v>95</x:v>
      </x:c>
      <x:c r="R293" s="81" t="n">
        <x:v>88</x:v>
      </x:c>
      <x:c r="S293" s="81" t="n">
        <x:v>88</x:v>
      </x:c>
      <x:c r="T293" s="81" t="n">
        <x:v>2</x:v>
      </x:c>
      <x:c r="U293" s="81" t="n">
        <x:v>2</x:v>
      </x:c>
      <x:c r="V293" s="80"/>
      <x:c r="W293" s="81" t="n">
        <x:f>IF(COUNTA(P293:S293)=4,AVERAGE(P293:S293),"")</x:f>
        <x:v>88.5</x:v>
      </x:c>
      <x:c r="X293" s="81" t="n">
        <x:f>IF(V293&lt;&gt;"",V293,W293)</x:f>
        <x:v>88.5</x:v>
      </x:c>
      <x:c r="Y293" s="80" t="str">
        <x:v>파생 단순평균(참고)</x:v>
      </x:c>
      <x:c r="Z293" s="81" t="n">
        <x:v>80</x:v>
      </x:c>
      <x:c r="AA293" s="81" t="n">
        <x:f>IF(X293&lt;&gt;"",Z293-X293,"")</x:f>
        <x:v>-8.5</x:v>
      </x:c>
      <x:c r="AB293" s="80" t="str">
        <x:f>IF(AA293="","",IF(AA293&gt;=5,"안정",IF(AA293&gt;=1,"적정",IF(AA293&gt;=-2,"소신","상향"))))</x:f>
        <x:v>상향</x:v>
      </x:c>
      <x:c r="AC293" s="82" t="n">
        <x:v>0</x:v>
      </x:c>
      <x:c r="AD293" s="82" t="n">
        <x:v>94.7</x:v>
      </x:c>
      <x:c r="AE293" s="82" t="n">
        <x:v>5.3</x:v>
      </x:c>
      <x:c r="AF293" s="80" t="str">
        <x:v>B: 공식 과목별 70% 백분위 → 단순평균 파생</x:v>
      </x:c>
      <x:c r="AG293" s="80" t="str">
        <x:v>https://www.adiga.kr/ucp/uvt/uni/univDetailSelection.do?menuId=PCUVTINF2000&amp;searchSyr=2026&amp;unvCd=0000066</x:v>
      </x:c>
    </x:row>
    <x:row r="294">
      <x:c r="A294" s="80" t="n">
        <x:v>2025</x:v>
      </x:c>
      <x:c r="B294" s="80" t="str">
        <x:v>서울특별시</x:v>
      </x:c>
      <x:c r="C294" s="80" t="str">
        <x:v>사립</x:v>
      </x:c>
      <x:c r="D294" s="80" t="str">
        <x:v>경희대학교</x:v>
      </x:c>
      <x:c r="E294" s="80" t="str">
        <x:v>가</x:v>
      </x:c>
      <x:c r="F294" s="80" t="str">
        <x:v>일반전형</x:v>
      </x:c>
      <x:c r="G294" s="80" t="str">
        <x:v>물리학과</x:v>
      </x:c>
      <x:c r="H294" s="80" t="n">
        <x:v>20</x:v>
      </x:c>
      <x:c r="I294" s="80" t="n">
        <x:v>0</x:v>
      </x:c>
      <x:c r="J294" s="80" t="n">
        <x:v>20</x:v>
      </x:c>
      <x:c r="K294" s="81" t="n">
        <x:v>4.8</x:v>
      </x:c>
      <x:c r="L294" s="81" t="n">
        <x:v>15</x:v>
      </x:c>
      <x:c r="M294" s="81" t="n">
        <x:v>557.79</x:v>
      </x:c>
      <x:c r="N294" s="81" t="n">
        <x:v>557.21</x:v>
      </x:c>
      <x:c r="O294" s="81" t="n">
        <x:v>800</x:v>
      </x:c>
      <x:c r="P294" s="81" t="n">
        <x:v>86</x:v>
      </x:c>
      <x:c r="Q294" s="81" t="n">
        <x:v>95</x:v>
      </x:c>
      <x:c r="R294" s="81" t="n">
        <x:v>83</x:v>
      </x:c>
      <x:c r="S294" s="81" t="n">
        <x:v>83</x:v>
      </x:c>
      <x:c r="T294" s="81" t="n">
        <x:v>2</x:v>
      </x:c>
      <x:c r="U294" s="81" t="n">
        <x:v>2</x:v>
      </x:c>
      <x:c r="V294" s="80"/>
      <x:c r="W294" s="81" t="n">
        <x:f>IF(COUNTA(P294:S294)=4,AVERAGE(P294:S294),"")</x:f>
        <x:v>86.75</x:v>
      </x:c>
      <x:c r="X294" s="81" t="n">
        <x:f>IF(V294&lt;&gt;"",V294,W294)</x:f>
        <x:v>86.75</x:v>
      </x:c>
      <x:c r="Y294" s="80" t="str">
        <x:v>파생 단순평균(참고)</x:v>
      </x:c>
      <x:c r="Z294" s="81" t="n">
        <x:v>80</x:v>
      </x:c>
      <x:c r="AA294" s="81" t="n">
        <x:f>IF(X294&lt;&gt;"",Z294-X294,"")</x:f>
        <x:v>-6.75</x:v>
      </x:c>
      <x:c r="AB294" s="80" t="str">
        <x:f>IF(AA294="","",IF(AA294&gt;=5,"안정",IF(AA294&gt;=1,"적정",IF(AA294&gt;=-2,"소신","상향"))))</x:f>
        <x:v>상향</x:v>
      </x:c>
      <x:c r="AC294" s="82" t="n">
        <x:v>0</x:v>
      </x:c>
      <x:c r="AD294" s="82" t="n">
        <x:v>95</x:v>
      </x:c>
      <x:c r="AE294" s="82" t="n">
        <x:v>5</x:v>
      </x:c>
      <x:c r="AF294" s="80" t="str">
        <x:v>B: 공식 과목별 70% 백분위 → 단순평균 파생</x:v>
      </x:c>
      <x:c r="AG294" s="80" t="str">
        <x:v>https://www.adiga.kr/ucp/uvt/uni/univDetailSelection.do?menuId=PCUVTINF2000&amp;searchSyr=2026&amp;unvCd=0000066</x:v>
      </x:c>
    </x:row>
    <x:row r="295">
      <x:c r="A295" s="80" t="n">
        <x:v>2025</x:v>
      </x:c>
      <x:c r="B295" s="80" t="str">
        <x:v>서울특별시</x:v>
      </x:c>
      <x:c r="C295" s="80" t="str">
        <x:v>사립</x:v>
      </x:c>
      <x:c r="D295" s="80" t="str">
        <x:v>경희대학교</x:v>
      </x:c>
      <x:c r="E295" s="80" t="str">
        <x:v>가</x:v>
      </x:c>
      <x:c r="F295" s="80" t="str">
        <x:v>일반전형</x:v>
      </x:c>
      <x:c r="G295" s="80" t="str">
        <x:v>화학과</x:v>
      </x:c>
      <x:c r="H295" s="80" t="n">
        <x:v>18</x:v>
      </x:c>
      <x:c r="I295" s="80" t="n">
        <x:v>1</x:v>
      </x:c>
      <x:c r="J295" s="80" t="n">
        <x:v>19</x:v>
      </x:c>
      <x:c r="K295" s="81" t="n">
        <x:v>4.2</x:v>
      </x:c>
      <x:c r="L295" s="81" t="n">
        <x:v>6</x:v>
      </x:c>
      <x:c r="M295" s="81" t="n">
        <x:v>560.65</x:v>
      </x:c>
      <x:c r="N295" s="81" t="n">
        <x:v>559.8</x:v>
      </x:c>
      <x:c r="O295" s="81" t="n">
        <x:v>800</x:v>
      </x:c>
      <x:c r="P295" s="81" t="n">
        <x:v>83</x:v>
      </x:c>
      <x:c r="Q295" s="81" t="n">
        <x:v>93</x:v>
      </x:c>
      <x:c r="R295" s="81" t="n">
        <x:v>90</x:v>
      </x:c>
      <x:c r="S295" s="81" t="n">
        <x:v>88</x:v>
      </x:c>
      <x:c r="T295" s="81" t="n">
        <x:v>2</x:v>
      </x:c>
      <x:c r="U295" s="81" t="n">
        <x:v>2</x:v>
      </x:c>
      <x:c r="V295" s="80"/>
      <x:c r="W295" s="81" t="n">
        <x:f>IF(COUNTA(P295:S295)=4,AVERAGE(P295:S295),"")</x:f>
        <x:v>88.5</x:v>
      </x:c>
      <x:c r="X295" s="81" t="n">
        <x:f>IF(V295&lt;&gt;"",V295,W295)</x:f>
        <x:v>88.5</x:v>
      </x:c>
      <x:c r="Y295" s="80" t="str">
        <x:v>파생 단순평균(참고)</x:v>
      </x:c>
      <x:c r="Z295" s="81" t="n">
        <x:v>80</x:v>
      </x:c>
      <x:c r="AA295" s="81" t="n">
        <x:f>IF(X295&lt;&gt;"",Z295-X295,"")</x:f>
        <x:v>-8.5</x:v>
      </x:c>
      <x:c r="AB295" s="80" t="str">
        <x:f>IF(AA295="","",IF(AA295&gt;=5,"안정",IF(AA295&gt;=1,"적정",IF(AA295&gt;=-2,"소신","상향"))))</x:f>
        <x:v>상향</x:v>
      </x:c>
      <x:c r="AC295" s="82" t="n">
        <x:v>5.3</x:v>
      </x:c>
      <x:c r="AD295" s="82" t="n">
        <x:v>89.5</x:v>
      </x:c>
      <x:c r="AE295" s="82" t="n">
        <x:v>5.3</x:v>
      </x:c>
      <x:c r="AF295" s="80" t="str">
        <x:v>B: 공식 과목별 70% 백분위 → 단순평균 파생</x:v>
      </x:c>
      <x:c r="AG295" s="80" t="str">
        <x:v>https://www.adiga.kr/ucp/uvt/uni/univDetailSelection.do?menuId=PCUVTINF2000&amp;searchSyr=2026&amp;unvCd=0000066</x:v>
      </x:c>
    </x:row>
    <x:row r="296">
      <x:c r="A296" s="80" t="n">
        <x:v>2025</x:v>
      </x:c>
      <x:c r="B296" s="80" t="str">
        <x:v>서울특별시</x:v>
      </x:c>
      <x:c r="C296" s="80" t="str">
        <x:v>사립</x:v>
      </x:c>
      <x:c r="D296" s="80" t="str">
        <x:v>경희대학교</x:v>
      </x:c>
      <x:c r="E296" s="80" t="str">
        <x:v>가</x:v>
      </x:c>
      <x:c r="F296" s="80" t="str">
        <x:v>일반전형</x:v>
      </x:c>
      <x:c r="G296" s="80" t="str">
        <x:v>생물학과</x:v>
      </x:c>
      <x:c r="H296" s="80" t="n">
        <x:v>19</x:v>
      </x:c>
      <x:c r="I296" s="80" t="n">
        <x:v>0</x:v>
      </x:c>
      <x:c r="J296" s="80" t="n">
        <x:v>19</x:v>
      </x:c>
      <x:c r="K296" s="81" t="n">
        <x:v>4.9</x:v>
      </x:c>
      <x:c r="L296" s="81" t="n">
        <x:v>17</x:v>
      </x:c>
      <x:c r="M296" s="81" t="n">
        <x:v>559.41</x:v>
      </x:c>
      <x:c r="N296" s="81" t="n">
        <x:v>558.87</x:v>
      </x:c>
      <x:c r="O296" s="81" t="n">
        <x:v>800</x:v>
      </x:c>
      <x:c r="P296" s="81" t="n">
        <x:v>82</x:v>
      </x:c>
      <x:c r="Q296" s="81" t="n">
        <x:v>93</x:v>
      </x:c>
      <x:c r="R296" s="81" t="n">
        <x:v>87</x:v>
      </x:c>
      <x:c r="S296" s="81" t="n">
        <x:v>87</x:v>
      </x:c>
      <x:c r="T296" s="81" t="n">
        <x:v>2</x:v>
      </x:c>
      <x:c r="U296" s="81" t="n">
        <x:v>2</x:v>
      </x:c>
      <x:c r="V296" s="80"/>
      <x:c r="W296" s="81" t="n">
        <x:f>IF(COUNTA(P296:S296)=4,AVERAGE(P296:S296),"")</x:f>
        <x:v>87.25</x:v>
      </x:c>
      <x:c r="X296" s="81" t="n">
        <x:f>IF(V296&lt;&gt;"",V296,W296)</x:f>
        <x:v>87.25</x:v>
      </x:c>
      <x:c r="Y296" s="80" t="str">
        <x:v>파생 단순평균(참고)</x:v>
      </x:c>
      <x:c r="Z296" s="81" t="n">
        <x:v>80</x:v>
      </x:c>
      <x:c r="AA296" s="81" t="n">
        <x:f>IF(X296&lt;&gt;"",Z296-X296,"")</x:f>
        <x:v>-7.25</x:v>
      </x:c>
      <x:c r="AB296" s="80" t="str">
        <x:f>IF(AA296="","",IF(AA296&gt;=5,"안정",IF(AA296&gt;=1,"적정",IF(AA296&gt;=-2,"소신","상향"))))</x:f>
        <x:v>상향</x:v>
      </x:c>
      <x:c r="AC296" s="82" t="n">
        <x:v>0</x:v>
      </x:c>
      <x:c r="AD296" s="82" t="n">
        <x:v>89.5</x:v>
      </x:c>
      <x:c r="AE296" s="82" t="n">
        <x:v>10.5</x:v>
      </x:c>
      <x:c r="AF296" s="80" t="str">
        <x:v>B: 공식 과목별 70% 백분위 → 단순평균 파생</x:v>
      </x:c>
      <x:c r="AG296" s="80" t="str">
        <x:v>https://www.adiga.kr/ucp/uvt/uni/univDetailSelection.do?menuId=PCUVTINF2000&amp;searchSyr=2026&amp;unvCd=0000066</x:v>
      </x:c>
    </x:row>
    <x:row r="297">
      <x:c r="A297" s="80" t="n">
        <x:v>2025</x:v>
      </x:c>
      <x:c r="B297" s="80" t="str">
        <x:v>서울특별시</x:v>
      </x:c>
      <x:c r="C297" s="80" t="str">
        <x:v>사립</x:v>
      </x:c>
      <x:c r="D297" s="80" t="str">
        <x:v>경희대학교</x:v>
      </x:c>
      <x:c r="E297" s="80" t="str">
        <x:v>가</x:v>
      </x:c>
      <x:c r="F297" s="80" t="str">
        <x:v>일반전형</x:v>
      </x:c>
      <x:c r="G297" s="80" t="str">
        <x:v>지리학과(자연)</x:v>
      </x:c>
      <x:c r="H297" s="80" t="n">
        <x:v>12</x:v>
      </x:c>
      <x:c r="I297" s="80" t="n">
        <x:v>0</x:v>
      </x:c>
      <x:c r="J297" s="80" t="n">
        <x:v>12</x:v>
      </x:c>
      <x:c r="K297" s="81" t="n">
        <x:v>5.3</x:v>
      </x:c>
      <x:c r="L297" s="81" t="n">
        <x:v>6</x:v>
      </x:c>
      <x:c r="M297" s="81" t="n">
        <x:v>556.38</x:v>
      </x:c>
      <x:c r="N297" s="81" t="n">
        <x:v>555.91</x:v>
      </x:c>
      <x:c r="O297" s="81" t="n">
        <x:v>800</x:v>
      </x:c>
      <x:c r="P297" s="81" t="n">
        <x:v>82</x:v>
      </x:c>
      <x:c r="Q297" s="81" t="n">
        <x:v>95</x:v>
      </x:c>
      <x:c r="R297" s="81" t="n">
        <x:v>90</x:v>
      </x:c>
      <x:c r="S297" s="81" t="n">
        <x:v>81</x:v>
      </x:c>
      <x:c r="T297" s="81" t="n">
        <x:v>2</x:v>
      </x:c>
      <x:c r="U297" s="81" t="n">
        <x:v>2</x:v>
      </x:c>
      <x:c r="V297" s="80"/>
      <x:c r="W297" s="81" t="n">
        <x:f>IF(COUNTA(P297:S297)=4,AVERAGE(P297:S297),"")</x:f>
        <x:v>87</x:v>
      </x:c>
      <x:c r="X297" s="81" t="n">
        <x:f>IF(V297&lt;&gt;"",V297,W297)</x:f>
        <x:v>87</x:v>
      </x:c>
      <x:c r="Y297" s="80" t="str">
        <x:v>파생 단순평균(참고)</x:v>
      </x:c>
      <x:c r="Z297" s="81" t="n">
        <x:v>80</x:v>
      </x:c>
      <x:c r="AA297" s="81" t="n">
        <x:f>IF(X297&lt;&gt;"",Z297-X297,"")</x:f>
        <x:v>-7</x:v>
      </x:c>
      <x:c r="AB297" s="80" t="str">
        <x:f>IF(AA297="","",IF(AA297&gt;=5,"안정",IF(AA297&gt;=1,"적정",IF(AA297&gt;=-2,"소신","상향"))))</x:f>
        <x:v>상향</x:v>
      </x:c>
      <x:c r="AC297" s="82" t="n">
        <x:v>0</x:v>
      </x:c>
      <x:c r="AD297" s="82" t="n">
        <x:v>100</x:v>
      </x:c>
      <x:c r="AE297" s="82" t="n">
        <x:v>0</x:v>
      </x:c>
      <x:c r="AF297" s="80" t="str">
        <x:v>B: 공식 과목별 70% 백분위 → 단순평균 파생</x:v>
      </x:c>
      <x:c r="AG297" s="80" t="str">
        <x:v>https://www.adiga.kr/ucp/uvt/uni/univDetailSelection.do?menuId=PCUVTINF2000&amp;searchSyr=2026&amp;unvCd=0000066</x:v>
      </x:c>
    </x:row>
    <x:row r="298">
      <x:c r="A298" s="80" t="n">
        <x:v>2025</x:v>
      </x:c>
      <x:c r="B298" s="80" t="str">
        <x:v>서울특별시</x:v>
      </x:c>
      <x:c r="C298" s="80" t="str">
        <x:v>사립</x:v>
      </x:c>
      <x:c r="D298" s="80" t="str">
        <x:v>경희대학교</x:v>
      </x:c>
      <x:c r="E298" s="80" t="str">
        <x:v>가</x:v>
      </x:c>
      <x:c r="F298" s="80" t="str">
        <x:v>일반전형</x:v>
      </x:c>
      <x:c r="G298" s="80" t="str">
        <x:v>미래정보디스플레이학부</x:v>
      </x:c>
      <x:c r="H298" s="80" t="n">
        <x:v>36</x:v>
      </x:c>
      <x:c r="I298" s="80" t="n">
        <x:v>0</x:v>
      </x:c>
      <x:c r="J298" s="80" t="n">
        <x:v>36</x:v>
      </x:c>
      <x:c r="K298" s="81" t="n">
        <x:v>3.8</x:v>
      </x:c>
      <x:c r="L298" s="81" t="n">
        <x:v>24</x:v>
      </x:c>
      <x:c r="M298" s="81" t="n">
        <x:v>561.71</x:v>
      </x:c>
      <x:c r="N298" s="81" t="n">
        <x:v>561.03</x:v>
      </x:c>
      <x:c r="O298" s="81" t="n">
        <x:v>800</x:v>
      </x:c>
      <x:c r="P298" s="81" t="n">
        <x:v>80</x:v>
      </x:c>
      <x:c r="Q298" s="81" t="n">
        <x:v>95</x:v>
      </x:c>
      <x:c r="R298" s="81" t="n">
        <x:v>90</x:v>
      </x:c>
      <x:c r="S298" s="81" t="n">
        <x:v>88</x:v>
      </x:c>
      <x:c r="T298" s="81" t="n">
        <x:v>2</x:v>
      </x:c>
      <x:c r="U298" s="81" t="n">
        <x:v>2</x:v>
      </x:c>
      <x:c r="V298" s="80"/>
      <x:c r="W298" s="81" t="n">
        <x:f>IF(COUNTA(P298:S298)=4,AVERAGE(P298:S298),"")</x:f>
        <x:v>88.25</x:v>
      </x:c>
      <x:c r="X298" s="81" t="n">
        <x:f>IF(V298&lt;&gt;"",V298,W298)</x:f>
        <x:v>88.25</x:v>
      </x:c>
      <x:c r="Y298" s="80" t="str">
        <x:v>파생 단순평균(참고)</x:v>
      </x:c>
      <x:c r="Z298" s="81" t="n">
        <x:v>80</x:v>
      </x:c>
      <x:c r="AA298" s="81" t="n">
        <x:f>IF(X298&lt;&gt;"",Z298-X298,"")</x:f>
        <x:v>-8.25</x:v>
      </x:c>
      <x:c r="AB298" s="80" t="str">
        <x:f>IF(AA298="","",IF(AA298&gt;=5,"안정",IF(AA298&gt;=1,"적정",IF(AA298&gt;=-2,"소신","상향"))))</x:f>
        <x:v>상향</x:v>
      </x:c>
      <x:c r="AC298" s="82" t="n">
        <x:v>2.9</x:v>
      </x:c>
      <x:c r="AD298" s="82" t="n">
        <x:v>88.6</x:v>
      </x:c>
      <x:c r="AE298" s="82" t="n">
        <x:v>8.6</x:v>
      </x:c>
      <x:c r="AF298" s="80" t="str">
        <x:v>B: 공식 과목별 70% 백분위 → 단순평균 파생</x:v>
      </x:c>
      <x:c r="AG298" s="80" t="str">
        <x:v>https://www.adiga.kr/ucp/uvt/uni/univDetailSelection.do?menuId=PCUVTINF2000&amp;searchSyr=2026&amp;unvCd=0000066</x:v>
      </x:c>
    </x:row>
    <x:row r="299">
      <x:c r="A299" s="80" t="n">
        <x:v>2025</x:v>
      </x:c>
      <x:c r="B299" s="80" t="str">
        <x:v>서울특별시</x:v>
      </x:c>
      <x:c r="C299" s="80" t="str">
        <x:v>사립</x:v>
      </x:c>
      <x:c r="D299" s="80" t="str">
        <x:v>경희대학교</x:v>
      </x:c>
      <x:c r="E299" s="80" t="str">
        <x:v>가</x:v>
      </x:c>
      <x:c r="F299" s="80" t="str">
        <x:v>일반전형</x:v>
      </x:c>
      <x:c r="G299" s="80" t="str">
        <x:v>전자정보공학부 전자공학과</x:v>
      </x:c>
      <x:c r="H299" s="80" t="n">
        <x:v>64</x:v>
      </x:c>
      <x:c r="I299" s="80" t="n">
        <x:v>0</x:v>
      </x:c>
      <x:c r="J299" s="80" t="n">
        <x:v>64</x:v>
      </x:c>
      <x:c r="K299" s="81" t="n">
        <x:v>3.8</x:v>
      </x:c>
      <x:c r="L299" s="81" t="n">
        <x:v>43</x:v>
      </x:c>
      <x:c r="M299" s="81" t="n">
        <x:v>560.34</x:v>
      </x:c>
      <x:c r="N299" s="81" t="n">
        <x:v>559.64</x:v>
      </x:c>
      <x:c r="O299" s="81" t="n">
        <x:v>800</x:v>
      </x:c>
      <x:c r="P299" s="81" t="n">
        <x:v>85</x:v>
      </x:c>
      <x:c r="Q299" s="81" t="n">
        <x:v>93</x:v>
      </x:c>
      <x:c r="R299" s="81" t="n">
        <x:v>90</x:v>
      </x:c>
      <x:c r="S299" s="81" t="n">
        <x:v>85</x:v>
      </x:c>
      <x:c r="T299" s="81" t="n">
        <x:v>2</x:v>
      </x:c>
      <x:c r="U299" s="81" t="n">
        <x:v>2</x:v>
      </x:c>
      <x:c r="V299" s="80"/>
      <x:c r="W299" s="81" t="n">
        <x:f>IF(COUNTA(P299:S299)=4,AVERAGE(P299:S299),"")</x:f>
        <x:v>88.25</x:v>
      </x:c>
      <x:c r="X299" s="81" t="n">
        <x:f>IF(V299&lt;&gt;"",V299,W299)</x:f>
        <x:v>88.25</x:v>
      </x:c>
      <x:c r="Y299" s="80" t="str">
        <x:v>파생 단순평균(참고)</x:v>
      </x:c>
      <x:c r="Z299" s="81" t="n">
        <x:v>80</x:v>
      </x:c>
      <x:c r="AA299" s="81" t="n">
        <x:f>IF(X299&lt;&gt;"",Z299-X299,"")</x:f>
        <x:v>-8.25</x:v>
      </x:c>
      <x:c r="AB299" s="80" t="str">
        <x:f>IF(AA299="","",IF(AA299&gt;=5,"안정",IF(AA299&gt;=1,"적정",IF(AA299&gt;=-2,"소신","상향"))))</x:f>
        <x:v>상향</x:v>
      </x:c>
      <x:c r="AC299" s="82" t="n">
        <x:v>1.6</x:v>
      </x:c>
      <x:c r="AD299" s="82" t="n">
        <x:v>98.4</x:v>
      </x:c>
      <x:c r="AE299" s="82" t="n">
        <x:v>0</x:v>
      </x:c>
      <x:c r="AF299" s="80" t="str">
        <x:v>B: 공식 과목별 70% 백분위 → 단순평균 파생</x:v>
      </x:c>
      <x:c r="AG299" s="80" t="str">
        <x:v>https://www.adiga.kr/ucp/uvt/uni/univDetailSelection.do?menuId=PCUVTINF2000&amp;searchSyr=2026&amp;unvCd=0000066</x:v>
      </x:c>
    </x:row>
    <x:row r="300">
      <x:c r="A300" s="80" t="n">
        <x:v>2025</x:v>
      </x:c>
      <x:c r="B300" s="80" t="str">
        <x:v>서울특별시</x:v>
      </x:c>
      <x:c r="C300" s="80" t="str">
        <x:v>사립</x:v>
      </x:c>
      <x:c r="D300" s="80" t="str">
        <x:v>경희대학교</x:v>
      </x:c>
      <x:c r="E300" s="80" t="str">
        <x:v>가</x:v>
      </x:c>
      <x:c r="F300" s="80" t="str">
        <x:v>일반전형</x:v>
      </x:c>
      <x:c r="G300" s="80" t="str">
        <x:v>전자정보공학부 반도체공학과</x:v>
      </x:c>
      <x:c r="H300" s="80" t="n">
        <x:v>16</x:v>
      </x:c>
      <x:c r="I300" s="80" t="n">
        <x:v>0</x:v>
      </x:c>
      <x:c r="J300" s="80" t="n">
        <x:v>16</x:v>
      </x:c>
      <x:c r="K300" s="81" t="n">
        <x:v>4</x:v>
      </x:c>
      <x:c r="L300" s="81" t="n">
        <x:v>7</x:v>
      </x:c>
      <x:c r="M300" s="81" t="n">
        <x:v>560.2</x:v>
      </x:c>
      <x:c r="N300" s="81" t="n">
        <x:v>559.33</x:v>
      </x:c>
      <x:c r="O300" s="81" t="n">
        <x:v>800</x:v>
      </x:c>
      <x:c r="P300" s="81" t="n">
        <x:v>82</x:v>
      </x:c>
      <x:c r="Q300" s="81" t="n">
        <x:v>95</x:v>
      </x:c>
      <x:c r="R300" s="81" t="n">
        <x:v>90</x:v>
      </x:c>
      <x:c r="S300" s="81" t="n">
        <x:v>88</x:v>
      </x:c>
      <x:c r="T300" s="81" t="n">
        <x:v>2</x:v>
      </x:c>
      <x:c r="U300" s="81" t="n">
        <x:v>2</x:v>
      </x:c>
      <x:c r="V300" s="80"/>
      <x:c r="W300" s="81" t="n">
        <x:f>IF(COUNTA(P300:S300)=4,AVERAGE(P300:S300),"")</x:f>
        <x:v>88.75</x:v>
      </x:c>
      <x:c r="X300" s="81" t="n">
        <x:f>IF(V300&lt;&gt;"",V300,W300)</x:f>
        <x:v>88.75</x:v>
      </x:c>
      <x:c r="Y300" s="80" t="str">
        <x:v>파생 단순평균(참고)</x:v>
      </x:c>
      <x:c r="Z300" s="81" t="n">
        <x:v>80</x:v>
      </x:c>
      <x:c r="AA300" s="81" t="n">
        <x:f>IF(X300&lt;&gt;"",Z300-X300,"")</x:f>
        <x:v>-8.75</x:v>
      </x:c>
      <x:c r="AB300" s="80" t="str">
        <x:f>IF(AA300="","",IF(AA300&gt;=5,"안정",IF(AA300&gt;=1,"적정",IF(AA300&gt;=-2,"소신","상향"))))</x:f>
        <x:v>상향</x:v>
      </x:c>
      <x:c r="AC300" s="82" t="n">
        <x:v>0</x:v>
      </x:c>
      <x:c r="AD300" s="82" t="n">
        <x:v>100</x:v>
      </x:c>
      <x:c r="AE300" s="82" t="n">
        <x:v>0</x:v>
      </x:c>
      <x:c r="AF300" s="80" t="str">
        <x:v>B: 공식 과목별 70% 백분위 → 단순평균 파생</x:v>
      </x:c>
      <x:c r="AG300" s="80" t="str">
        <x:v>https://www.adiga.kr/ucp/uvt/uni/univDetailSelection.do?menuId=PCUVTINF2000&amp;searchSyr=2026&amp;unvCd=0000066</x:v>
      </x:c>
    </x:row>
    <x:row r="301">
      <x:c r="A301" s="80" t="n">
        <x:v>2025</x:v>
      </x:c>
      <x:c r="B301" s="80" t="str">
        <x:v>서울특별시</x:v>
      </x:c>
      <x:c r="C301" s="80" t="str">
        <x:v>사립</x:v>
      </x:c>
      <x:c r="D301" s="80" t="str">
        <x:v>경희대학교</x:v>
      </x:c>
      <x:c r="E301" s="80" t="str">
        <x:v>가</x:v>
      </x:c>
      <x:c r="F301" s="80" t="str">
        <x:v>일반전형</x:v>
      </x:c>
      <x:c r="G301" s="80" t="str">
        <x:v>생체의공학과</x:v>
      </x:c>
      <x:c r="H301" s="80" t="n">
        <x:v>29</x:v>
      </x:c>
      <x:c r="I301" s="80" t="n">
        <x:v>0</x:v>
      </x:c>
      <x:c r="J301" s="80" t="n">
        <x:v>29</x:v>
      </x:c>
      <x:c r="K301" s="81" t="n">
        <x:v>5</x:v>
      </x:c>
      <x:c r="L301" s="81" t="n">
        <x:v>40</x:v>
      </x:c>
      <x:c r="M301" s="81" t="n">
        <x:v>556.61</x:v>
      </x:c>
      <x:c r="N301" s="81" t="n">
        <x:v>555.84</x:v>
      </x:c>
      <x:c r="O301" s="81" t="n">
        <x:v>800</x:v>
      </x:c>
      <x:c r="P301" s="81" t="n">
        <x:v>88</x:v>
      </x:c>
      <x:c r="Q301" s="81" t="n">
        <x:v>90</x:v>
      </x:c>
      <x:c r="R301" s="81" t="n">
        <x:v>83</x:v>
      </x:c>
      <x:c r="S301" s="81" t="n">
        <x:v>85</x:v>
      </x:c>
      <x:c r="T301" s="81" t="n">
        <x:v>2</x:v>
      </x:c>
      <x:c r="U301" s="81" t="n">
        <x:v>2</x:v>
      </x:c>
      <x:c r="V301" s="80"/>
      <x:c r="W301" s="81" t="n">
        <x:f>IF(COUNTA(P301:S301)=4,AVERAGE(P301:S301),"")</x:f>
        <x:v>86.5</x:v>
      </x:c>
      <x:c r="X301" s="81" t="n">
        <x:f>IF(V301&lt;&gt;"",V301,W301)</x:f>
        <x:v>86.5</x:v>
      </x:c>
      <x:c r="Y301" s="80" t="str">
        <x:v>파생 단순평균(참고)</x:v>
      </x:c>
      <x:c r="Z301" s="81" t="n">
        <x:v>80</x:v>
      </x:c>
      <x:c r="AA301" s="81" t="n">
        <x:f>IF(X301&lt;&gt;"",Z301-X301,"")</x:f>
        <x:v>-6.5</x:v>
      </x:c>
      <x:c r="AB301" s="80" t="str">
        <x:f>IF(AA301="","",IF(AA301&gt;=5,"안정",IF(AA301&gt;=1,"적정",IF(AA301&gt;=-2,"소신","상향"))))</x:f>
        <x:v>상향</x:v>
      </x:c>
      <x:c r="AC301" s="82" t="n">
        <x:v>0</x:v>
      </x:c>
      <x:c r="AD301" s="82" t="n">
        <x:v>96.6</x:v>
      </x:c>
      <x:c r="AE301" s="82" t="n">
        <x:v>3.4</x:v>
      </x:c>
      <x:c r="AF301" s="80" t="str">
        <x:v>B: 공식 과목별 70% 백분위 → 단순평균 파생</x:v>
      </x:c>
      <x:c r="AG301" s="80" t="str">
        <x:v>https://www.adiga.kr/ucp/uvt/uni/univDetailSelection.do?menuId=PCUVTINF2000&amp;searchSyr=2026&amp;unvCd=0000066</x:v>
      </x:c>
    </x:row>
    <x:row r="302">
      <x:c r="A302" s="80" t="n">
        <x:v>2025</x:v>
      </x:c>
      <x:c r="B302" s="80" t="str">
        <x:v>서울특별시</x:v>
      </x:c>
      <x:c r="C302" s="80" t="str">
        <x:v>사립</x:v>
      </x:c>
      <x:c r="D302" s="80" t="str">
        <x:v>경희대학교</x:v>
      </x:c>
      <x:c r="E302" s="80" t="str">
        <x:v>가</x:v>
      </x:c>
      <x:c r="F302" s="80" t="str">
        <x:v>일반전형</x:v>
      </x:c>
      <x:c r="G302" s="80" t="str">
        <x:v>컴퓨터공학부 컴퓨터공학과</x:v>
      </x:c>
      <x:c r="H302" s="80" t="n">
        <x:v>46</x:v>
      </x:c>
      <x:c r="I302" s="80" t="n">
        <x:v>0</x:v>
      </x:c>
      <x:c r="J302" s="80" t="n">
        <x:v>46</x:v>
      </x:c>
      <x:c r="K302" s="81" t="n">
        <x:v>3.7</x:v>
      </x:c>
      <x:c r="L302" s="81" t="n">
        <x:v>29</x:v>
      </x:c>
      <x:c r="M302" s="81" t="n">
        <x:v>559.25</x:v>
      </x:c>
      <x:c r="N302" s="81" t="n">
        <x:v>558.62</x:v>
      </x:c>
      <x:c r="O302" s="81" t="n">
        <x:v>800</x:v>
      </x:c>
      <x:c r="P302" s="81" t="n">
        <x:v>86</x:v>
      </x:c>
      <x:c r="Q302" s="81" t="n">
        <x:v>95</x:v>
      </x:c>
      <x:c r="R302" s="81" t="n">
        <x:v>85</x:v>
      </x:c>
      <x:c r="S302" s="81" t="n">
        <x:v>90</x:v>
      </x:c>
      <x:c r="T302" s="81" t="n">
        <x:v>2</x:v>
      </x:c>
      <x:c r="U302" s="81" t="n">
        <x:v>2</x:v>
      </x:c>
      <x:c r="V302" s="80"/>
      <x:c r="W302" s="81" t="n">
        <x:f>IF(COUNTA(P302:S302)=4,AVERAGE(P302:S302),"")</x:f>
        <x:v>89</x:v>
      </x:c>
      <x:c r="X302" s="81" t="n">
        <x:f>IF(V302&lt;&gt;"",V302,W302)</x:f>
        <x:v>89</x:v>
      </x:c>
      <x:c r="Y302" s="80" t="str">
        <x:v>파생 단순평균(참고)</x:v>
      </x:c>
      <x:c r="Z302" s="81" t="n">
        <x:v>80</x:v>
      </x:c>
      <x:c r="AA302" s="81" t="n">
        <x:f>IF(X302&lt;&gt;"",Z302-X302,"")</x:f>
        <x:v>-9</x:v>
      </x:c>
      <x:c r="AB302" s="80" t="str">
        <x:f>IF(AA302="","",IF(AA302&gt;=5,"안정",IF(AA302&gt;=1,"적정",IF(AA302&gt;=-2,"소신","상향"))))</x:f>
        <x:v>상향</x:v>
      </x:c>
      <x:c r="AC302" s="82" t="n">
        <x:v>0</x:v>
      </x:c>
      <x:c r="AD302" s="82" t="n">
        <x:v>100</x:v>
      </x:c>
      <x:c r="AE302" s="82" t="n">
        <x:v>0</x:v>
      </x:c>
      <x:c r="AF302" s="80" t="str">
        <x:v>B: 공식 과목별 70% 백분위 → 단순평균 파생</x:v>
      </x:c>
      <x:c r="AG302" s="80" t="str">
        <x:v>https://www.adiga.kr/ucp/uvt/uni/univDetailSelection.do?menuId=PCUVTINF2000&amp;searchSyr=2026&amp;unvCd=0000066</x:v>
      </x:c>
    </x:row>
    <x:row r="303">
      <x:c r="A303" s="80" t="n">
        <x:v>2025</x:v>
      </x:c>
      <x:c r="B303" s="80" t="str">
        <x:v>서울특별시</x:v>
      </x:c>
      <x:c r="C303" s="80" t="str">
        <x:v>사립</x:v>
      </x:c>
      <x:c r="D303" s="80" t="str">
        <x:v>경희대학교</x:v>
      </x:c>
      <x:c r="E303" s="80" t="str">
        <x:v>가</x:v>
      </x:c>
      <x:c r="F303" s="80" t="str">
        <x:v>일반전형</x:v>
      </x:c>
      <x:c r="G303" s="80" t="str">
        <x:v>컴퓨터공학부 인공지능학과</x:v>
      </x:c>
      <x:c r="H303" s="80" t="n">
        <x:v>20</x:v>
      </x:c>
      <x:c r="I303" s="80" t="n">
        <x:v>0</x:v>
      </x:c>
      <x:c r="J303" s="80" t="n">
        <x:v>20</x:v>
      </x:c>
      <x:c r="K303" s="81" t="n">
        <x:v>4.9</x:v>
      </x:c>
      <x:c r="L303" s="81" t="n">
        <x:v>8</x:v>
      </x:c>
      <x:c r="M303" s="81" t="n">
        <x:v>559.04</x:v>
      </x:c>
      <x:c r="N303" s="81" t="n">
        <x:v>558.54</x:v>
      </x:c>
      <x:c r="O303" s="81" t="n">
        <x:v>800</x:v>
      </x:c>
      <x:c r="P303" s="81" t="n">
        <x:v>80</x:v>
      </x:c>
      <x:c r="Q303" s="81" t="n">
        <x:v>93</x:v>
      </x:c>
      <x:c r="R303" s="81" t="n">
        <x:v>84</x:v>
      </x:c>
      <x:c r="S303" s="81" t="n">
        <x:v>85</x:v>
      </x:c>
      <x:c r="T303" s="81" t="n">
        <x:v>2</x:v>
      </x:c>
      <x:c r="U303" s="81" t="n">
        <x:v>2</x:v>
      </x:c>
      <x:c r="V303" s="80"/>
      <x:c r="W303" s="81" t="n">
        <x:f>IF(COUNTA(P303:S303)=4,AVERAGE(P303:S303),"")</x:f>
        <x:v>85.5</x:v>
      </x:c>
      <x:c r="X303" s="81" t="n">
        <x:f>IF(V303&lt;&gt;"",V303,W303)</x:f>
        <x:v>85.5</x:v>
      </x:c>
      <x:c r="Y303" s="80" t="str">
        <x:v>파생 단순평균(참고)</x:v>
      </x:c>
      <x:c r="Z303" s="81" t="n">
        <x:v>80</x:v>
      </x:c>
      <x:c r="AA303" s="81" t="n">
        <x:f>IF(X303&lt;&gt;"",Z303-X303,"")</x:f>
        <x:v>-5.5</x:v>
      </x:c>
      <x:c r="AB303" s="80" t="str">
        <x:f>IF(AA303="","",IF(AA303&gt;=5,"안정",IF(AA303&gt;=1,"적정",IF(AA303&gt;=-2,"소신","상향"))))</x:f>
        <x:v>상향</x:v>
      </x:c>
      <x:c r="AC303" s="82" t="n">
        <x:v>5.3</x:v>
      </x:c>
      <x:c r="AD303" s="82" t="n">
        <x:v>94.7</x:v>
      </x:c>
      <x:c r="AE303" s="82" t="n">
        <x:v>0</x:v>
      </x:c>
      <x:c r="AF303" s="80" t="str">
        <x:v>B: 공식 과목별 70% 백분위 → 단순평균 파생</x:v>
      </x:c>
      <x:c r="AG303" s="80" t="str">
        <x:v>https://www.adiga.kr/ucp/uvt/uni/univDetailSelection.do?menuId=PCUVTINF2000&amp;searchSyr=2026&amp;unvCd=0000066</x:v>
      </x:c>
    </x:row>
    <x:row r="304">
      <x:c r="A304" s="80" t="n">
        <x:v>2025</x:v>
      </x:c>
      <x:c r="B304" s="80" t="str">
        <x:v>서울특별시</x:v>
      </x:c>
      <x:c r="C304" s="80" t="str">
        <x:v>사립</x:v>
      </x:c>
      <x:c r="D304" s="80" t="str">
        <x:v>경희대학교</x:v>
      </x:c>
      <x:c r="E304" s="80" t="str">
        <x:v>가</x:v>
      </x:c>
      <x:c r="F304" s="80" t="str">
        <x:v>일반전형</x:v>
      </x:c>
      <x:c r="G304" s="80" t="str">
        <x:v>소프트웨어융합학과</x:v>
      </x:c>
      <x:c r="H304" s="80" t="n">
        <x:v>30</x:v>
      </x:c>
      <x:c r="I304" s="80" t="n">
        <x:v>0</x:v>
      </x:c>
      <x:c r="J304" s="80" t="n">
        <x:v>30</x:v>
      </x:c>
      <x:c r="K304" s="81" t="n">
        <x:v>4.7</x:v>
      </x:c>
      <x:c r="L304" s="81" t="n">
        <x:v>16</x:v>
      </x:c>
      <x:c r="M304" s="81" t="n">
        <x:v>559.42</x:v>
      </x:c>
      <x:c r="N304" s="81" t="n">
        <x:v>558.9</x:v>
      </x:c>
      <x:c r="O304" s="81" t="n">
        <x:v>800</x:v>
      </x:c>
      <x:c r="P304" s="81" t="n">
        <x:v>85</x:v>
      </x:c>
      <x:c r="Q304" s="81" t="n">
        <x:v>95</x:v>
      </x:c>
      <x:c r="R304" s="81" t="n">
        <x:v>83</x:v>
      </x:c>
      <x:c r="S304" s="81" t="n">
        <x:v>85</x:v>
      </x:c>
      <x:c r="T304" s="81" t="n">
        <x:v>2</x:v>
      </x:c>
      <x:c r="U304" s="81" t="n">
        <x:v>2</x:v>
      </x:c>
      <x:c r="V304" s="80"/>
      <x:c r="W304" s="81" t="n">
        <x:f>IF(COUNTA(P304:S304)=4,AVERAGE(P304:S304),"")</x:f>
        <x:v>87</x:v>
      </x:c>
      <x:c r="X304" s="81" t="n">
        <x:f>IF(V304&lt;&gt;"",V304,W304)</x:f>
        <x:v>87</x:v>
      </x:c>
      <x:c r="Y304" s="80" t="str">
        <x:v>파생 단순평균(참고)</x:v>
      </x:c>
      <x:c r="Z304" s="81" t="n">
        <x:v>80</x:v>
      </x:c>
      <x:c r="AA304" s="81" t="n">
        <x:f>IF(X304&lt;&gt;"",Z304-X304,"")</x:f>
        <x:v>-7</x:v>
      </x:c>
      <x:c r="AB304" s="80" t="str">
        <x:f>IF(AA304="","",IF(AA304&gt;=5,"안정",IF(AA304&gt;=1,"적정",IF(AA304&gt;=-2,"소신","상향"))))</x:f>
        <x:v>상향</x:v>
      </x:c>
      <x:c r="AC304" s="82" t="n">
        <x:v>0</x:v>
      </x:c>
      <x:c r="AD304" s="82" t="n">
        <x:v>100</x:v>
      </x:c>
      <x:c r="AE304" s="82" t="n">
        <x:v>0</x:v>
      </x:c>
      <x:c r="AF304" s="80" t="str">
        <x:v>B: 공식 과목별 70% 백분위 → 단순평균 파생</x:v>
      </x:c>
      <x:c r="AG304" s="80" t="str">
        <x:v>https://www.adiga.kr/ucp/uvt/uni/univDetailSelection.do?menuId=PCUVTINF2000&amp;searchSyr=2026&amp;unvCd=0000066</x:v>
      </x:c>
    </x:row>
    <x:row r="305">
      <x:c r="A305" s="80" t="n">
        <x:v>2025</x:v>
      </x:c>
      <x:c r="B305" s="80" t="str">
        <x:v>서울특별시</x:v>
      </x:c>
      <x:c r="C305" s="80" t="str">
        <x:v>사립</x:v>
      </x:c>
      <x:c r="D305" s="80" t="str">
        <x:v>경희대학교</x:v>
      </x:c>
      <x:c r="E305" s="80" t="str">
        <x:v>가</x:v>
      </x:c>
      <x:c r="F305" s="80" t="str">
        <x:v>일반전형</x:v>
      </x:c>
      <x:c r="G305" s="80" t="str">
        <x:v>한약학과</x:v>
      </x:c>
      <x:c r="H305" s="80" t="n">
        <x:v>18</x:v>
      </x:c>
      <x:c r="I305" s="80" t="n">
        <x:v>1</x:v>
      </x:c>
      <x:c r="J305" s="80" t="n">
        <x:v>19</x:v>
      </x:c>
      <x:c r="K305" s="81" t="n">
        <x:v>8.1</x:v>
      </x:c>
      <x:c r="L305" s="81" t="n">
        <x:v>3</x:v>
      </x:c>
      <x:c r="M305" s="81" t="n">
        <x:v>568.84</x:v>
      </x:c>
      <x:c r="N305" s="81" t="n">
        <x:v>568.75</x:v>
      </x:c>
      <x:c r="O305" s="81" t="n">
        <x:v>800</x:v>
      </x:c>
      <x:c r="P305" s="81" t="n">
        <x:v>89</x:v>
      </x:c>
      <x:c r="Q305" s="81" t="n">
        <x:v>96</x:v>
      </x:c>
      <x:c r="R305" s="81" t="n">
        <x:v>94</x:v>
      </x:c>
      <x:c r="S305" s="81" t="n">
        <x:v>93</x:v>
      </x:c>
      <x:c r="T305" s="81" t="n">
        <x:v>2</x:v>
      </x:c>
      <x:c r="U305" s="81" t="n">
        <x:v>2</x:v>
      </x:c>
      <x:c r="V305" s="80"/>
      <x:c r="W305" s="81" t="n">
        <x:f>IF(COUNTA(P305:S305)=4,AVERAGE(P305:S305),"")</x:f>
        <x:v>93</x:v>
      </x:c>
      <x:c r="X305" s="81" t="n">
        <x:f>IF(V305&lt;&gt;"",V305,W305)</x:f>
        <x:v>93</x:v>
      </x:c>
      <x:c r="Y305" s="80" t="str">
        <x:v>파생 단순평균(참고)</x:v>
      </x:c>
      <x:c r="Z305" s="81" t="n">
        <x:v>80</x:v>
      </x:c>
      <x:c r="AA305" s="81" t="n">
        <x:f>IF(X305&lt;&gt;"",Z305-X305,"")</x:f>
        <x:v>-13</x:v>
      </x:c>
      <x:c r="AB305" s="80" t="str">
        <x:f>IF(AA305="","",IF(AA305&gt;=5,"안정",IF(AA305&gt;=1,"적정",IF(AA305&gt;=-2,"소신","상향"))))</x:f>
        <x:v>상향</x:v>
      </x:c>
      <x:c r="AC305" s="82" t="n">
        <x:v>0</x:v>
      </x:c>
      <x:c r="AD305" s="82" t="n">
        <x:v>88.9</x:v>
      </x:c>
      <x:c r="AE305" s="82" t="n">
        <x:v>11.1</x:v>
      </x:c>
      <x:c r="AF305" s="80" t="str">
        <x:v>B: 공식 과목별 70% 백분위 → 단순평균 파생</x:v>
      </x:c>
      <x:c r="AG305" s="80" t="str">
        <x:v>https://www.adiga.kr/ucp/uvt/uni/univDetailSelection.do?menuId=PCUVTINF2000&amp;searchSyr=2026&amp;unvCd=0000066</x:v>
      </x:c>
    </x:row>
    <x:row r="306">
      <x:c r="A306" s="80" t="n">
        <x:v>2025</x:v>
      </x:c>
      <x:c r="B306" s="80" t="str">
        <x:v>서울특별시</x:v>
      </x:c>
      <x:c r="C306" s="80" t="str">
        <x:v>사립</x:v>
      </x:c>
      <x:c r="D306" s="80" t="str">
        <x:v>경희대학교</x:v>
      </x:c>
      <x:c r="E306" s="80" t="str">
        <x:v>가</x:v>
      </x:c>
      <x:c r="F306" s="80" t="str">
        <x:v>일반전형</x:v>
      </x:c>
      <x:c r="G306" s="80" t="str">
        <x:v>약과학과</x:v>
      </x:c>
      <x:c r="H306" s="80" t="n">
        <x:v>9</x:v>
      </x:c>
      <x:c r="I306" s="80" t="n">
        <x:v>0</x:v>
      </x:c>
      <x:c r="J306" s="80" t="n">
        <x:v>9</x:v>
      </x:c>
      <x:c r="K306" s="81" t="n">
        <x:v>6.7</x:v>
      </x:c>
      <x:c r="L306" s="81" t="n">
        <x:v>8</x:v>
      </x:c>
      <x:c r="M306" s="81" t="n">
        <x:v>561.82</x:v>
      </x:c>
      <x:c r="N306" s="81" t="n">
        <x:v>561.1</x:v>
      </x:c>
      <x:c r="O306" s="81" t="n">
        <x:v>800</x:v>
      </x:c>
      <x:c r="P306" s="81" t="n">
        <x:v>85</x:v>
      </x:c>
      <x:c r="Q306" s="81" t="n">
        <x:v>95</x:v>
      </x:c>
      <x:c r="R306" s="81" t="n">
        <x:v>90</x:v>
      </x:c>
      <x:c r="S306" s="81" t="n">
        <x:v>85</x:v>
      </x:c>
      <x:c r="T306" s="81" t="n">
        <x:v>2</x:v>
      </x:c>
      <x:c r="U306" s="81" t="n">
        <x:v>3</x:v>
      </x:c>
      <x:c r="V306" s="80"/>
      <x:c r="W306" s="81" t="n">
        <x:f>IF(COUNTA(P306:S306)=4,AVERAGE(P306:S306),"")</x:f>
        <x:v>88.75</x:v>
      </x:c>
      <x:c r="X306" s="81" t="n">
        <x:f>IF(V306&lt;&gt;"",V306,W306)</x:f>
        <x:v>88.75</x:v>
      </x:c>
      <x:c r="Y306" s="80" t="str">
        <x:v>파생 단순평균(참고)</x:v>
      </x:c>
      <x:c r="Z306" s="81" t="n">
        <x:v>80</x:v>
      </x:c>
      <x:c r="AA306" s="81" t="n">
        <x:f>IF(X306&lt;&gt;"",Z306-X306,"")</x:f>
        <x:v>-8.75</x:v>
      </x:c>
      <x:c r="AB306" s="80" t="str">
        <x:f>IF(AA306="","",IF(AA306&gt;=5,"안정",IF(AA306&gt;=1,"적정",IF(AA306&gt;=-2,"소신","상향"))))</x:f>
        <x:v>상향</x:v>
      </x:c>
      <x:c r="AC306" s="82" t="n">
        <x:v>0</x:v>
      </x:c>
      <x:c r="AD306" s="82" t="n">
        <x:v>100</x:v>
      </x:c>
      <x:c r="AE306" s="82" t="n">
        <x:v>0</x:v>
      </x:c>
      <x:c r="AF306" s="80" t="str">
        <x:v>B: 공식 과목별 70% 백분위 → 단순평균 파생</x:v>
      </x:c>
      <x:c r="AG306" s="80" t="str">
        <x:v>https://www.adiga.kr/ucp/uvt/uni/univDetailSelection.do?menuId=PCUVTINF2000&amp;searchSyr=2026&amp;unvCd=0000066</x:v>
      </x:c>
    </x:row>
    <x:row r="307">
      <x:c r="A307" s="80" t="n">
        <x:v>2025</x:v>
      </x:c>
      <x:c r="B307" s="80" t="str">
        <x:v>서울특별시</x:v>
      </x:c>
      <x:c r="C307" s="80" t="str">
        <x:v>사립</x:v>
      </x:c>
      <x:c r="D307" s="80" t="str">
        <x:v>경희대학교</x:v>
      </x:c>
      <x:c r="E307" s="80" t="str">
        <x:v>가</x:v>
      </x:c>
      <x:c r="F307" s="80" t="str">
        <x:v>일반전형</x:v>
      </x:c>
      <x:c r="G307" s="80" t="str">
        <x:v>간호학과</x:v>
      </x:c>
      <x:c r="H307" s="80" t="n">
        <x:v>37</x:v>
      </x:c>
      <x:c r="I307" s="80" t="n">
        <x:v>1</x:v>
      </x:c>
      <x:c r="J307" s="80" t="n">
        <x:v>38</x:v>
      </x:c>
      <x:c r="K307" s="81" t="n">
        <x:v>5.1</x:v>
      </x:c>
      <x:c r="L307" s="81" t="n">
        <x:v>41</x:v>
      </x:c>
      <x:c r="M307" s="81" t="n">
        <x:v>555.7</x:v>
      </x:c>
      <x:c r="N307" s="81" t="n">
        <x:v>555.26</x:v>
      </x:c>
      <x:c r="O307" s="81" t="n">
        <x:v>800</x:v>
      </x:c>
      <x:c r="P307" s="81" t="n">
        <x:v>83</x:v>
      </x:c>
      <x:c r="Q307" s="81" t="n">
        <x:v>92</x:v>
      </x:c>
      <x:c r="R307" s="81" t="n">
        <x:v>87</x:v>
      </x:c>
      <x:c r="S307" s="81" t="n">
        <x:v>85</x:v>
      </x:c>
      <x:c r="T307" s="81" t="n">
        <x:v>2</x:v>
      </x:c>
      <x:c r="U307" s="81" t="n">
        <x:v>2</x:v>
      </x:c>
      <x:c r="V307" s="80"/>
      <x:c r="W307" s="81" t="n">
        <x:f>IF(COUNTA(P307:S307)=4,AVERAGE(P307:S307),"")</x:f>
        <x:v>86.75</x:v>
      </x:c>
      <x:c r="X307" s="81" t="n">
        <x:f>IF(V307&lt;&gt;"",V307,W307)</x:f>
        <x:v>86.75</x:v>
      </x:c>
      <x:c r="Y307" s="80" t="str">
        <x:v>파생 단순평균(참고)</x:v>
      </x:c>
      <x:c r="Z307" s="81" t="n">
        <x:v>80</x:v>
      </x:c>
      <x:c r="AA307" s="81" t="n">
        <x:f>IF(X307&lt;&gt;"",Z307-X307,"")</x:f>
        <x:v>-6.75</x:v>
      </x:c>
      <x:c r="AB307" s="80" t="str">
        <x:f>IF(AA307="","",IF(AA307&gt;=5,"안정",IF(AA307&gt;=1,"적정",IF(AA307&gt;=-2,"소신","상향"))))</x:f>
        <x:v>상향</x:v>
      </x:c>
      <x:c r="AC307" s="82" t="n">
        <x:v>0</x:v>
      </x:c>
      <x:c r="AD307" s="82" t="n">
        <x:v>97.3</x:v>
      </x:c>
      <x:c r="AE307" s="82" t="n">
        <x:v>2.7</x:v>
      </x:c>
      <x:c r="AF307" s="80" t="str">
        <x:v>B: 공식 과목별 70% 백분위 → 단순평균 파생</x:v>
      </x:c>
      <x:c r="AG307" s="80" t="str">
        <x:v>https://www.adiga.kr/ucp/uvt/uni/univDetailSelection.do?menuId=PCUVTINF2000&amp;searchSyr=2026&amp;unvCd=0000066</x:v>
      </x:c>
    </x:row>
    <x:row r="308">
      <x:c r="A308" s="80" t="n">
        <x:v>2025</x:v>
      </x:c>
      <x:c r="B308" s="80" t="str">
        <x:v>서울특별시</x:v>
      </x:c>
      <x:c r="C308" s="80" t="str">
        <x:v>사립</x:v>
      </x:c>
      <x:c r="D308" s="80" t="str">
        <x:v>경희대학교</x:v>
      </x:c>
      <x:c r="E308" s="80" t="str">
        <x:v>나</x:v>
      </x:c>
      <x:c r="F308" s="80" t="str">
        <x:v>일반전형</x:v>
      </x:c>
      <x:c r="G308" s="80" t="str">
        <x:v>국제학과</x:v>
      </x:c>
      <x:c r="H308" s="80" t="n">
        <x:v>63</x:v>
      </x:c>
      <x:c r="I308" s="80" t="n">
        <x:v>0</x:v>
      </x:c>
      <x:c r="J308" s="80" t="n">
        <x:v>63</x:v>
      </x:c>
      <x:c r="K308" s="81" t="n">
        <x:v>3.5</x:v>
      </x:c>
      <x:c r="L308" s="81" t="n">
        <x:v>44</x:v>
      </x:c>
      <x:c r="M308" s="81" t="n">
        <x:v>544.24</x:v>
      </x:c>
      <x:c r="N308" s="81" t="n">
        <x:v>543.56</x:v>
      </x:c>
      <x:c r="O308" s="81" t="n">
        <x:v>800</x:v>
      </x:c>
      <x:c r="P308" s="81" t="n">
        <x:v>89</x:v>
      </x:c>
      <x:c r="Q308" s="81" t="n">
        <x:v>85</x:v>
      </x:c>
      <x:c r="R308" s="81" t="n">
        <x:v>87</x:v>
      </x:c>
      <x:c r="S308" s="81" t="n">
        <x:v>80</x:v>
      </x:c>
      <x:c r="T308" s="81" t="n">
        <x:v>2</x:v>
      </x:c>
      <x:c r="U308" s="81" t="n">
        <x:v>2</x:v>
      </x:c>
      <x:c r="V308" s="80"/>
      <x:c r="W308" s="81" t="n">
        <x:f>IF(COUNTA(P308:S308)=4,AVERAGE(P308:S308),"")</x:f>
        <x:v>85.25</x:v>
      </x:c>
      <x:c r="X308" s="81" t="n">
        <x:f>IF(V308&lt;&gt;"",V308,W308)</x:f>
        <x:v>85.25</x:v>
      </x:c>
      <x:c r="Y308" s="80" t="str">
        <x:v>파생 단순평균(참고)</x:v>
      </x:c>
      <x:c r="Z308" s="81" t="n">
        <x:v>80</x:v>
      </x:c>
      <x:c r="AA308" s="81" t="n">
        <x:f>IF(X308&lt;&gt;"",Z308-X308,"")</x:f>
        <x:v>-5.25</x:v>
      </x:c>
      <x:c r="AB308" s="80" t="str">
        <x:f>IF(AA308="","",IF(AA308&gt;=5,"안정",IF(AA308&gt;=1,"적정",IF(AA308&gt;=-2,"소신","상향"))))</x:f>
        <x:v>상향</x:v>
      </x:c>
      <x:c r="AC308" s="82" t="n">
        <x:v>22.2</x:v>
      </x:c>
      <x:c r="AD308" s="82" t="n">
        <x:v>73</x:v>
      </x:c>
      <x:c r="AE308" s="82" t="n">
        <x:v>4.8</x:v>
      </x:c>
      <x:c r="AF308" s="80" t="str">
        <x:v>B: 공식 과목별 70% 백분위 → 단순평균 파생</x:v>
      </x:c>
      <x:c r="AG308" s="80" t="str">
        <x:v>https://www.adiga.kr/ucp/uvt/uni/univDetailSelection.do?menuId=PCUVTINF2000&amp;searchSyr=2026&amp;unvCd=0000066</x:v>
      </x:c>
    </x:row>
    <x:row r="309">
      <x:c r="A309" s="80" t="n">
        <x:v>2025</x:v>
      </x:c>
      <x:c r="B309" s="80" t="str">
        <x:v>서울특별시</x:v>
      </x:c>
      <x:c r="C309" s="80" t="str">
        <x:v>사립</x:v>
      </x:c>
      <x:c r="D309" s="80" t="str">
        <x:v>경희대학교</x:v>
      </x:c>
      <x:c r="E309" s="80" t="str">
        <x:v>나</x:v>
      </x:c>
      <x:c r="F309" s="80" t="str">
        <x:v>일반전형</x:v>
      </x:c>
      <x:c r="G309" s="80" t="str">
        <x:v>한의예과(인문)</x:v>
      </x:c>
      <x:c r="H309" s="80" t="n">
        <x:v>13</x:v>
      </x:c>
      <x:c r="I309" s="80" t="n">
        <x:v>1</x:v>
      </x:c>
      <x:c r="J309" s="80" t="n">
        <x:v>14</x:v>
      </x:c>
      <x:c r="K309" s="81" t="n">
        <x:v>5.5</x:v>
      </x:c>
      <x:c r="L309" s="81" t="n">
        <x:v>0</x:v>
      </x:c>
      <x:c r="M309" s="81" t="n">
        <x:v>590.02</x:v>
      </x:c>
      <x:c r="N309" s="81" t="n">
        <x:v>589.93</x:v>
      </x:c>
      <x:c r="O309" s="81" t="n">
        <x:v>800</x:v>
      </x:c>
      <x:c r="P309" s="81" t="n">
        <x:v>100</x:v>
      </x:c>
      <x:c r="Q309" s="81" t="n">
        <x:v>96</x:v>
      </x:c>
      <x:c r="R309" s="81" t="n">
        <x:v>99</x:v>
      </x:c>
      <x:c r="S309" s="81" t="n">
        <x:v>98</x:v>
      </x:c>
      <x:c r="T309" s="81" t="n">
        <x:v>1</x:v>
      </x:c>
      <x:c r="U309" s="81" t="n">
        <x:v>1</x:v>
      </x:c>
      <x:c r="V309" s="80"/>
      <x:c r="W309" s="81" t="n">
        <x:f>IF(COUNTA(P309:S309)=4,AVERAGE(P309:S309),"")</x:f>
        <x:v>98.25</x:v>
      </x:c>
      <x:c r="X309" s="81" t="n">
        <x:f>IF(V309&lt;&gt;"",V309,W309)</x:f>
        <x:v>98.25</x:v>
      </x:c>
      <x:c r="Y309" s="80" t="str">
        <x:v>파생 단순평균(참고)</x:v>
      </x:c>
      <x:c r="Z309" s="81" t="n">
        <x:v>80</x:v>
      </x:c>
      <x:c r="AA309" s="81" t="n">
        <x:f>IF(X309&lt;&gt;"",Z309-X309,"")</x:f>
        <x:v>-18.25</x:v>
      </x:c>
      <x:c r="AB309" s="80" t="str">
        <x:f>IF(AA309="","",IF(AA309&gt;=5,"안정",IF(AA309&gt;=1,"적정",IF(AA309&gt;=-2,"소신","상향"))))</x:f>
        <x:v>상향</x:v>
      </x:c>
      <x:c r="AC309" s="82" t="n">
        <x:v>50</x:v>
      </x:c>
      <x:c r="AD309" s="82" t="n">
        <x:v>50</x:v>
      </x:c>
      <x:c r="AE309" s="82" t="n">
        <x:v>0</x:v>
      </x:c>
      <x:c r="AF309" s="80" t="str">
        <x:v>B: 공식 과목별 70% 백분위 → 단순평균 파생</x:v>
      </x:c>
      <x:c r="AG309" s="80" t="str">
        <x:v>https://www.adiga.kr/ucp/uvt/uni/univDetailSelection.do?menuId=PCUVTINF2000&amp;searchSyr=2026&amp;unvCd=0000066</x:v>
      </x:c>
    </x:row>
    <x:row r="310">
      <x:c r="A310" s="80" t="n">
        <x:v>2025</x:v>
      </x:c>
      <x:c r="B310" s="80" t="str">
        <x:v>서울특별시</x:v>
      </x:c>
      <x:c r="C310" s="80" t="str">
        <x:v>사립</x:v>
      </x:c>
      <x:c r="D310" s="80" t="str">
        <x:v>경희대학교</x:v>
      </x:c>
      <x:c r="E310" s="80" t="str">
        <x:v>나</x:v>
      </x:c>
      <x:c r="F310" s="80" t="str">
        <x:v>일반전형</x:v>
      </x:c>
      <x:c r="G310" s="80" t="str">
        <x:v>기계공학과</x:v>
      </x:c>
      <x:c r="H310" s="80" t="n">
        <x:v>69</x:v>
      </x:c>
      <x:c r="I310" s="80" t="n">
        <x:v>0</x:v>
      </x:c>
      <x:c r="J310" s="80" t="n">
        <x:v>69</x:v>
      </x:c>
      <x:c r="K310" s="81" t="n">
        <x:v>4.2</x:v>
      </x:c>
      <x:c r="L310" s="81" t="n">
        <x:v>113</x:v>
      </x:c>
      <x:c r="M310" s="81" t="n">
        <x:v>557.61</x:v>
      </x:c>
      <x:c r="N310" s="81" t="n">
        <x:v>556.44</x:v>
      </x:c>
      <x:c r="O310" s="81" t="n">
        <x:v>800</x:v>
      </x:c>
      <x:c r="P310" s="81" t="n">
        <x:v>85</x:v>
      </x:c>
      <x:c r="Q310" s="81" t="n">
        <x:v>92</x:v>
      </x:c>
      <x:c r="R310" s="81" t="n">
        <x:v>83</x:v>
      </x:c>
      <x:c r="S310" s="81" t="n">
        <x:v>85</x:v>
      </x:c>
      <x:c r="T310" s="81" t="n">
        <x:v>2</x:v>
      </x:c>
      <x:c r="U310" s="81" t="n">
        <x:v>2</x:v>
      </x:c>
      <x:c r="V310" s="80"/>
      <x:c r="W310" s="81" t="n">
        <x:f>IF(COUNTA(P310:S310)=4,AVERAGE(P310:S310),"")</x:f>
        <x:v>86.25</x:v>
      </x:c>
      <x:c r="X310" s="81" t="n">
        <x:f>IF(V310&lt;&gt;"",V310,W310)</x:f>
        <x:v>86.25</x:v>
      </x:c>
      <x:c r="Y310" s="80" t="str">
        <x:v>파생 단순평균(참고)</x:v>
      </x:c>
      <x:c r="Z310" s="81" t="n">
        <x:v>80</x:v>
      </x:c>
      <x:c r="AA310" s="81" t="n">
        <x:f>IF(X310&lt;&gt;"",Z310-X310,"")</x:f>
        <x:v>-6.25</x:v>
      </x:c>
      <x:c r="AB310" s="80" t="str">
        <x:f>IF(AA310="","",IF(AA310&gt;=5,"안정",IF(AA310&gt;=1,"적정",IF(AA310&gt;=-2,"소신","상향"))))</x:f>
        <x:v>상향</x:v>
      </x:c>
      <x:c r="AC310" s="82" t="n">
        <x:v>0</x:v>
      </x:c>
      <x:c r="AD310" s="82" t="n">
        <x:v>95.7</x:v>
      </x:c>
      <x:c r="AE310" s="82" t="n">
        <x:v>4.3</x:v>
      </x:c>
      <x:c r="AF310" s="80" t="str">
        <x:v>B: 공식 과목별 70% 백분위 → 단순평균 파생</x:v>
      </x:c>
      <x:c r="AG310" s="80" t="str">
        <x:v>https://www.adiga.kr/ucp/uvt/uni/univDetailSelection.do?menuId=PCUVTINF2000&amp;searchSyr=2026&amp;unvCd=0000066</x:v>
      </x:c>
    </x:row>
    <x:row r="311">
      <x:c r="A311" s="80" t="n">
        <x:v>2025</x:v>
      </x:c>
      <x:c r="B311" s="80" t="str">
        <x:v>서울특별시</x:v>
      </x:c>
      <x:c r="C311" s="80" t="str">
        <x:v>사립</x:v>
      </x:c>
      <x:c r="D311" s="80" t="str">
        <x:v>경희대학교</x:v>
      </x:c>
      <x:c r="E311" s="80" t="str">
        <x:v>나</x:v>
      </x:c>
      <x:c r="F311" s="80" t="str">
        <x:v>일반전형</x:v>
      </x:c>
      <x:c r="G311" s="80" t="str">
        <x:v>산업경영공학과</x:v>
      </x:c>
      <x:c r="H311" s="80" t="n">
        <x:v>35</x:v>
      </x:c>
      <x:c r="I311" s="80" t="n">
        <x:v>0</x:v>
      </x:c>
      <x:c r="J311" s="80" t="n">
        <x:v>35</x:v>
      </x:c>
      <x:c r="K311" s="81" t="n">
        <x:v>4.2</x:v>
      </x:c>
      <x:c r="L311" s="81" t="n">
        <x:v>36</x:v>
      </x:c>
      <x:c r="M311" s="81" t="n">
        <x:v>557.12</x:v>
      </x:c>
      <x:c r="N311" s="81" t="n">
        <x:v>556.61</x:v>
      </x:c>
      <x:c r="O311" s="81" t="n">
        <x:v>800</x:v>
      </x:c>
      <x:c r="P311" s="81" t="n">
        <x:v>85</x:v>
      </x:c>
      <x:c r="Q311" s="81" t="n">
        <x:v>92</x:v>
      </x:c>
      <x:c r="R311" s="81" t="n">
        <x:v>85</x:v>
      </x:c>
      <x:c r="S311" s="81" t="n">
        <x:v>85</x:v>
      </x:c>
      <x:c r="T311" s="81" t="n">
        <x:v>2</x:v>
      </x:c>
      <x:c r="U311" s="81" t="n">
        <x:v>2</x:v>
      </x:c>
      <x:c r="V311" s="80"/>
      <x:c r="W311" s="81" t="n">
        <x:f>IF(COUNTA(P311:S311)=4,AVERAGE(P311:S311),"")</x:f>
        <x:v>86.75</x:v>
      </x:c>
      <x:c r="X311" s="81" t="n">
        <x:f>IF(V311&lt;&gt;"",V311,W311)</x:f>
        <x:v>86.75</x:v>
      </x:c>
      <x:c r="Y311" s="80" t="str">
        <x:v>파생 단순평균(참고)</x:v>
      </x:c>
      <x:c r="Z311" s="81" t="n">
        <x:v>80</x:v>
      </x:c>
      <x:c r="AA311" s="81" t="n">
        <x:f>IF(X311&lt;&gt;"",Z311-X311,"")</x:f>
        <x:v>-6.75</x:v>
      </x:c>
      <x:c r="AB311" s="80" t="str">
        <x:f>IF(AA311="","",IF(AA311&gt;=5,"안정",IF(AA311&gt;=1,"적정",IF(AA311&gt;=-2,"소신","상향"))))</x:f>
        <x:v>상향</x:v>
      </x:c>
      <x:c r="AC311" s="82" t="n">
        <x:v>0</x:v>
      </x:c>
      <x:c r="AD311" s="82" t="n">
        <x:v>94.3</x:v>
      </x:c>
      <x:c r="AE311" s="82" t="n">
        <x:v>5.7</x:v>
      </x:c>
      <x:c r="AF311" s="80" t="str">
        <x:v>B: 공식 과목별 70% 백분위 → 단순평균 파생</x:v>
      </x:c>
      <x:c r="AG311" s="80" t="str">
        <x:v>https://www.adiga.kr/ucp/uvt/uni/univDetailSelection.do?menuId=PCUVTINF2000&amp;searchSyr=2026&amp;unvCd=0000066</x:v>
      </x:c>
    </x:row>
    <x:row r="312">
      <x:c r="A312" s="80" t="n">
        <x:v>2025</x:v>
      </x:c>
      <x:c r="B312" s="80" t="str">
        <x:v>서울특별시</x:v>
      </x:c>
      <x:c r="C312" s="80" t="str">
        <x:v>사립</x:v>
      </x:c>
      <x:c r="D312" s="80" t="str">
        <x:v>경희대학교</x:v>
      </x:c>
      <x:c r="E312" s="80" t="str">
        <x:v>나</x:v>
      </x:c>
      <x:c r="F312" s="80" t="str">
        <x:v>일반전형</x:v>
      </x:c>
      <x:c r="G312" s="80" t="str">
        <x:v>원자력공학과</x:v>
      </x:c>
      <x:c r="H312" s="80" t="n">
        <x:v>28</x:v>
      </x:c>
      <x:c r="I312" s="80" t="n">
        <x:v>0</x:v>
      </x:c>
      <x:c r="J312" s="80" t="n">
        <x:v>28</x:v>
      </x:c>
      <x:c r="K312" s="81" t="n">
        <x:v>4.4</x:v>
      </x:c>
      <x:c r="L312" s="81" t="n">
        <x:v>28</x:v>
      </x:c>
      <x:c r="M312" s="81" t="n">
        <x:v>555.67</x:v>
      </x:c>
      <x:c r="N312" s="81" t="n">
        <x:v>555.24</x:v>
      </x:c>
      <x:c r="O312" s="81" t="n">
        <x:v>800</x:v>
      </x:c>
      <x:c r="P312" s="81" t="n">
        <x:v>86</x:v>
      </x:c>
      <x:c r="Q312" s="81" t="n">
        <x:v>90</x:v>
      </x:c>
      <x:c r="R312" s="81" t="n">
        <x:v>88</x:v>
      </x:c>
      <x:c r="S312" s="81" t="n">
        <x:v>85</x:v>
      </x:c>
      <x:c r="T312" s="81" t="n">
        <x:v>2</x:v>
      </x:c>
      <x:c r="U312" s="81" t="n">
        <x:v>2</x:v>
      </x:c>
      <x:c r="V312" s="80"/>
      <x:c r="W312" s="81" t="n">
        <x:f>IF(COUNTA(P312:S312)=4,AVERAGE(P312:S312),"")</x:f>
        <x:v>87.25</x:v>
      </x:c>
      <x:c r="X312" s="81" t="n">
        <x:f>IF(V312&lt;&gt;"",V312,W312)</x:f>
        <x:v>87.25</x:v>
      </x:c>
      <x:c r="Y312" s="80" t="str">
        <x:v>파생 단순평균(참고)</x:v>
      </x:c>
      <x:c r="Z312" s="81" t="n">
        <x:v>80</x:v>
      </x:c>
      <x:c r="AA312" s="81" t="n">
        <x:f>IF(X312&lt;&gt;"",Z312-X312,"")</x:f>
        <x:v>-7.25</x:v>
      </x:c>
      <x:c r="AB312" s="80" t="str">
        <x:f>IF(AA312="","",IF(AA312&gt;=5,"안정",IF(AA312&gt;=1,"적정",IF(AA312&gt;=-2,"소신","상향"))))</x:f>
        <x:v>상향</x:v>
      </x:c>
      <x:c r="AC312" s="82" t="n">
        <x:v>0</x:v>
      </x:c>
      <x:c r="AD312" s="82" t="n">
        <x:v>100</x:v>
      </x:c>
      <x:c r="AE312" s="82" t="n">
        <x:v>0</x:v>
      </x:c>
      <x:c r="AF312" s="80" t="str">
        <x:v>B: 공식 과목별 70% 백분위 → 단순평균 파생</x:v>
      </x:c>
      <x:c r="AG312" s="80" t="str">
        <x:v>https://www.adiga.kr/ucp/uvt/uni/univDetailSelection.do?menuId=PCUVTINF2000&amp;searchSyr=2026&amp;unvCd=0000066</x:v>
      </x:c>
    </x:row>
    <x:row r="313">
      <x:c r="A313" s="80" t="n">
        <x:v>2025</x:v>
      </x:c>
      <x:c r="B313" s="80" t="str">
        <x:v>서울특별시</x:v>
      </x:c>
      <x:c r="C313" s="80" t="str">
        <x:v>사립</x:v>
      </x:c>
      <x:c r="D313" s="80" t="str">
        <x:v>경희대학교</x:v>
      </x:c>
      <x:c r="E313" s="80" t="str">
        <x:v>나</x:v>
      </x:c>
      <x:c r="F313" s="80" t="str">
        <x:v>일반전형</x:v>
      </x:c>
      <x:c r="G313" s="80" t="str">
        <x:v>화학공학과</x:v>
      </x:c>
      <x:c r="H313" s="80" t="n">
        <x:v>31</x:v>
      </x:c>
      <x:c r="I313" s="80" t="n">
        <x:v>0</x:v>
      </x:c>
      <x:c r="J313" s="80" t="n">
        <x:v>31</x:v>
      </x:c>
      <x:c r="K313" s="81" t="n">
        <x:v>3.8</x:v>
      </x:c>
      <x:c r="L313" s="81" t="n">
        <x:v>32</x:v>
      </x:c>
      <x:c r="M313" s="81" t="n">
        <x:v>559.02</x:v>
      </x:c>
      <x:c r="N313" s="81" t="n">
        <x:v>556.64</x:v>
      </x:c>
      <x:c r="O313" s="81" t="n">
        <x:v>800</x:v>
      </x:c>
      <x:c r="P313" s="81" t="n">
        <x:v>86</x:v>
      </x:c>
      <x:c r="Q313" s="81" t="n">
        <x:v>93</x:v>
      </x:c>
      <x:c r="R313" s="81" t="n">
        <x:v>83</x:v>
      </x:c>
      <x:c r="S313" s="81" t="n">
        <x:v>90</x:v>
      </x:c>
      <x:c r="T313" s="81" t="n">
        <x:v>2</x:v>
      </x:c>
      <x:c r="U313" s="81" t="n">
        <x:v>2</x:v>
      </x:c>
      <x:c r="V313" s="80"/>
      <x:c r="W313" s="81" t="n">
        <x:f>IF(COUNTA(P313:S313)=4,AVERAGE(P313:S313),"")</x:f>
        <x:v>88</x:v>
      </x:c>
      <x:c r="X313" s="81" t="n">
        <x:f>IF(V313&lt;&gt;"",V313,W313)</x:f>
        <x:v>88</x:v>
      </x:c>
      <x:c r="Y313" s="80" t="str">
        <x:v>파생 단순평균(참고)</x:v>
      </x:c>
      <x:c r="Z313" s="81" t="n">
        <x:v>80</x:v>
      </x:c>
      <x:c r="AA313" s="81" t="n">
        <x:f>IF(X313&lt;&gt;"",Z313-X313,"")</x:f>
        <x:v>-8</x:v>
      </x:c>
      <x:c r="AB313" s="80" t="str">
        <x:f>IF(AA313="","",IF(AA313&gt;=5,"안정",IF(AA313&gt;=1,"적정",IF(AA313&gt;=-2,"소신","상향"))))</x:f>
        <x:v>상향</x:v>
      </x:c>
      <x:c r="AC313" s="82" t="n">
        <x:v>0</x:v>
      </x:c>
      <x:c r="AD313" s="82" t="n">
        <x:v>93.1</x:v>
      </x:c>
      <x:c r="AE313" s="82" t="n">
        <x:v>6.9</x:v>
      </x:c>
      <x:c r="AF313" s="80" t="str">
        <x:v>B: 공식 과목별 70% 백분위 → 단순평균 파생</x:v>
      </x:c>
      <x:c r="AG313" s="80" t="str">
        <x:v>https://www.adiga.kr/ucp/uvt/uni/univDetailSelection.do?menuId=PCUVTINF2000&amp;searchSyr=2026&amp;unvCd=0000066</x:v>
      </x:c>
    </x:row>
    <x:row r="314">
      <x:c r="A314" s="80" t="n">
        <x:v>2025</x:v>
      </x:c>
      <x:c r="B314" s="80" t="str">
        <x:v>서울특별시</x:v>
      </x:c>
      <x:c r="C314" s="80" t="str">
        <x:v>사립</x:v>
      </x:c>
      <x:c r="D314" s="80" t="str">
        <x:v>경희대학교</x:v>
      </x:c>
      <x:c r="E314" s="80" t="str">
        <x:v>나</x:v>
      </x:c>
      <x:c r="F314" s="80" t="str">
        <x:v>일반전형</x:v>
      </x:c>
      <x:c r="G314" s="80" t="str">
        <x:v>신소재공학과</x:v>
      </x:c>
      <x:c r="H314" s="80" t="n">
        <x:v>35</x:v>
      </x:c>
      <x:c r="I314" s="80" t="n">
        <x:v>1</x:v>
      </x:c>
      <x:c r="J314" s="80" t="n">
        <x:v>36</x:v>
      </x:c>
      <x:c r="K314" s="81" t="n">
        <x:v>4.2</x:v>
      </x:c>
      <x:c r="L314" s="81" t="n">
        <x:v>38</x:v>
      </x:c>
      <x:c r="M314" s="81" t="n">
        <x:v>559.24</x:v>
      </x:c>
      <x:c r="N314" s="81" t="n">
        <x:v>558.02</x:v>
      </x:c>
      <x:c r="O314" s="81" t="n">
        <x:v>800</x:v>
      </x:c>
      <x:c r="P314" s="81" t="n">
        <x:v>86</x:v>
      </x:c>
      <x:c r="Q314" s="81" t="n">
        <x:v>92</x:v>
      </x:c>
      <x:c r="R314" s="81" t="n">
        <x:v>88</x:v>
      </x:c>
      <x:c r="S314" s="81" t="n">
        <x:v>85</x:v>
      </x:c>
      <x:c r="T314" s="81" t="n">
        <x:v>2</x:v>
      </x:c>
      <x:c r="U314" s="81" t="n">
        <x:v>2</x:v>
      </x:c>
      <x:c r="V314" s="80"/>
      <x:c r="W314" s="81" t="n">
        <x:f>IF(COUNTA(P314:S314)=4,AVERAGE(P314:S314),"")</x:f>
        <x:v>87.75</x:v>
      </x:c>
      <x:c r="X314" s="81" t="n">
        <x:f>IF(V314&lt;&gt;"",V314,W314)</x:f>
        <x:v>87.75</x:v>
      </x:c>
      <x:c r="Y314" s="80" t="str">
        <x:v>파생 단순평균(참고)</x:v>
      </x:c>
      <x:c r="Z314" s="81" t="n">
        <x:v>80</x:v>
      </x:c>
      <x:c r="AA314" s="81" t="n">
        <x:f>IF(X314&lt;&gt;"",Z314-X314,"")</x:f>
        <x:v>-7.75</x:v>
      </x:c>
      <x:c r="AB314" s="80" t="str">
        <x:f>IF(AA314="","",IF(AA314&gt;=5,"안정",IF(AA314&gt;=1,"적정",IF(AA314&gt;=-2,"소신","상향"))))</x:f>
        <x:v>상향</x:v>
      </x:c>
      <x:c r="AC314" s="82" t="n">
        <x:v>0</x:v>
      </x:c>
      <x:c r="AD314" s="82" t="n">
        <x:v>100</x:v>
      </x:c>
      <x:c r="AE314" s="82" t="n">
        <x:v>0</x:v>
      </x:c>
      <x:c r="AF314" s="80" t="str">
        <x:v>B: 공식 과목별 70% 백분위 → 단순평균 파생</x:v>
      </x:c>
      <x:c r="AG314" s="80" t="str">
        <x:v>https://www.adiga.kr/ucp/uvt/uni/univDetailSelection.do?menuId=PCUVTINF2000&amp;searchSyr=2026&amp;unvCd=0000066</x:v>
      </x:c>
    </x:row>
    <x:row r="315">
      <x:c r="A315" s="80" t="n">
        <x:v>2025</x:v>
      </x:c>
      <x:c r="B315" s="80" t="str">
        <x:v>서울특별시</x:v>
      </x:c>
      <x:c r="C315" s="80" t="str">
        <x:v>사립</x:v>
      </x:c>
      <x:c r="D315" s="80" t="str">
        <x:v>경희대학교</x:v>
      </x:c>
      <x:c r="E315" s="80" t="str">
        <x:v>나</x:v>
      </x:c>
      <x:c r="F315" s="80" t="str">
        <x:v>일반전형</x:v>
      </x:c>
      <x:c r="G315" s="80" t="str">
        <x:v>사회기반시스템공학과</x:v>
      </x:c>
      <x:c r="H315" s="80" t="n">
        <x:v>36</x:v>
      </x:c>
      <x:c r="I315" s="80" t="n">
        <x:v>0</x:v>
      </x:c>
      <x:c r="J315" s="80" t="n">
        <x:v>36</x:v>
      </x:c>
      <x:c r="K315" s="81" t="n">
        <x:v>5.5</x:v>
      </x:c>
      <x:c r="L315" s="81" t="n">
        <x:v>14</x:v>
      </x:c>
      <x:c r="M315" s="81" t="n">
        <x:v>554.19</x:v>
      </x:c>
      <x:c r="N315" s="81" t="n">
        <x:v>553.7</x:v>
      </x:c>
      <x:c r="O315" s="81" t="n">
        <x:v>800</x:v>
      </x:c>
      <x:c r="P315" s="81" t="n">
        <x:v>79</x:v>
      </x:c>
      <x:c r="Q315" s="81" t="n">
        <x:v>92</x:v>
      </x:c>
      <x:c r="R315" s="81" t="n">
        <x:v>88</x:v>
      </x:c>
      <x:c r="S315" s="81" t="n">
        <x:v>88</x:v>
      </x:c>
      <x:c r="T315" s="81" t="n">
        <x:v>2</x:v>
      </x:c>
      <x:c r="U315" s="81" t="n">
        <x:v>2</x:v>
      </x:c>
      <x:c r="V315" s="80"/>
      <x:c r="W315" s="81" t="n">
        <x:f>IF(COUNTA(P315:S315)=4,AVERAGE(P315:S315),"")</x:f>
        <x:v>86.75</x:v>
      </x:c>
      <x:c r="X315" s="81" t="n">
        <x:f>IF(V315&lt;&gt;"",V315,W315)</x:f>
        <x:v>86.75</x:v>
      </x:c>
      <x:c r="Y315" s="80" t="str">
        <x:v>파생 단순평균(참고)</x:v>
      </x:c>
      <x:c r="Z315" s="81" t="n">
        <x:v>80</x:v>
      </x:c>
      <x:c r="AA315" s="81" t="n">
        <x:f>IF(X315&lt;&gt;"",Z315-X315,"")</x:f>
        <x:v>-6.75</x:v>
      </x:c>
      <x:c r="AB315" s="80" t="str">
        <x:f>IF(AA315="","",IF(AA315&gt;=5,"안정",IF(AA315&gt;=1,"적정",IF(AA315&gt;=-2,"소신","상향"))))</x:f>
        <x:v>상향</x:v>
      </x:c>
      <x:c r="AC315" s="82" t="n">
        <x:v>0</x:v>
      </x:c>
      <x:c r="AD315" s="82" t="n">
        <x:v>97.2</x:v>
      </x:c>
      <x:c r="AE315" s="82" t="n">
        <x:v>2.8</x:v>
      </x:c>
      <x:c r="AF315" s="80" t="str">
        <x:v>B: 공식 과목별 70% 백분위 → 단순평균 파생</x:v>
      </x:c>
      <x:c r="AG315" s="80" t="str">
        <x:v>https://www.adiga.kr/ucp/uvt/uni/univDetailSelection.do?menuId=PCUVTINF2000&amp;searchSyr=2026&amp;unvCd=0000066</x:v>
      </x:c>
    </x:row>
    <x:row r="316">
      <x:c r="A316" s="80" t="n">
        <x:v>2025</x:v>
      </x:c>
      <x:c r="B316" s="80" t="str">
        <x:v>서울특별시</x:v>
      </x:c>
      <x:c r="C316" s="80" t="str">
        <x:v>사립</x:v>
      </x:c>
      <x:c r="D316" s="80" t="str">
        <x:v>경희대학교</x:v>
      </x:c>
      <x:c r="E316" s="80" t="str">
        <x:v>나</x:v>
      </x:c>
      <x:c r="F316" s="80" t="str">
        <x:v>일반전형</x:v>
      </x:c>
      <x:c r="G316" s="80" t="str">
        <x:v>건축공학과</x:v>
      </x:c>
      <x:c r="H316" s="80" t="n">
        <x:v>36</x:v>
      </x:c>
      <x:c r="I316" s="80" t="n">
        <x:v>1</x:v>
      </x:c>
      <x:c r="J316" s="80" t="n">
        <x:v>37</x:v>
      </x:c>
      <x:c r="K316" s="81" t="n">
        <x:v>4.1</x:v>
      </x:c>
      <x:c r="L316" s="81" t="n">
        <x:v>30</x:v>
      </x:c>
      <x:c r="M316" s="81" t="n">
        <x:v>554.62</x:v>
      </x:c>
      <x:c r="N316" s="81" t="n">
        <x:v>554.1</x:v>
      </x:c>
      <x:c r="O316" s="81" t="n">
        <x:v>800</x:v>
      </x:c>
      <x:c r="P316" s="81" t="n">
        <x:v>83</x:v>
      </x:c>
      <x:c r="Q316" s="81" t="n">
        <x:v>90</x:v>
      </x:c>
      <x:c r="R316" s="81" t="n">
        <x:v>90</x:v>
      </x:c>
      <x:c r="S316" s="81" t="n">
        <x:v>83</x:v>
      </x:c>
      <x:c r="T316" s="81" t="n">
        <x:v>2</x:v>
      </x:c>
      <x:c r="U316" s="81" t="n">
        <x:v>2</x:v>
      </x:c>
      <x:c r="V316" s="80"/>
      <x:c r="W316" s="81" t="n">
        <x:f>IF(COUNTA(P316:S316)=4,AVERAGE(P316:S316),"")</x:f>
        <x:v>86.5</x:v>
      </x:c>
      <x:c r="X316" s="81" t="n">
        <x:f>IF(V316&lt;&gt;"",V316,W316)</x:f>
        <x:v>86.5</x:v>
      </x:c>
      <x:c r="Y316" s="80" t="str">
        <x:v>파생 단순평균(참고)</x:v>
      </x:c>
      <x:c r="Z316" s="81" t="n">
        <x:v>80</x:v>
      </x:c>
      <x:c r="AA316" s="81" t="n">
        <x:f>IF(X316&lt;&gt;"",Z316-X316,"")</x:f>
        <x:v>-6.5</x:v>
      </x:c>
      <x:c r="AB316" s="80" t="str">
        <x:f>IF(AA316="","",IF(AA316&gt;=5,"안정",IF(AA316&gt;=1,"적정",IF(AA316&gt;=-2,"소신","상향"))))</x:f>
        <x:v>상향</x:v>
      </x:c>
      <x:c r="AC316" s="82" t="n">
        <x:v>0</x:v>
      </x:c>
      <x:c r="AD316" s="82" t="n">
        <x:v>97.2</x:v>
      </x:c>
      <x:c r="AE316" s="82" t="n">
        <x:v>2.8</x:v>
      </x:c>
      <x:c r="AF316" s="80" t="str">
        <x:v>B: 공식 과목별 70% 백분위 → 단순평균 파생</x:v>
      </x:c>
      <x:c r="AG316" s="80" t="str">
        <x:v>https://www.adiga.kr/ucp/uvt/uni/univDetailSelection.do?menuId=PCUVTINF2000&amp;searchSyr=2026&amp;unvCd=0000066</x:v>
      </x:c>
    </x:row>
    <x:row r="317">
      <x:c r="A317" s="80" t="n">
        <x:v>2025</x:v>
      </x:c>
      <x:c r="B317" s="80" t="str">
        <x:v>서울특별시</x:v>
      </x:c>
      <x:c r="C317" s="80" t="str">
        <x:v>사립</x:v>
      </x:c>
      <x:c r="D317" s="80" t="str">
        <x:v>경희대학교</x:v>
      </x:c>
      <x:c r="E317" s="80" t="str">
        <x:v>나</x:v>
      </x:c>
      <x:c r="F317" s="80" t="str">
        <x:v>일반전형</x:v>
      </x:c>
      <x:c r="G317" s="80" t="str">
        <x:v>환경학및환경공학과</x:v>
      </x:c>
      <x:c r="H317" s="80" t="n">
        <x:v>23</x:v>
      </x:c>
      <x:c r="I317" s="80" t="n">
        <x:v>0</x:v>
      </x:c>
      <x:c r="J317" s="80" t="n">
        <x:v>23</x:v>
      </x:c>
      <x:c r="K317" s="81" t="n">
        <x:v>5.5</x:v>
      </x:c>
      <x:c r="L317" s="81" t="n">
        <x:v>10</x:v>
      </x:c>
      <x:c r="M317" s="81" t="n">
        <x:v>555</x:v>
      </x:c>
      <x:c r="N317" s="81" t="n">
        <x:v>554.71</x:v>
      </x:c>
      <x:c r="O317" s="81" t="n">
        <x:v>800</x:v>
      </x:c>
      <x:c r="P317" s="81" t="n">
        <x:v>83</x:v>
      </x:c>
      <x:c r="Q317" s="81" t="n">
        <x:v>92</x:v>
      </x:c>
      <x:c r="R317" s="81" t="n">
        <x:v>84</x:v>
      </x:c>
      <x:c r="S317" s="81" t="n">
        <x:v>88</x:v>
      </x:c>
      <x:c r="T317" s="81" t="n">
        <x:v>2</x:v>
      </x:c>
      <x:c r="U317" s="81" t="n">
        <x:v>2</x:v>
      </x:c>
      <x:c r="V317" s="80"/>
      <x:c r="W317" s="81" t="n">
        <x:f>IF(COUNTA(P317:S317)=4,AVERAGE(P317:S317),"")</x:f>
        <x:v>86.75</x:v>
      </x:c>
      <x:c r="X317" s="81" t="n">
        <x:f>IF(V317&lt;&gt;"",V317,W317)</x:f>
        <x:v>86.75</x:v>
      </x:c>
      <x:c r="Y317" s="80" t="str">
        <x:v>파생 단순평균(참고)</x:v>
      </x:c>
      <x:c r="Z317" s="81" t="n">
        <x:v>80</x:v>
      </x:c>
      <x:c r="AA317" s="81" t="n">
        <x:f>IF(X317&lt;&gt;"",Z317-X317,"")</x:f>
        <x:v>-6.75</x:v>
      </x:c>
      <x:c r="AB317" s="80" t="str">
        <x:f>IF(AA317="","",IF(AA317&gt;=5,"안정",IF(AA317&gt;=1,"적정",IF(AA317&gt;=-2,"소신","상향"))))</x:f>
        <x:v>상향</x:v>
      </x:c>
      <x:c r="AC317" s="82" t="n">
        <x:v>0</x:v>
      </x:c>
      <x:c r="AD317" s="82" t="n">
        <x:v>100</x:v>
      </x:c>
      <x:c r="AE317" s="82" t="n">
        <x:v>0</x:v>
      </x:c>
      <x:c r="AF317" s="80" t="str">
        <x:v>B: 공식 과목별 70% 백분위 → 단순평균 파생</x:v>
      </x:c>
      <x:c r="AG317" s="80" t="str">
        <x:v>https://www.adiga.kr/ucp/uvt/uni/univDetailSelection.do?menuId=PCUVTINF2000&amp;searchSyr=2026&amp;unvCd=0000066</x:v>
      </x:c>
    </x:row>
    <x:row r="318">
      <x:c r="A318" s="80" t="n">
        <x:v>2025</x:v>
      </x:c>
      <x:c r="B318" s="80" t="str">
        <x:v>서울특별시</x:v>
      </x:c>
      <x:c r="C318" s="80" t="str">
        <x:v>사립</x:v>
      </x:c>
      <x:c r="D318" s="80" t="str">
        <x:v>경희대학교</x:v>
      </x:c>
      <x:c r="E318" s="80" t="str">
        <x:v>나</x:v>
      </x:c>
      <x:c r="F318" s="80" t="str">
        <x:v>일반전형</x:v>
      </x:c>
      <x:c r="G318" s="80" t="str">
        <x:v>건축학과(5 년제)</x:v>
      </x:c>
      <x:c r="H318" s="80" t="n">
        <x:v>25</x:v>
      </x:c>
      <x:c r="I318" s="80" t="n">
        <x:v>0</x:v>
      </x:c>
      <x:c r="J318" s="80" t="n">
        <x:v>25</x:v>
      </x:c>
      <x:c r="K318" s="81" t="n">
        <x:v>5.3</x:v>
      </x:c>
      <x:c r="L318" s="81" t="n">
        <x:v>23</x:v>
      </x:c>
      <x:c r="M318" s="81" t="n">
        <x:v>553.14</x:v>
      </x:c>
      <x:c r="N318" s="81" t="n">
        <x:v>552.88</x:v>
      </x:c>
      <x:c r="O318" s="81" t="n">
        <x:v>800</x:v>
      </x:c>
      <x:c r="P318" s="81" t="n">
        <x:v>77</x:v>
      </x:c>
      <x:c r="Q318" s="81" t="n">
        <x:v>92</x:v>
      </x:c>
      <x:c r="R318" s="81" t="n">
        <x:v>88</x:v>
      </x:c>
      <x:c r="S318" s="81" t="n">
        <x:v>80</x:v>
      </x:c>
      <x:c r="T318" s="81" t="n">
        <x:v>2</x:v>
      </x:c>
      <x:c r="U318" s="81" t="n">
        <x:v>2</x:v>
      </x:c>
      <x:c r="V318" s="80"/>
      <x:c r="W318" s="81" t="n">
        <x:f>IF(COUNTA(P318:S318)=4,AVERAGE(P318:S318),"")</x:f>
        <x:v>84.25</x:v>
      </x:c>
      <x:c r="X318" s="81" t="n">
        <x:f>IF(V318&lt;&gt;"",V318,W318)</x:f>
        <x:v>84.25</x:v>
      </x:c>
      <x:c r="Y318" s="80" t="str">
        <x:v>파생 단순평균(참고)</x:v>
      </x:c>
      <x:c r="Z318" s="81" t="n">
        <x:v>80</x:v>
      </x:c>
      <x:c r="AA318" s="81" t="n">
        <x:f>IF(X318&lt;&gt;"",Z318-X318,"")</x:f>
        <x:v>-4.25</x:v>
      </x:c>
      <x:c r="AB318" s="80" t="str">
        <x:f>IF(AA318="","",IF(AA318&gt;=5,"안정",IF(AA318&gt;=1,"적정",IF(AA318&gt;=-2,"소신","상향"))))</x:f>
        <x:v>상향</x:v>
      </x:c>
      <x:c r="AC318" s="82" t="n">
        <x:v>0</x:v>
      </x:c>
      <x:c r="AD318" s="82" t="n">
        <x:v>100</x:v>
      </x:c>
      <x:c r="AE318" s="82" t="n">
        <x:v>0</x:v>
      </x:c>
      <x:c r="AF318" s="80" t="str">
        <x:v>B: 공식 과목별 70% 백분위 → 단순평균 파생</x:v>
      </x:c>
      <x:c r="AG318" s="80" t="str">
        <x:v>https://www.adiga.kr/ucp/uvt/uni/univDetailSelection.do?menuId=PCUVTINF2000&amp;searchSyr=2026&amp;unvCd=0000066</x:v>
      </x:c>
    </x:row>
    <x:row r="319">
      <x:c r="A319" s="80" t="n">
        <x:v>2025</x:v>
      </x:c>
      <x:c r="B319" s="80" t="str">
        <x:v>서울특별시</x:v>
      </x:c>
      <x:c r="C319" s="80" t="str">
        <x:v>사립</x:v>
      </x:c>
      <x:c r="D319" s="80" t="str">
        <x:v>경희대학교</x:v>
      </x:c>
      <x:c r="E319" s="80" t="str">
        <x:v>나</x:v>
      </x:c>
      <x:c r="F319" s="80" t="str">
        <x:v>일반전형</x:v>
      </x:c>
      <x:c r="G319" s="80" t="str">
        <x:v>응용수학과</x:v>
      </x:c>
      <x:c r="H319" s="80" t="n">
        <x:v>17</x:v>
      </x:c>
      <x:c r="I319" s="80" t="n">
        <x:v>0</x:v>
      </x:c>
      <x:c r="J319" s="80" t="n">
        <x:v>17</x:v>
      </x:c>
      <x:c r="K319" s="81" t="n">
        <x:v>4.1</x:v>
      </x:c>
      <x:c r="L319" s="81" t="n">
        <x:v>15</x:v>
      </x:c>
      <x:c r="M319" s="81" t="n">
        <x:v>556.38</x:v>
      </x:c>
      <x:c r="N319" s="81" t="n">
        <x:v>555.71</x:v>
      </x:c>
      <x:c r="O319" s="81" t="n">
        <x:v>800</x:v>
      </x:c>
      <x:c r="P319" s="81" t="n">
        <x:v>85</x:v>
      </x:c>
      <x:c r="Q319" s="81" t="n">
        <x:v>93</x:v>
      </x:c>
      <x:c r="R319" s="81" t="n">
        <x:v>83</x:v>
      </x:c>
      <x:c r="S319" s="81" t="n">
        <x:v>83</x:v>
      </x:c>
      <x:c r="T319" s="81" t="n">
        <x:v>2</x:v>
      </x:c>
      <x:c r="U319" s="81" t="n">
        <x:v>2</x:v>
      </x:c>
      <x:c r="V319" s="80"/>
      <x:c r="W319" s="81" t="n">
        <x:f>IF(COUNTA(P319:S319)=4,AVERAGE(P319:S319),"")</x:f>
        <x:v>86</x:v>
      </x:c>
      <x:c r="X319" s="81" t="n">
        <x:f>IF(V319&lt;&gt;"",V319,W319)</x:f>
        <x:v>86</x:v>
      </x:c>
      <x:c r="Y319" s="80" t="str">
        <x:v>파생 단순평균(참고)</x:v>
      </x:c>
      <x:c r="Z319" s="81" t="n">
        <x:v>80</x:v>
      </x:c>
      <x:c r="AA319" s="81" t="n">
        <x:f>IF(X319&lt;&gt;"",Z319-X319,"")</x:f>
        <x:v>-6</x:v>
      </x:c>
      <x:c r="AB319" s="80" t="str">
        <x:f>IF(AA319="","",IF(AA319&gt;=5,"안정",IF(AA319&gt;=1,"적정",IF(AA319&gt;=-2,"소신","상향"))))</x:f>
        <x:v>상향</x:v>
      </x:c>
      <x:c r="AC319" s="82" t="n">
        <x:v>0</x:v>
      </x:c>
      <x:c r="AD319" s="82" t="n">
        <x:v>100</x:v>
      </x:c>
      <x:c r="AE319" s="82" t="n">
        <x:v>0</x:v>
      </x:c>
      <x:c r="AF319" s="80" t="str">
        <x:v>B: 공식 과목별 70% 백분위 → 단순평균 파생</x:v>
      </x:c>
      <x:c r="AG319" s="80" t="str">
        <x:v>https://www.adiga.kr/ucp/uvt/uni/univDetailSelection.do?menuId=PCUVTINF2000&amp;searchSyr=2026&amp;unvCd=0000066</x:v>
      </x:c>
    </x:row>
    <x:row r="320">
      <x:c r="A320" s="80" t="n">
        <x:v>2025</x:v>
      </x:c>
      <x:c r="B320" s="80" t="str">
        <x:v>서울특별시</x:v>
      </x:c>
      <x:c r="C320" s="80" t="str">
        <x:v>사립</x:v>
      </x:c>
      <x:c r="D320" s="80" t="str">
        <x:v>경희대학교</x:v>
      </x:c>
      <x:c r="E320" s="80" t="str">
        <x:v>나</x:v>
      </x:c>
      <x:c r="F320" s="80" t="str">
        <x:v>일반전형</x:v>
      </x:c>
      <x:c r="G320" s="80" t="str">
        <x:v>응용물리학과</x:v>
      </x:c>
      <x:c r="H320" s="80" t="n">
        <x:v>19</x:v>
      </x:c>
      <x:c r="I320" s="80" t="n">
        <x:v>0</x:v>
      </x:c>
      <x:c r="J320" s="80" t="n">
        <x:v>19</x:v>
      </x:c>
      <x:c r="K320" s="81" t="n">
        <x:v>4.6</x:v>
      </x:c>
      <x:c r="L320" s="81" t="n">
        <x:v>9</x:v>
      </x:c>
      <x:c r="M320" s="81" t="n">
        <x:v>556.14</x:v>
      </x:c>
      <x:c r="N320" s="81" t="n">
        <x:v>555.55</x:v>
      </x:c>
      <x:c r="O320" s="81" t="n">
        <x:v>800</x:v>
      </x:c>
      <x:c r="P320" s="81" t="n">
        <x:v>86</x:v>
      </x:c>
      <x:c r="Q320" s="81" t="n">
        <x:v>93</x:v>
      </x:c>
      <x:c r="R320" s="81" t="n">
        <x:v>79</x:v>
      </x:c>
      <x:c r="S320" s="81" t="n">
        <x:v>80</x:v>
      </x:c>
      <x:c r="T320" s="81" t="n">
        <x:v>2</x:v>
      </x:c>
      <x:c r="U320" s="81" t="n">
        <x:v>2</x:v>
      </x:c>
      <x:c r="V320" s="80"/>
      <x:c r="W320" s="81" t="n">
        <x:f>IF(COUNTA(P320:S320)=4,AVERAGE(P320:S320),"")</x:f>
        <x:v>84.5</x:v>
      </x:c>
      <x:c r="X320" s="81" t="n">
        <x:f>IF(V320&lt;&gt;"",V320,W320)</x:f>
        <x:v>84.5</x:v>
      </x:c>
      <x:c r="Y320" s="80" t="str">
        <x:v>파생 단순평균(참고)</x:v>
      </x:c>
      <x:c r="Z320" s="81" t="n">
        <x:v>80</x:v>
      </x:c>
      <x:c r="AA320" s="81" t="n">
        <x:f>IF(X320&lt;&gt;"",Z320-X320,"")</x:f>
        <x:v>-4.5</x:v>
      </x:c>
      <x:c r="AB320" s="80" t="str">
        <x:f>IF(AA320="","",IF(AA320&gt;=5,"안정",IF(AA320&gt;=1,"적정",IF(AA320&gt;=-2,"소신","상향"))))</x:f>
        <x:v>상향</x:v>
      </x:c>
      <x:c r="AC320" s="82" t="n">
        <x:v>0</x:v>
      </x:c>
      <x:c r="AD320" s="82" t="n">
        <x:v>100</x:v>
      </x:c>
      <x:c r="AE320" s="82" t="n">
        <x:v>0</x:v>
      </x:c>
      <x:c r="AF320" s="80" t="str">
        <x:v>B: 공식 과목별 70% 백분위 → 단순평균 파생</x:v>
      </x:c>
      <x:c r="AG320" s="80" t="str">
        <x:v>https://www.adiga.kr/ucp/uvt/uni/univDetailSelection.do?menuId=PCUVTINF2000&amp;searchSyr=2026&amp;unvCd=0000066</x:v>
      </x:c>
    </x:row>
    <x:row r="321">
      <x:c r="A321" s="80" t="n">
        <x:v>2025</x:v>
      </x:c>
      <x:c r="B321" s="80" t="str">
        <x:v>서울특별시</x:v>
      </x:c>
      <x:c r="C321" s="80" t="str">
        <x:v>사립</x:v>
      </x:c>
      <x:c r="D321" s="80" t="str">
        <x:v>경희대학교</x:v>
      </x:c>
      <x:c r="E321" s="80" t="str">
        <x:v>나</x:v>
      </x:c>
      <x:c r="F321" s="80" t="str">
        <x:v>일반전형</x:v>
      </x:c>
      <x:c r="G321" s="80" t="str">
        <x:v>응용화학과</x:v>
      </x:c>
      <x:c r="H321" s="80" t="n">
        <x:v>25</x:v>
      </x:c>
      <x:c r="I321" s="80" t="n">
        <x:v>1</x:v>
      </x:c>
      <x:c r="J321" s="80" t="n">
        <x:v>26</x:v>
      </x:c>
      <x:c r="K321" s="81" t="n">
        <x:v>3.7</x:v>
      </x:c>
      <x:c r="L321" s="81" t="n">
        <x:v>28</x:v>
      </x:c>
      <x:c r="M321" s="81" t="n">
        <x:v>555.63</x:v>
      </x:c>
      <x:c r="N321" s="81" t="n">
        <x:v>554.53</x:v>
      </x:c>
      <x:c r="O321" s="81" t="n">
        <x:v>800</x:v>
      </x:c>
      <x:c r="P321" s="81" t="n">
        <x:v>83</x:v>
      </x:c>
      <x:c r="Q321" s="81" t="n">
        <x:v>95</x:v>
      </x:c>
      <x:c r="R321" s="81" t="n">
        <x:v>81</x:v>
      </x:c>
      <x:c r="S321" s="81" t="n">
        <x:v>85</x:v>
      </x:c>
      <x:c r="T321" s="81" t="n">
        <x:v>2</x:v>
      </x:c>
      <x:c r="U321" s="81" t="n">
        <x:v>2</x:v>
      </x:c>
      <x:c r="V321" s="80"/>
      <x:c r="W321" s="81" t="n">
        <x:f>IF(COUNTA(P321:S321)=4,AVERAGE(P321:S321),"")</x:f>
        <x:v>86</x:v>
      </x:c>
      <x:c r="X321" s="81" t="n">
        <x:f>IF(V321&lt;&gt;"",V321,W321)</x:f>
        <x:v>86</x:v>
      </x:c>
      <x:c r="Y321" s="80" t="str">
        <x:v>파생 단순평균(참고)</x:v>
      </x:c>
      <x:c r="Z321" s="81" t="n">
        <x:v>80</x:v>
      </x:c>
      <x:c r="AA321" s="81" t="n">
        <x:f>IF(X321&lt;&gt;"",Z321-X321,"")</x:f>
        <x:v>-6</x:v>
      </x:c>
      <x:c r="AB321" s="80" t="str">
        <x:f>IF(AA321="","",IF(AA321&gt;=5,"안정",IF(AA321&gt;=1,"적정",IF(AA321&gt;=-2,"소신","상향"))))</x:f>
        <x:v>상향</x:v>
      </x:c>
      <x:c r="AC321" s="82" t="n">
        <x:v>0</x:v>
      </x:c>
      <x:c r="AD321" s="82" t="n">
        <x:v>100</x:v>
      </x:c>
      <x:c r="AE321" s="82" t="n">
        <x:v>0</x:v>
      </x:c>
      <x:c r="AF321" s="80" t="str">
        <x:v>B: 공식 과목별 70% 백분위 → 단순평균 파생</x:v>
      </x:c>
      <x:c r="AG321" s="80" t="str">
        <x:v>https://www.adiga.kr/ucp/uvt/uni/univDetailSelection.do?menuId=PCUVTINF2000&amp;searchSyr=2026&amp;unvCd=0000066</x:v>
      </x:c>
    </x:row>
    <x:row r="322">
      <x:c r="A322" s="80" t="n">
        <x:v>2025</x:v>
      </x:c>
      <x:c r="B322" s="80" t="str">
        <x:v>서울특별시</x:v>
      </x:c>
      <x:c r="C322" s="80" t="str">
        <x:v>사립</x:v>
      </x:c>
      <x:c r="D322" s="80" t="str">
        <x:v>경희대학교</x:v>
      </x:c>
      <x:c r="E322" s="80" t="str">
        <x:v>나</x:v>
      </x:c>
      <x:c r="F322" s="80" t="str">
        <x:v>일반전형</x:v>
      </x:c>
      <x:c r="G322" s="80" t="str">
        <x:v>우주과학과</x:v>
      </x:c>
      <x:c r="H322" s="80" t="n">
        <x:v>19</x:v>
      </x:c>
      <x:c r="I322" s="80" t="n">
        <x:v>1</x:v>
      </x:c>
      <x:c r="J322" s="80" t="n">
        <x:v>20</x:v>
      </x:c>
      <x:c r="K322" s="81" t="n">
        <x:v>4.9</x:v>
      </x:c>
      <x:c r="L322" s="81" t="n">
        <x:v>21</x:v>
      </x:c>
      <x:c r="M322" s="81" t="n">
        <x:v>555.42</x:v>
      </x:c>
      <x:c r="N322" s="81" t="n">
        <x:v>554.24</x:v>
      </x:c>
      <x:c r="O322" s="81" t="n">
        <x:v>800</x:v>
      </x:c>
      <x:c r="P322" s="81" t="n">
        <x:v>83</x:v>
      </x:c>
      <x:c r="Q322" s="81" t="n">
        <x:v>93</x:v>
      </x:c>
      <x:c r="R322" s="81" t="n">
        <x:v>83</x:v>
      </x:c>
      <x:c r="S322" s="81" t="n">
        <x:v>80</x:v>
      </x:c>
      <x:c r="T322" s="81" t="n">
        <x:v>2</x:v>
      </x:c>
      <x:c r="U322" s="81" t="n">
        <x:v>2</x:v>
      </x:c>
      <x:c r="V322" s="80"/>
      <x:c r="W322" s="81" t="n">
        <x:f>IF(COUNTA(P322:S322)=4,AVERAGE(P322:S322),"")</x:f>
        <x:v>84.75</x:v>
      </x:c>
      <x:c r="X322" s="81" t="n">
        <x:f>IF(V322&lt;&gt;"",V322,W322)</x:f>
        <x:v>84.75</x:v>
      </x:c>
      <x:c r="Y322" s="80" t="str">
        <x:v>파생 단순평균(참고)</x:v>
      </x:c>
      <x:c r="Z322" s="81" t="n">
        <x:v>80</x:v>
      </x:c>
      <x:c r="AA322" s="81" t="n">
        <x:f>IF(X322&lt;&gt;"",Z322-X322,"")</x:f>
        <x:v>-4.75</x:v>
      </x:c>
      <x:c r="AB322" s="80" t="str">
        <x:f>IF(AA322="","",IF(AA322&gt;=5,"안정",IF(AA322&gt;=1,"적정",IF(AA322&gt;=-2,"소신","상향"))))</x:f>
        <x:v>상향</x:v>
      </x:c>
      <x:c r="AC322" s="82" t="n">
        <x:v>0</x:v>
      </x:c>
      <x:c r="AD322" s="82" t="n">
        <x:v>100</x:v>
      </x:c>
      <x:c r="AE322" s="82" t="n">
        <x:v>0</x:v>
      </x:c>
      <x:c r="AF322" s="80" t="str">
        <x:v>B: 공식 과목별 70% 백분위 → 단순평균 파생</x:v>
      </x:c>
      <x:c r="AG322" s="80" t="str">
        <x:v>https://www.adiga.kr/ucp/uvt/uni/univDetailSelection.do?menuId=PCUVTINF2000&amp;searchSyr=2026&amp;unvCd=0000066</x:v>
      </x:c>
    </x:row>
    <x:row r="323">
      <x:c r="A323" s="80" t="n">
        <x:v>2025</x:v>
      </x:c>
      <x:c r="B323" s="80" t="str">
        <x:v>서울특별시</x:v>
      </x:c>
      <x:c r="C323" s="80" t="str">
        <x:v>사립</x:v>
      </x:c>
      <x:c r="D323" s="80" t="str">
        <x:v>경희대학교</x:v>
      </x:c>
      <x:c r="E323" s="80" t="str">
        <x:v>나</x:v>
      </x:c>
      <x:c r="F323" s="80" t="str">
        <x:v>일반전형</x:v>
      </x:c>
      <x:c r="G323" s="80" t="str">
        <x:v>유전생명공학과</x:v>
      </x:c>
      <x:c r="H323" s="80" t="n">
        <x:v>12</x:v>
      </x:c>
      <x:c r="I323" s="80" t="n">
        <x:v>0</x:v>
      </x:c>
      <x:c r="J323" s="80" t="n">
        <x:v>12</x:v>
      </x:c>
      <x:c r="K323" s="81" t="n">
        <x:v>6.2</x:v>
      </x:c>
      <x:c r="L323" s="81" t="n">
        <x:v>16</x:v>
      </x:c>
      <x:c r="M323" s="81" t="n">
        <x:v>558.8</x:v>
      </x:c>
      <x:c r="N323" s="81" t="n">
        <x:v>558.12</x:v>
      </x:c>
      <x:c r="O323" s="81" t="n">
        <x:v>800</x:v>
      </x:c>
      <x:c r="P323" s="81" t="n">
        <x:v>88</x:v>
      </x:c>
      <x:c r="Q323" s="81" t="n">
        <x:v>92</x:v>
      </x:c>
      <x:c r="R323" s="81" t="n">
        <x:v>94</x:v>
      </x:c>
      <x:c r="S323" s="81" t="n">
        <x:v>90</x:v>
      </x:c>
      <x:c r="T323" s="81" t="n">
        <x:v>2</x:v>
      </x:c>
      <x:c r="U323" s="81" t="n">
        <x:v>2</x:v>
      </x:c>
      <x:c r="V323" s="80"/>
      <x:c r="W323" s="81" t="n">
        <x:f>IF(COUNTA(P323:S323)=4,AVERAGE(P323:S323),"")</x:f>
        <x:v>91</x:v>
      </x:c>
      <x:c r="X323" s="81" t="n">
        <x:f>IF(V323&lt;&gt;"",V323,W323)</x:f>
        <x:v>91</x:v>
      </x:c>
      <x:c r="Y323" s="80" t="str">
        <x:v>파생 단순평균(참고)</x:v>
      </x:c>
      <x:c r="Z323" s="81" t="n">
        <x:v>80</x:v>
      </x:c>
      <x:c r="AA323" s="81" t="n">
        <x:f>IF(X323&lt;&gt;"",Z323-X323,"")</x:f>
        <x:v>-11</x:v>
      </x:c>
      <x:c r="AB323" s="80" t="str">
        <x:f>IF(AA323="","",IF(AA323&gt;=5,"안정",IF(AA323&gt;=1,"적정",IF(AA323&gt;=-2,"소신","상향"))))</x:f>
        <x:v>상향</x:v>
      </x:c>
      <x:c r="AC323" s="82" t="n">
        <x:v>0</x:v>
      </x:c>
      <x:c r="AD323" s="82" t="n">
        <x:v>91.7</x:v>
      </x:c>
      <x:c r="AE323" s="82" t="n">
        <x:v>8.3</x:v>
      </x:c>
      <x:c r="AF323" s="80" t="str">
        <x:v>B: 공식 과목별 70% 백분위 → 단순평균 파생</x:v>
      </x:c>
      <x:c r="AG323" s="80" t="str">
        <x:v>https://www.adiga.kr/ucp/uvt/uni/univDetailSelection.do?menuId=PCUVTINF2000&amp;searchSyr=2026&amp;unvCd=0000066</x:v>
      </x:c>
    </x:row>
    <x:row r="324">
      <x:c r="A324" s="80" t="n">
        <x:v>2025</x:v>
      </x:c>
      <x:c r="B324" s="80" t="str">
        <x:v>서울특별시</x:v>
      </x:c>
      <x:c r="C324" s="80" t="str">
        <x:v>사립</x:v>
      </x:c>
      <x:c r="D324" s="80" t="str">
        <x:v>경희대학교</x:v>
      </x:c>
      <x:c r="E324" s="80" t="str">
        <x:v>나</x:v>
      </x:c>
      <x:c r="F324" s="80" t="str">
        <x:v>일반전형</x:v>
      </x:c>
      <x:c r="G324" s="80" t="str">
        <x:v>식품생명공학과</x:v>
      </x:c>
      <x:c r="H324" s="80" t="n">
        <x:v>7</x:v>
      </x:c>
      <x:c r="I324" s="80" t="n">
        <x:v>0</x:v>
      </x:c>
      <x:c r="J324" s="80" t="n">
        <x:v>7</x:v>
      </x:c>
      <x:c r="K324" s="81" t="n">
        <x:v>6.7</x:v>
      </x:c>
      <x:c r="L324" s="81" t="n">
        <x:v>6</x:v>
      </x:c>
      <x:c r="M324" s="81" t="n">
        <x:v>556.72</x:v>
      </x:c>
      <x:c r="N324" s="81" t="n">
        <x:v>555.8</x:v>
      </x:c>
      <x:c r="O324" s="81" t="n">
        <x:v>800</x:v>
      </x:c>
      <x:c r="P324" s="81" t="n">
        <x:v>86</x:v>
      </x:c>
      <x:c r="Q324" s="81" t="n">
        <x:v>95</x:v>
      </x:c>
      <x:c r="R324" s="81" t="n">
        <x:v>87</x:v>
      </x:c>
      <x:c r="S324" s="81" t="n">
        <x:v>91</x:v>
      </x:c>
      <x:c r="T324" s="81" t="n">
        <x:v>2</x:v>
      </x:c>
      <x:c r="U324" s="81" t="n">
        <x:v>2</x:v>
      </x:c>
      <x:c r="V324" s="80"/>
      <x:c r="W324" s="81" t="n">
        <x:f>IF(COUNTA(P324:S324)=4,AVERAGE(P324:S324),"")</x:f>
        <x:v>89.75</x:v>
      </x:c>
      <x:c r="X324" s="81" t="n">
        <x:f>IF(V324&lt;&gt;"",V324,W324)</x:f>
        <x:v>89.75</x:v>
      </x:c>
      <x:c r="Y324" s="80" t="str">
        <x:v>파생 단순평균(참고)</x:v>
      </x:c>
      <x:c r="Z324" s="81" t="n">
        <x:v>80</x:v>
      </x:c>
      <x:c r="AA324" s="81" t="n">
        <x:f>IF(X324&lt;&gt;"",Z324-X324,"")</x:f>
        <x:v>-9.75</x:v>
      </x:c>
      <x:c r="AB324" s="80" t="str">
        <x:f>IF(AA324="","",IF(AA324&gt;=5,"안정",IF(AA324&gt;=1,"적정",IF(AA324&gt;=-2,"소신","상향"))))</x:f>
        <x:v>상향</x:v>
      </x:c>
      <x:c r="AC324" s="82" t="n">
        <x:v>0</x:v>
      </x:c>
      <x:c r="AD324" s="82" t="n">
        <x:v>100</x:v>
      </x:c>
      <x:c r="AE324" s="82" t="n">
        <x:v>0</x:v>
      </x:c>
      <x:c r="AF324" s="80" t="str">
        <x:v>B: 공식 과목별 70% 백분위 → 단순평균 파생</x:v>
      </x:c>
      <x:c r="AG324" s="80" t="str">
        <x:v>https://www.adiga.kr/ucp/uvt/uni/univDetailSelection.do?menuId=PCUVTINF2000&amp;searchSyr=2026&amp;unvCd=0000066</x:v>
      </x:c>
    </x:row>
    <x:row r="325">
      <x:c r="A325" s="80" t="n">
        <x:v>2025</x:v>
      </x:c>
      <x:c r="B325" s="80" t="str">
        <x:v>서울특별시</x:v>
      </x:c>
      <x:c r="C325" s="80" t="str">
        <x:v>사립</x:v>
      </x:c>
      <x:c r="D325" s="80" t="str">
        <x:v>경희대학교</x:v>
      </x:c>
      <x:c r="E325" s="80" t="str">
        <x:v>나</x:v>
      </x:c>
      <x:c r="F325" s="80" t="str">
        <x:v>일반전형</x:v>
      </x:c>
      <x:c r="G325" s="80" t="str">
        <x:v>융합바이오·신소재공학과</x:v>
      </x:c>
      <x:c r="H325" s="80" t="n">
        <x:v>9</x:v>
      </x:c>
      <x:c r="I325" s="80" t="n">
        <x:v>3</x:v>
      </x:c>
      <x:c r="J325" s="80" t="n">
        <x:v>12</x:v>
      </x:c>
      <x:c r="K325" s="81" t="n">
        <x:v>3.8</x:v>
      </x:c>
      <x:c r="L325" s="81" t="n">
        <x:v>16</x:v>
      </x:c>
      <x:c r="M325" s="81" t="n">
        <x:v>553.34</x:v>
      </x:c>
      <x:c r="N325" s="81" t="n">
        <x:v>550.61</x:v>
      </x:c>
      <x:c r="O325" s="81" t="n">
        <x:v>800</x:v>
      </x:c>
      <x:c r="P325" s="81" t="n">
        <x:v>85</x:v>
      </x:c>
      <x:c r="Q325" s="81" t="n">
        <x:v>95</x:v>
      </x:c>
      <x:c r="R325" s="81" t="n">
        <x:v>85</x:v>
      </x:c>
      <x:c r="S325" s="81" t="n">
        <x:v>83</x:v>
      </x:c>
      <x:c r="T325" s="81" t="n">
        <x:v>2</x:v>
      </x:c>
      <x:c r="U325" s="81" t="n">
        <x:v>2</x:v>
      </x:c>
      <x:c r="V325" s="80"/>
      <x:c r="W325" s="81" t="n">
        <x:f>IF(COUNTA(P325:S325)=4,AVERAGE(P325:S325),"")</x:f>
        <x:v>87</x:v>
      </x:c>
      <x:c r="X325" s="81" t="n">
        <x:f>IF(V325&lt;&gt;"",V325,W325)</x:f>
        <x:v>87</x:v>
      </x:c>
      <x:c r="Y325" s="80" t="str">
        <x:v>파생 단순평균(참고)</x:v>
      </x:c>
      <x:c r="Z325" s="81" t="n">
        <x:v>80</x:v>
      </x:c>
      <x:c r="AA325" s="81" t="n">
        <x:f>IF(X325&lt;&gt;"",Z325-X325,"")</x:f>
        <x:v>-7</x:v>
      </x:c>
      <x:c r="AB325" s="80" t="str">
        <x:f>IF(AA325="","",IF(AA325&gt;=5,"안정",IF(AA325&gt;=1,"적정",IF(AA325&gt;=-2,"소신","상향"))))</x:f>
        <x:v>상향</x:v>
      </x:c>
      <x:c r="AC325" s="82" t="n">
        <x:v>0</x:v>
      </x:c>
      <x:c r="AD325" s="82" t="n">
        <x:v>100</x:v>
      </x:c>
      <x:c r="AE325" s="82" t="n">
        <x:v>0</x:v>
      </x:c>
      <x:c r="AF325" s="80" t="str">
        <x:v>B: 공식 과목별 70% 백분위 → 단순평균 파생</x:v>
      </x:c>
      <x:c r="AG325" s="80" t="str">
        <x:v>https://www.adiga.kr/ucp/uvt/uni/univDetailSelection.do?menuId=PCUVTINF2000&amp;searchSyr=2026&amp;unvCd=0000066</x:v>
      </x:c>
    </x:row>
    <x:row r="326">
      <x:c r="A326" s="80" t="n">
        <x:v>2025</x:v>
      </x:c>
      <x:c r="B326" s="80" t="str">
        <x:v>서울특별시</x:v>
      </x:c>
      <x:c r="C326" s="80" t="str">
        <x:v>사립</x:v>
      </x:c>
      <x:c r="D326" s="80" t="str">
        <x:v>경희대학교</x:v>
      </x:c>
      <x:c r="E326" s="80" t="str">
        <x:v>나</x:v>
      </x:c>
      <x:c r="F326" s="80" t="str">
        <x:v>일반전형</x:v>
      </x:c>
      <x:c r="G326" s="80" t="str">
        <x:v>스마트팜과학과</x:v>
      </x:c>
      <x:c r="H326" s="80" t="n">
        <x:v>7</x:v>
      </x:c>
      <x:c r="I326" s="80" t="n">
        <x:v>1</x:v>
      </x:c>
      <x:c r="J326" s="80" t="n">
        <x:v>8</x:v>
      </x:c>
      <x:c r="K326" s="81" t="n">
        <x:v>6.4</x:v>
      </x:c>
      <x:c r="L326" s="81" t="n">
        <x:v>11</x:v>
      </x:c>
      <x:c r="M326" s="81" t="n">
        <x:v>554.61</x:v>
      </x:c>
      <x:c r="N326" s="81" t="n">
        <x:v>554.44</x:v>
      </x:c>
      <x:c r="O326" s="81" t="n">
        <x:v>800</x:v>
      </x:c>
      <x:c r="P326" s="81" t="n">
        <x:v>89</x:v>
      </x:c>
      <x:c r="Q326" s="81" t="n">
        <x:v>92</x:v>
      </x:c>
      <x:c r="R326" s="81" t="n">
        <x:v>85</x:v>
      </x:c>
      <x:c r="S326" s="81" t="n">
        <x:v>88</x:v>
      </x:c>
      <x:c r="T326" s="81" t="n">
        <x:v>2</x:v>
      </x:c>
      <x:c r="U326" s="81" t="n">
        <x:v>2</x:v>
      </x:c>
      <x:c r="V326" s="80"/>
      <x:c r="W326" s="81" t="n">
        <x:f>IF(COUNTA(P326:S326)=4,AVERAGE(P326:S326),"")</x:f>
        <x:v>88.5</x:v>
      </x:c>
      <x:c r="X326" s="81" t="n">
        <x:f>IF(V326&lt;&gt;"",V326,W326)</x:f>
        <x:v>88.5</x:v>
      </x:c>
      <x:c r="Y326" s="80" t="str">
        <x:v>파생 단순평균(참고)</x:v>
      </x:c>
      <x:c r="Z326" s="81" t="n">
        <x:v>80</x:v>
      </x:c>
      <x:c r="AA326" s="81" t="n">
        <x:f>IF(X326&lt;&gt;"",Z326-X326,"")</x:f>
        <x:v>-8.5</x:v>
      </x:c>
      <x:c r="AB326" s="80" t="str">
        <x:f>IF(AA326="","",IF(AA326&gt;=5,"안정",IF(AA326&gt;=1,"적정",IF(AA326&gt;=-2,"소신","상향"))))</x:f>
        <x:v>상향</x:v>
      </x:c>
      <x:c r="AC326" s="82" t="n">
        <x:v>0</x:v>
      </x:c>
      <x:c r="AD326" s="82" t="n">
        <x:v>100</x:v>
      </x:c>
      <x:c r="AE326" s="82" t="n">
        <x:v>0</x:v>
      </x:c>
      <x:c r="AF326" s="80" t="str">
        <x:v>B: 공식 과목별 70% 백분위 → 단순평균 파생</x:v>
      </x:c>
      <x:c r="AG326" s="80" t="str">
        <x:v>https://www.adiga.kr/ucp/uvt/uni/univDetailSelection.do?menuId=PCUVTINF2000&amp;searchSyr=2026&amp;unvCd=0000066</x:v>
      </x:c>
    </x:row>
    <x:row r="327">
      <x:c r="A327" s="80" t="n">
        <x:v>2025</x:v>
      </x:c>
      <x:c r="B327" s="80" t="str">
        <x:v>서울특별시</x:v>
      </x:c>
      <x:c r="C327" s="80" t="str">
        <x:v>사립</x:v>
      </x:c>
      <x:c r="D327" s="80" t="str">
        <x:v>경희대학교</x:v>
      </x:c>
      <x:c r="E327" s="80" t="str">
        <x:v>나</x:v>
      </x:c>
      <x:c r="F327" s="80" t="str">
        <x:v>일반전형</x:v>
      </x:c>
      <x:c r="G327" s="80" t="str">
        <x:v>의예과</x:v>
      </x:c>
      <x:c r="H327" s="80" t="n">
        <x:v>44</x:v>
      </x:c>
      <x:c r="I327" s="80" t="n">
        <x:v>1</x:v>
      </x:c>
      <x:c r="J327" s="80" t="n">
        <x:v>45</x:v>
      </x:c>
      <x:c r="K327" s="81" t="n">
        <x:v>8.2</x:v>
      </x:c>
      <x:c r="L327" s="81" t="n">
        <x:v>138</x:v>
      </x:c>
      <x:c r="M327" s="81" t="n">
        <x:v>596.06</x:v>
      </x:c>
      <x:c r="N327" s="81" t="n">
        <x:v>595.35</x:v>
      </x:c>
      <x:c r="O327" s="81" t="n">
        <x:v>800</x:v>
      </x:c>
      <x:c r="P327" s="81" t="n">
        <x:v>97</x:v>
      </x:c>
      <x:c r="Q327" s="81" t="n">
        <x:v>100</x:v>
      </x:c>
      <x:c r="R327" s="81" t="n">
        <x:v>97</x:v>
      </x:c>
      <x:c r="S327" s="81" t="n">
        <x:v>98</x:v>
      </x:c>
      <x:c r="T327" s="81" t="n">
        <x:v>1</x:v>
      </x:c>
      <x:c r="U327" s="81" t="n">
        <x:v>1</x:v>
      </x:c>
      <x:c r="V327" s="80"/>
      <x:c r="W327" s="81" t="n">
        <x:f>IF(COUNTA(P327:S327)=4,AVERAGE(P327:S327),"")</x:f>
        <x:v>98</x:v>
      </x:c>
      <x:c r="X327" s="81" t="n">
        <x:f>IF(V327&lt;&gt;"",V327,W327)</x:f>
        <x:v>98</x:v>
      </x:c>
      <x:c r="Y327" s="80" t="str">
        <x:v>파생 단순평균(참고)</x:v>
      </x:c>
      <x:c r="Z327" s="81" t="n">
        <x:v>80</x:v>
      </x:c>
      <x:c r="AA327" s="81" t="n">
        <x:f>IF(X327&lt;&gt;"",Z327-X327,"")</x:f>
        <x:v>-18</x:v>
      </x:c>
      <x:c r="AB327" s="80" t="str">
        <x:f>IF(AA327="","",IF(AA327&gt;=5,"안정",IF(AA327&gt;=1,"적정",IF(AA327&gt;=-2,"소신","상향"))))</x:f>
        <x:v>상향</x:v>
      </x:c>
      <x:c r="AC327" s="82" t="n">
        <x:v>0</x:v>
      </x:c>
      <x:c r="AD327" s="82" t="n">
        <x:v>97.8</x:v>
      </x:c>
      <x:c r="AE327" s="82" t="n">
        <x:v>2.2</x:v>
      </x:c>
      <x:c r="AF327" s="80" t="str">
        <x:v>B: 공식 과목별 70% 백분위 → 단순평균 파생</x:v>
      </x:c>
      <x:c r="AG327" s="80" t="str">
        <x:v>https://www.adiga.kr/ucp/uvt/uni/univDetailSelection.do?menuId=PCUVTINF2000&amp;searchSyr=2026&amp;unvCd=0000066</x:v>
      </x:c>
    </x:row>
    <x:row r="328">
      <x:c r="A328" s="80" t="n">
        <x:v>2025</x:v>
      </x:c>
      <x:c r="B328" s="80" t="str">
        <x:v>서울특별시</x:v>
      </x:c>
      <x:c r="C328" s="80" t="str">
        <x:v>사립</x:v>
      </x:c>
      <x:c r="D328" s="80" t="str">
        <x:v>경희대학교</x:v>
      </x:c>
      <x:c r="E328" s="80" t="str">
        <x:v>나</x:v>
      </x:c>
      <x:c r="F328" s="80" t="str">
        <x:v>일반전형</x:v>
      </x:c>
      <x:c r="G328" s="80" t="str">
        <x:v>한의예과(자연)</x:v>
      </x:c>
      <x:c r="H328" s="80" t="n">
        <x:v>32</x:v>
      </x:c>
      <x:c r="I328" s="80" t="n">
        <x:v>0</x:v>
      </x:c>
      <x:c r="J328" s="80" t="n">
        <x:v>32</x:v>
      </x:c>
      <x:c r="K328" s="81" t="n">
        <x:v>5.2</x:v>
      </x:c>
      <x:c r="L328" s="81" t="n">
        <x:v>13</x:v>
      </x:c>
      <x:c r="M328" s="81" t="n">
        <x:v>586.92</x:v>
      </x:c>
      <x:c r="N328" s="81" t="n">
        <x:v>586.53</x:v>
      </x:c>
      <x:c r="O328" s="81" t="n">
        <x:v>800</x:v>
      </x:c>
      <x:c r="P328" s="81" t="n">
        <x:v>93</x:v>
      </x:c>
      <x:c r="Q328" s="81" t="n">
        <x:v>99</x:v>
      </x:c>
      <x:c r="R328" s="81" t="n">
        <x:v>97</x:v>
      </x:c>
      <x:c r="S328" s="81" t="n">
        <x:v>96</x:v>
      </x:c>
      <x:c r="T328" s="81" t="n">
        <x:v>2</x:v>
      </x:c>
      <x:c r="U328" s="81" t="n">
        <x:v>2</x:v>
      </x:c>
      <x:c r="V328" s="80"/>
      <x:c r="W328" s="81" t="n">
        <x:f>IF(COUNTA(P328:S328)=4,AVERAGE(P328:S328),"")</x:f>
        <x:v>96.25</x:v>
      </x:c>
      <x:c r="X328" s="81" t="n">
        <x:f>IF(V328&lt;&gt;"",V328,W328)</x:f>
        <x:v>96.25</x:v>
      </x:c>
      <x:c r="Y328" s="80" t="str">
        <x:v>파생 단순평균(참고)</x:v>
      </x:c>
      <x:c r="Z328" s="81" t="n">
        <x:v>80</x:v>
      </x:c>
      <x:c r="AA328" s="81" t="n">
        <x:f>IF(X328&lt;&gt;"",Z328-X328,"")</x:f>
        <x:v>-16.25</x:v>
      </x:c>
      <x:c r="AB328" s="80" t="str">
        <x:f>IF(AA328="","",IF(AA328&gt;=5,"안정",IF(AA328&gt;=1,"적정",IF(AA328&gt;=-2,"소신","상향"))))</x:f>
        <x:v>상향</x:v>
      </x:c>
      <x:c r="AC328" s="82" t="n">
        <x:v>0</x:v>
      </x:c>
      <x:c r="AD328" s="82" t="n">
        <x:v>100</x:v>
      </x:c>
      <x:c r="AE328" s="82" t="n">
        <x:v>0</x:v>
      </x:c>
      <x:c r="AF328" s="80" t="str">
        <x:v>B: 공식 과목별 70% 백분위 → 단순평균 파생</x:v>
      </x:c>
      <x:c r="AG328" s="80" t="str">
        <x:v>https://www.adiga.kr/ucp/uvt/uni/univDetailSelection.do?menuId=PCUVTINF2000&amp;searchSyr=2026&amp;unvCd=0000066</x:v>
      </x:c>
    </x:row>
    <x:row r="329">
      <x:c r="A329" s="80" t="n">
        <x:v>2025</x:v>
      </x:c>
      <x:c r="B329" s="80" t="str">
        <x:v>서울특별시</x:v>
      </x:c>
      <x:c r="C329" s="80" t="str">
        <x:v>사립</x:v>
      </x:c>
      <x:c r="D329" s="80" t="str">
        <x:v>경희대학교</x:v>
      </x:c>
      <x:c r="E329" s="80" t="str">
        <x:v>나</x:v>
      </x:c>
      <x:c r="F329" s="80" t="str">
        <x:v>일반전형</x:v>
      </x:c>
      <x:c r="G329" s="80" t="str">
        <x:v>치의예과</x:v>
      </x:c>
      <x:c r="H329" s="80" t="n">
        <x:v>33</x:v>
      </x:c>
      <x:c r="I329" s="80" t="n">
        <x:v>0</x:v>
      </x:c>
      <x:c r="J329" s="80" t="n">
        <x:v>33</x:v>
      </x:c>
      <x:c r="K329" s="81" t="n">
        <x:v>4.6</x:v>
      </x:c>
      <x:c r="L329" s="81" t="n">
        <x:v>21</x:v>
      </x:c>
      <x:c r="M329" s="81" t="n">
        <x:v>589.42</x:v>
      </x:c>
      <x:c r="N329" s="81" t="n">
        <x:v>588.95</x:v>
      </x:c>
      <x:c r="O329" s="81" t="n">
        <x:v>800</x:v>
      </x:c>
      <x:c r="P329" s="81" t="n">
        <x:v>94</x:v>
      </x:c>
      <x:c r="Q329" s="81" t="n">
        <x:v>99</x:v>
      </x:c>
      <x:c r="R329" s="81" t="n">
        <x:v>97</x:v>
      </x:c>
      <x:c r="S329" s="81" t="n">
        <x:v>98</x:v>
      </x:c>
      <x:c r="T329" s="81" t="n">
        <x:v>2</x:v>
      </x:c>
      <x:c r="U329" s="81" t="n">
        <x:v>2</x:v>
      </x:c>
      <x:c r="V329" s="80"/>
      <x:c r="W329" s="81" t="n">
        <x:f>IF(COUNTA(P329:S329)=4,AVERAGE(P329:S329),"")</x:f>
        <x:v>97</x:v>
      </x:c>
      <x:c r="X329" s="81" t="n">
        <x:f>IF(V329&lt;&gt;"",V329,W329)</x:f>
        <x:v>97</x:v>
      </x:c>
      <x:c r="Y329" s="80" t="str">
        <x:v>파생 단순평균(참고)</x:v>
      </x:c>
      <x:c r="Z329" s="81" t="n">
        <x:v>80</x:v>
      </x:c>
      <x:c r="AA329" s="81" t="n">
        <x:f>IF(X329&lt;&gt;"",Z329-X329,"")</x:f>
        <x:v>-17</x:v>
      </x:c>
      <x:c r="AB329" s="80" t="str">
        <x:f>IF(AA329="","",IF(AA329&gt;=5,"안정",IF(AA329&gt;=1,"적정",IF(AA329&gt;=-2,"소신","상향"))))</x:f>
        <x:v>상향</x:v>
      </x:c>
      <x:c r="AC329" s="82" t="n">
        <x:v>0</x:v>
      </x:c>
      <x:c r="AD329" s="82" t="n">
        <x:v>97</x:v>
      </x:c>
      <x:c r="AE329" s="82" t="n">
        <x:v>3</x:v>
      </x:c>
      <x:c r="AF329" s="80" t="str">
        <x:v>B: 공식 과목별 70% 백분위 → 단순평균 파생</x:v>
      </x:c>
      <x:c r="AG329" s="80" t="str">
        <x:v>https://www.adiga.kr/ucp/uvt/uni/univDetailSelection.do?menuId=PCUVTINF2000&amp;searchSyr=2026&amp;unvCd=0000066</x:v>
      </x:c>
    </x:row>
    <x:row r="330">
      <x:c r="A330" s="80" t="n">
        <x:v>2025</x:v>
      </x:c>
      <x:c r="B330" s="80" t="str">
        <x:v>서울특별시</x:v>
      </x:c>
      <x:c r="C330" s="80" t="str">
        <x:v>사립</x:v>
      </x:c>
      <x:c r="D330" s="80" t="str">
        <x:v>경희대학교</x:v>
      </x:c>
      <x:c r="E330" s="80" t="str">
        <x:v>나</x:v>
      </x:c>
      <x:c r="F330" s="80" t="str">
        <x:v>일반전형</x:v>
      </x:c>
      <x:c r="G330" s="80" t="str">
        <x:v>약학과</x:v>
      </x:c>
      <x:c r="H330" s="80" t="n">
        <x:v>15</x:v>
      </x:c>
      <x:c r="I330" s="80" t="n">
        <x:v>0</x:v>
      </x:c>
      <x:c r="J330" s="80" t="n">
        <x:v>15</x:v>
      </x:c>
      <x:c r="K330" s="81" t="n">
        <x:v>7.1</x:v>
      </x:c>
      <x:c r="L330" s="81" t="n">
        <x:v>17</x:v>
      </x:c>
      <x:c r="M330" s="81" t="n">
        <x:v>584.95</x:v>
      </x:c>
      <x:c r="N330" s="81" t="n">
        <x:v>584.7</x:v>
      </x:c>
      <x:c r="O330" s="81" t="n">
        <x:v>800</x:v>
      </x:c>
      <x:c r="P330" s="81" t="n">
        <x:v>91</x:v>
      </x:c>
      <x:c r="Q330" s="81" t="n">
        <x:v>99</x:v>
      </x:c>
      <x:c r="R330" s="81" t="n">
        <x:v>97</x:v>
      </x:c>
      <x:c r="S330" s="81" t="n">
        <x:v>96</x:v>
      </x:c>
      <x:c r="T330" s="81" t="n">
        <x:v>2</x:v>
      </x:c>
      <x:c r="U330" s="81" t="n">
        <x:v>2</x:v>
      </x:c>
      <x:c r="V330" s="80"/>
      <x:c r="W330" s="81" t="n">
        <x:f>IF(COUNTA(P330:S330)=4,AVERAGE(P330:S330),"")</x:f>
        <x:v>95.75</x:v>
      </x:c>
      <x:c r="X330" s="81" t="n">
        <x:f>IF(V330&lt;&gt;"",V330,W330)</x:f>
        <x:v>95.75</x:v>
      </x:c>
      <x:c r="Y330" s="80" t="str">
        <x:v>파생 단순평균(참고)</x:v>
      </x:c>
      <x:c r="Z330" s="81" t="n">
        <x:v>80</x:v>
      </x:c>
      <x:c r="AA330" s="81" t="n">
        <x:f>IF(X330&lt;&gt;"",Z330-X330,"")</x:f>
        <x:v>-15.75</x:v>
      </x:c>
      <x:c r="AB330" s="80" t="str">
        <x:f>IF(AA330="","",IF(AA330&gt;=5,"안정",IF(AA330&gt;=1,"적정",IF(AA330&gt;=-2,"소신","상향"))))</x:f>
        <x:v>상향</x:v>
      </x:c>
      <x:c r="AC330" s="82" t="n">
        <x:v>0</x:v>
      </x:c>
      <x:c r="AD330" s="82" t="n">
        <x:v>100</x:v>
      </x:c>
      <x:c r="AE330" s="82" t="n">
        <x:v>0</x:v>
      </x:c>
      <x:c r="AF330" s="80" t="str">
        <x:v>B: 공식 과목별 70% 백분위 → 단순평균 파생</x:v>
      </x:c>
      <x:c r="AG330" s="80" t="str">
        <x:v>https://www.adiga.kr/ucp/uvt/uni/univDetailSelection.do?menuId=PCUVTINF2000&amp;searchSyr=2026&amp;unvCd=0000066</x:v>
      </x:c>
    </x:row>
    <x:row r="331">
      <x:c r="A331" s="80" t="n">
        <x:v>2025</x:v>
      </x:c>
      <x:c r="B331" s="80" t="str">
        <x:v>서울특별시</x:v>
      </x:c>
      <x:c r="C331" s="80" t="str">
        <x:v>사립</x:v>
      </x:c>
      <x:c r="D331" s="80" t="str">
        <x:v>세종대학교</x:v>
      </x:c>
      <x:c r="E331" s="80" t="str">
        <x:v>가</x:v>
      </x:c>
      <x:c r="F331" s="80" t="str">
        <x:v>일반전형</x:v>
      </x:c>
      <x:c r="G331" s="80" t="str">
        <x:v>인문사회계열</x:v>
      </x:c>
      <x:c r="H331" s="80" t="n">
        <x:v>122</x:v>
      </x:c>
      <x:c r="I331" s="80" t="n">
        <x:v>0</x:v>
      </x:c>
      <x:c r="J331" s="80" t="n">
        <x:v>122</x:v>
      </x:c>
      <x:c r="K331" s="81" t="n">
        <x:v>6.16</x:v>
      </x:c>
      <x:c r="L331" s="81" t="n">
        <x:v>105</x:v>
      </x:c>
      <x:c r="M331" s="81" t="n">
        <x:v>689.95</x:v>
      </x:c>
      <x:c r="N331" s="81" t="n">
        <x:v>689.54</x:v>
      </x:c>
      <x:c r="O331" s="81" t="n">
        <x:v>1000</x:v>
      </x:c>
      <x:c r="P331" s="81" t="n">
        <x:v>80</x:v>
      </x:c>
      <x:c r="Q331" s="81" t="n">
        <x:v>93</x:v>
      </x:c>
      <x:c r="R331" s="81" t="n">
        <x:v>97</x:v>
      </x:c>
      <x:c r="S331" s="81" t="n">
        <x:v>74</x:v>
      </x:c>
      <x:c r="T331" s="81" t="n">
        <x:v>4</x:v>
      </x:c>
      <x:c r="U331" s="81" t="n">
        <x:v>2</x:v>
      </x:c>
      <x:c r="V331" s="80"/>
      <x:c r="W331" s="81" t="n">
        <x:f>IF(COUNTA(P331:S331)=4,AVERAGE(P331:S331),"")</x:f>
        <x:v>86</x:v>
      </x:c>
      <x:c r="X331" s="81" t="n">
        <x:f>IF(V331&lt;&gt;"",V331,W331)</x:f>
        <x:v>86</x:v>
      </x:c>
      <x:c r="Y331" s="80" t="str">
        <x:v>파생 단순평균(참고)</x:v>
      </x:c>
      <x:c r="Z331" s="81" t="n">
        <x:v>80</x:v>
      </x:c>
      <x:c r="AA331" s="81" t="n">
        <x:f>IF(X331&lt;&gt;"",Z331-X331,"")</x:f>
        <x:v>-6</x:v>
      </x:c>
      <x:c r="AB331" s="80" t="str">
        <x:f>IF(AA331="","",IF(AA331&gt;=5,"안정",IF(AA331&gt;=1,"적정",IF(AA331&gt;=-2,"소신","상향"))))</x:f>
        <x:v>상향</x:v>
      </x:c>
      <x:c r="AC331" s="82" t="n">
        <x:v>68</x:v>
      </x:c>
      <x:c r="AD331" s="82" t="n">
        <x:v>32</x:v>
      </x:c>
      <x:c r="AE331" s="82" t="n">
        <x:v>0</x:v>
      </x:c>
      <x:c r="AF331" s="80" t="str">
        <x:v>B: 공식 과목별 70% 백분위 → 단순평균 파생</x:v>
      </x:c>
      <x:c r="AG331" s="80" t="str">
        <x:v>https://www.adiga.kr/ucp/uvt/uni/univDetailSelection.do?menuId=PCUVTINF2000&amp;searchSyr=2026&amp;unvCd=0000138</x:v>
      </x:c>
    </x:row>
    <x:row r="332">
      <x:c r="A332" s="80" t="n">
        <x:v>2025</x:v>
      </x:c>
      <x:c r="B332" s="80" t="str">
        <x:v>서울특별시</x:v>
      </x:c>
      <x:c r="C332" s="80" t="str">
        <x:v>사립</x:v>
      </x:c>
      <x:c r="D332" s="80" t="str">
        <x:v>세종대학교</x:v>
      </x:c>
      <x:c r="E332" s="80" t="str">
        <x:v>가</x:v>
      </x:c>
      <x:c r="F332" s="80" t="str">
        <x:v>일반전형</x:v>
      </x:c>
      <x:c r="G332" s="80" t="str">
        <x:v>국제학부</x:v>
      </x:c>
      <x:c r="H332" s="80" t="n">
        <x:v>2</x:v>
      </x:c>
      <x:c r="I332" s="80" t="n">
        <x:v>0</x:v>
      </x:c>
      <x:c r="J332" s="80" t="n">
        <x:v>2</x:v>
      </x:c>
      <x:c r="K332" s="81" t="n">
        <x:v>13.5</x:v>
      </x:c>
      <x:c r="L332" s="81" t="n">
        <x:v>6</x:v>
      </x:c>
      <x:c r="M332" s="81" t="n">
        <x:v>687.91</x:v>
      </x:c>
      <x:c r="N332" s="81" t="n">
        <x:v>687.91</x:v>
      </x:c>
      <x:c r="O332" s="81" t="n">
        <x:v>1000</x:v>
      </x:c>
      <x:c r="P332" s="81" t="n">
        <x:v>82</x:v>
      </x:c>
      <x:c r="Q332" s="81" t="n">
        <x:v>89</x:v>
      </x:c>
      <x:c r="R332" s="81" t="n">
        <x:v>72</x:v>
      </x:c>
      <x:c r="S332" s="81" t="n">
        <x:v>68</x:v>
      </x:c>
      <x:c r="T332" s="81" t="n">
        <x:v>1</x:v>
      </x:c>
      <x:c r="U332" s="81" t="n">
        <x:v>2</x:v>
      </x:c>
      <x:c r="V332" s="80"/>
      <x:c r="W332" s="81" t="n">
        <x:f>IF(COUNTA(P332:S332)=4,AVERAGE(P332:S332),"")</x:f>
        <x:v>77.75</x:v>
      </x:c>
      <x:c r="X332" s="81" t="n">
        <x:f>IF(V332&lt;&gt;"",V332,W332)</x:f>
        <x:v>77.75</x:v>
      </x:c>
      <x:c r="Y332" s="80" t="str">
        <x:v>파생 단순평균(참고)</x:v>
      </x:c>
      <x:c r="Z332" s="81" t="n">
        <x:v>80</x:v>
      </x:c>
      <x:c r="AA332" s="81" t="n">
        <x:f>IF(X332&lt;&gt;"",Z332-X332,"")</x:f>
        <x:v>2.25</x:v>
      </x:c>
      <x:c r="AB332" s="80" t="str">
        <x:f>IF(AA332="","",IF(AA332&gt;=5,"안정",IF(AA332&gt;=1,"적정",IF(AA332&gt;=-2,"소신","상향"))))</x:f>
        <x:v>적정</x:v>
      </x:c>
      <x:c r="AC332" s="82" t="n">
        <x:v>100</x:v>
      </x:c>
      <x:c r="AD332" s="82" t="n">
        <x:v>0</x:v>
      </x:c>
      <x:c r="AE332" s="82" t="n">
        <x:v>0</x:v>
      </x:c>
      <x:c r="AF332" s="80" t="str">
        <x:v>B: 공식 과목별 70% 백분위 → 단순평균 파생</x:v>
      </x:c>
      <x:c r="AG332" s="80" t="str">
        <x:v>https://www.adiga.kr/ucp/uvt/uni/univDetailSelection.do?menuId=PCUVTINF2000&amp;searchSyr=2026&amp;unvCd=0000138</x:v>
      </x:c>
    </x:row>
    <x:row r="333">
      <x:c r="A333" s="80" t="n">
        <x:v>2025</x:v>
      </x:c>
      <x:c r="B333" s="80" t="str">
        <x:v>서울특별시</x:v>
      </x:c>
      <x:c r="C333" s="80" t="str">
        <x:v>사립</x:v>
      </x:c>
      <x:c r="D333" s="80" t="str">
        <x:v>세종대학교</x:v>
      </x:c>
      <x:c r="E333" s="80" t="str">
        <x:v>가</x:v>
      </x:c>
      <x:c r="F333" s="80" t="str">
        <x:v>일반전형</x:v>
      </x:c>
      <x:c r="G333" s="80" t="str">
        <x:v>법학과</x:v>
      </x:c>
      <x:c r="H333" s="80" t="n">
        <x:v>2</x:v>
      </x:c>
      <x:c r="I333" s="80" t="n">
        <x:v>0</x:v>
      </x:c>
      <x:c r="J333" s="80" t="n">
        <x:v>2</x:v>
      </x:c>
      <x:c r="K333" s="81" t="n">
        <x:v>15</x:v>
      </x:c>
      <x:c r="L333" s="81" t="n">
        <x:v>0</x:v>
      </x:c>
      <x:c r="M333" s="81" t="n">
        <x:v>692.63</x:v>
      </x:c>
      <x:c r="N333" s="81" t="n">
        <x:v>692.63</x:v>
      </x:c>
      <x:c r="O333" s="81" t="n">
        <x:v>1000</x:v>
      </x:c>
      <x:c r="P333" s="81" t="n">
        <x:v>80</x:v>
      </x:c>
      <x:c r="Q333" s="81" t="n">
        <x:v>95</x:v>
      </x:c>
      <x:c r="R333" s="81" t="n">
        <x:v>94</x:v>
      </x:c>
      <x:c r="S333" s="81" t="n">
        <x:v>56</x:v>
      </x:c>
      <x:c r="T333" s="81" t="n">
        <x:v>2</x:v>
      </x:c>
      <x:c r="U333" s="81" t="n">
        <x:v>3</x:v>
      </x:c>
      <x:c r="V333" s="80"/>
      <x:c r="W333" s="81" t="n">
        <x:f>IF(COUNTA(P333:S333)=4,AVERAGE(P333:S333),"")</x:f>
        <x:v>81.25</x:v>
      </x:c>
      <x:c r="X333" s="81" t="n">
        <x:f>IF(V333&lt;&gt;"",V333,W333)</x:f>
        <x:v>81.25</x:v>
      </x:c>
      <x:c r="Y333" s="80" t="str">
        <x:v>파생 단순평균(참고)</x:v>
      </x:c>
      <x:c r="Z333" s="81" t="n">
        <x:v>80</x:v>
      </x:c>
      <x:c r="AA333" s="81" t="n">
        <x:f>IF(X333&lt;&gt;"",Z333-X333,"")</x:f>
        <x:v>-1.25</x:v>
      </x:c>
      <x:c r="AB333" s="80" t="str">
        <x:f>IF(AA333="","",IF(AA333&gt;=5,"안정",IF(AA333&gt;=1,"적정",IF(AA333&gt;=-2,"소신","상향"))))</x:f>
        <x:v>소신</x:v>
      </x:c>
      <x:c r="AC333" s="82" t="n">
        <x:v>0</x:v>
      </x:c>
      <x:c r="AD333" s="82" t="n">
        <x:v>100</x:v>
      </x:c>
      <x:c r="AE333" s="82" t="n">
        <x:v>0</x:v>
      </x:c>
      <x:c r="AF333" s="80" t="str">
        <x:v>B: 공식 과목별 70% 백분위 → 단순평균 파생</x:v>
      </x:c>
      <x:c r="AG333" s="80" t="str">
        <x:v>https://www.adiga.kr/ucp/uvt/uni/univDetailSelection.do?menuId=PCUVTINF2000&amp;searchSyr=2026&amp;unvCd=0000138</x:v>
      </x:c>
    </x:row>
    <x:row r="334">
      <x:c r="A334" s="80" t="n">
        <x:v>2025</x:v>
      </x:c>
      <x:c r="B334" s="80" t="str">
        <x:v>서울특별시</x:v>
      </x:c>
      <x:c r="C334" s="80" t="str">
        <x:v>사립</x:v>
      </x:c>
      <x:c r="D334" s="80" t="str">
        <x:v>세종대학교</x:v>
      </x:c>
      <x:c r="E334" s="80" t="str">
        <x:v>가</x:v>
      </x:c>
      <x:c r="F334" s="80" t="str">
        <x:v>일반전형</x:v>
      </x:c>
      <x:c r="G334" s="80" t="str">
        <x:v>경제학과</x:v>
      </x:c>
      <x:c r="H334" s="80" t="n">
        <x:v>2</x:v>
      </x:c>
      <x:c r="I334" s="80" t="n">
        <x:v>0</x:v>
      </x:c>
      <x:c r="J334" s="80" t="n">
        <x:v>2</x:v>
      </x:c>
      <x:c r="K334" s="81" t="n">
        <x:v>12.5</x:v>
      </x:c>
      <x:c r="L334" s="81" t="n">
        <x:v>0</x:v>
      </x:c>
      <x:c r="M334" s="81" t="n">
        <x:v>693.79</x:v>
      </x:c>
      <x:c r="N334" s="81" t="n">
        <x:v>693.79</x:v>
      </x:c>
      <x:c r="O334" s="81" t="n">
        <x:v>1000</x:v>
      </x:c>
      <x:c r="P334" s="81" t="n">
        <x:v>88</x:v>
      </x:c>
      <x:c r="Q334" s="81" t="n">
        <x:v>78</x:v>
      </x:c>
      <x:c r="R334" s="81" t="n">
        <x:v>97</x:v>
      </x:c>
      <x:c r="S334" s="81" t="n">
        <x:v>89</x:v>
      </x:c>
      <x:c r="T334" s="81" t="n">
        <x:v>3</x:v>
      </x:c>
      <x:c r="U334" s="81" t="n">
        <x:v>1</x:v>
      </x:c>
      <x:c r="V334" s="80"/>
      <x:c r="W334" s="81" t="n">
        <x:f>IF(COUNTA(P334:S334)=4,AVERAGE(P334:S334),"")</x:f>
        <x:v>88</x:v>
      </x:c>
      <x:c r="X334" s="81" t="n">
        <x:f>IF(V334&lt;&gt;"",V334,W334)</x:f>
        <x:v>88</x:v>
      </x:c>
      <x:c r="Y334" s="80" t="str">
        <x:v>파생 단순평균(참고)</x:v>
      </x:c>
      <x:c r="Z334" s="81" t="n">
        <x:v>80</x:v>
      </x:c>
      <x:c r="AA334" s="81" t="n">
        <x:f>IF(X334&lt;&gt;"",Z334-X334,"")</x:f>
        <x:v>-8</x:v>
      </x:c>
      <x:c r="AB334" s="80" t="str">
        <x:f>IF(AA334="","",IF(AA334&gt;=5,"안정",IF(AA334&gt;=1,"적정",IF(AA334&gt;=-2,"소신","상향"))))</x:f>
        <x:v>상향</x:v>
      </x:c>
      <x:c r="AC334" s="82" t="n">
        <x:v>100</x:v>
      </x:c>
      <x:c r="AD334" s="82" t="n">
        <x:v>0</x:v>
      </x:c>
      <x:c r="AE334" s="82" t="n">
        <x:v>0</x:v>
      </x:c>
      <x:c r="AF334" s="80" t="str">
        <x:v>B: 공식 과목별 70% 백분위 → 단순평균 파생</x:v>
      </x:c>
      <x:c r="AG334" s="80" t="str">
        <x:v>https://www.adiga.kr/ucp/uvt/uni/univDetailSelection.do?menuId=PCUVTINF2000&amp;searchSyr=2026&amp;unvCd=0000138</x:v>
      </x:c>
    </x:row>
    <x:row r="335">
      <x:c r="A335" s="80" t="n">
        <x:v>2025</x:v>
      </x:c>
      <x:c r="B335" s="80" t="str">
        <x:v>서울특별시</x:v>
      </x:c>
      <x:c r="C335" s="80" t="str">
        <x:v>사립</x:v>
      </x:c>
      <x:c r="D335" s="80" t="str">
        <x:v>세종대학교</x:v>
      </x:c>
      <x:c r="E335" s="80" t="str">
        <x:v>가</x:v>
      </x:c>
      <x:c r="F335" s="80" t="str">
        <x:v>일반전형</x:v>
      </x:c>
      <x:c r="G335" s="80" t="str">
        <x:v>호텔관광외식경영학부</x:v>
      </x:c>
      <x:c r="H335" s="80" t="n">
        <x:v>3</x:v>
      </x:c>
      <x:c r="I335" s="80" t="n">
        <x:v>1</x:v>
      </x:c>
      <x:c r="J335" s="80" t="n">
        <x:v>4</x:v>
      </x:c>
      <x:c r="K335" s="81" t="n">
        <x:v>7.67</x:v>
      </x:c>
      <x:c r="L335" s="81" t="n">
        <x:v>3</x:v>
      </x:c>
      <x:c r="M335" s="81" t="n">
        <x:v>694.02</x:v>
      </x:c>
      <x:c r="N335" s="81" t="n">
        <x:v>694.02</x:v>
      </x:c>
      <x:c r="O335" s="81" t="n">
        <x:v>1000</x:v>
      </x:c>
      <x:c r="P335" s="81" t="n">
        <x:v>96</x:v>
      </x:c>
      <x:c r="Q335" s="81" t="n">
        <x:v>78</x:v>
      </x:c>
      <x:c r="R335" s="81" t="n">
        <x:v>87</x:v>
      </x:c>
      <x:c r="S335" s="81" t="n">
        <x:v>74</x:v>
      </x:c>
      <x:c r="T335" s="81" t="n">
        <x:v>3</x:v>
      </x:c>
      <x:c r="U335" s="81" t="n">
        <x:v>5</x:v>
      </x:c>
      <x:c r="V335" s="80"/>
      <x:c r="W335" s="81" t="n">
        <x:f>IF(COUNTA(P335:S335)=4,AVERAGE(P335:S335),"")</x:f>
        <x:v>83.75</x:v>
      </x:c>
      <x:c r="X335" s="81" t="n">
        <x:f>IF(V335&lt;&gt;"",V335,W335)</x:f>
        <x:v>83.75</x:v>
      </x:c>
      <x:c r="Y335" s="80" t="str">
        <x:v>파생 단순평균(참고)</x:v>
      </x:c>
      <x:c r="Z335" s="81" t="n">
        <x:v>80</x:v>
      </x:c>
      <x:c r="AA335" s="81" t="n">
        <x:f>IF(X335&lt;&gt;"",Z335-X335,"")</x:f>
        <x:v>-3.75</x:v>
      </x:c>
      <x:c r="AB335" s="80" t="str">
        <x:f>IF(AA335="","",IF(AA335&gt;=5,"안정",IF(AA335&gt;=1,"적정",IF(AA335&gt;=-2,"소신","상향"))))</x:f>
        <x:v>상향</x:v>
      </x:c>
      <x:c r="AC335" s="82" t="n">
        <x:v>75</x:v>
      </x:c>
      <x:c r="AD335" s="82" t="n">
        <x:v>25</x:v>
      </x:c>
      <x:c r="AE335" s="82" t="n">
        <x:v>0</x:v>
      </x:c>
      <x:c r="AF335" s="80" t="str">
        <x:v>B: 공식 과목별 70% 백분위 → 단순평균 파생</x:v>
      </x:c>
      <x:c r="AG335" s="80" t="str">
        <x:v>https://www.adiga.kr/ucp/uvt/uni/univDetailSelection.do?menuId=PCUVTINF2000&amp;searchSyr=2026&amp;unvCd=0000138</x:v>
      </x:c>
    </x:row>
    <x:row r="336">
      <x:c r="A336" s="80" t="n">
        <x:v>2025</x:v>
      </x:c>
      <x:c r="B336" s="80" t="str">
        <x:v>서울특별시</x:v>
      </x:c>
      <x:c r="C336" s="80" t="str">
        <x:v>사립</x:v>
      </x:c>
      <x:c r="D336" s="80" t="str">
        <x:v>세종대학교</x:v>
      </x:c>
      <x:c r="E336" s="80" t="str">
        <x:v>가</x:v>
      </x:c>
      <x:c r="F336" s="80" t="str">
        <x:v>일반전형</x:v>
      </x:c>
      <x:c r="G336" s="80" t="str">
        <x:v>자연생명계열</x:v>
      </x:c>
      <x:c r="H336" s="80" t="n">
        <x:v>126</x:v>
      </x:c>
      <x:c r="I336" s="80" t="n">
        <x:v>0</x:v>
      </x:c>
      <x:c r="J336" s="80" t="n">
        <x:v>126</x:v>
      </x:c>
      <x:c r="K336" s="81" t="n">
        <x:v>5.6</x:v>
      </x:c>
      <x:c r="L336" s="81" t="n">
        <x:v>121</x:v>
      </x:c>
      <x:c r="M336" s="81" t="n">
        <x:v>712</x:v>
      </x:c>
      <x:c r="N336" s="81" t="n">
        <x:v>710.52</x:v>
      </x:c>
      <x:c r="O336" s="81" t="n">
        <x:v>1000</x:v>
      </x:c>
      <x:c r="P336" s="81" t="n">
        <x:v>94</x:v>
      </x:c>
      <x:c r="Q336" s="81" t="n">
        <x:v>85</x:v>
      </x:c>
      <x:c r="R336" s="81" t="n">
        <x:v>79</x:v>
      </x:c>
      <x:c r="S336" s="81" t="n">
        <x:v>66</x:v>
      </x:c>
      <x:c r="T336" s="81" t="n">
        <x:v>2</x:v>
      </x:c>
      <x:c r="U336" s="81" t="n">
        <x:v>1</x:v>
      </x:c>
      <x:c r="V336" s="80"/>
      <x:c r="W336" s="81" t="n">
        <x:f>IF(COUNTA(P336:S336)=4,AVERAGE(P336:S336),"")</x:f>
        <x:v>81</x:v>
      </x:c>
      <x:c r="X336" s="81" t="n">
        <x:f>IF(V336&lt;&gt;"",V336,W336)</x:f>
        <x:v>81</x:v>
      </x:c>
      <x:c r="Y336" s="80" t="str">
        <x:v>파생 단순평균(참고)</x:v>
      </x:c>
      <x:c r="Z336" s="81" t="n">
        <x:v>80</x:v>
      </x:c>
      <x:c r="AA336" s="81" t="n">
        <x:f>IF(X336&lt;&gt;"",Z336-X336,"")</x:f>
        <x:v>-1</x:v>
      </x:c>
      <x:c r="AB336" s="80" t="str">
        <x:f>IF(AA336="","",IF(AA336&gt;=5,"안정",IF(AA336&gt;=1,"적정",IF(AA336&gt;=-2,"소신","상향"))))</x:f>
        <x:v>소신</x:v>
      </x:c>
      <x:c r="AC336" s="82" t="n">
        <x:v>0</x:v>
      </x:c>
      <x:c r="AD336" s="82" t="n">
        <x:v>97</x:v>
      </x:c>
      <x:c r="AE336" s="82" t="n">
        <x:v>3</x:v>
      </x:c>
      <x:c r="AF336" s="80" t="str">
        <x:v>B: 공식 과목별 70% 백분위 → 단순평균 파생</x:v>
      </x:c>
      <x:c r="AG336" s="80" t="str">
        <x:v>https://www.adiga.kr/ucp/uvt/uni/univDetailSelection.do?menuId=PCUVTINF2000&amp;searchSyr=2026&amp;unvCd=0000138</x:v>
      </x:c>
    </x:row>
    <x:row r="337">
      <x:c r="A337" s="80" t="n">
        <x:v>2025</x:v>
      </x:c>
      <x:c r="B337" s="80" t="str">
        <x:v>서울특별시</x:v>
      </x:c>
      <x:c r="C337" s="80" t="str">
        <x:v>사립</x:v>
      </x:c>
      <x:c r="D337" s="80" t="str">
        <x:v>세종대학교</x:v>
      </x:c>
      <x:c r="E337" s="80" t="str">
        <x:v>가</x:v>
      </x:c>
      <x:c r="F337" s="80" t="str">
        <x:v>일반전형</x:v>
      </x:c>
      <x:c r="G337" s="80" t="str">
        <x:v>스마트생명산업융합학과</x:v>
      </x:c>
      <x:c r="H337" s="80" t="n">
        <x:v>9</x:v>
      </x:c>
      <x:c r="I337" s="80" t="n">
        <x:v>0</x:v>
      </x:c>
      <x:c r="J337" s="80" t="n">
        <x:v>9</x:v>
      </x:c>
      <x:c r="K337" s="81" t="n">
        <x:v>7.33</x:v>
      </x:c>
      <x:c r="L337" s="81" t="n">
        <x:v>6</x:v>
      </x:c>
      <x:c r="M337" s="81" t="n">
        <x:v>708.69</x:v>
      </x:c>
      <x:c r="N337" s="81" t="n">
        <x:v>708.05</x:v>
      </x:c>
      <x:c r="O337" s="81" t="n">
        <x:v>1000</x:v>
      </x:c>
      <x:c r="P337" s="81" t="n">
        <x:v>74</x:v>
      </x:c>
      <x:c r="Q337" s="81" t="n">
        <x:v>93</x:v>
      </x:c>
      <x:c r="R337" s="81" t="n">
        <x:v>75</x:v>
      </x:c>
      <x:c r="S337" s="81" t="n">
        <x:v>71</x:v>
      </x:c>
      <x:c r="T337" s="81" t="n">
        <x:v>2</x:v>
      </x:c>
      <x:c r="U337" s="81" t="n">
        <x:v>1</x:v>
      </x:c>
      <x:c r="V337" s="80"/>
      <x:c r="W337" s="81" t="n">
        <x:f>IF(COUNTA(P337:S337)=4,AVERAGE(P337:S337),"")</x:f>
        <x:v>78.25</x:v>
      </x:c>
      <x:c r="X337" s="81" t="n">
        <x:f>IF(V337&lt;&gt;"",V337,W337)</x:f>
        <x:v>78.25</x:v>
      </x:c>
      <x:c r="Y337" s="80" t="str">
        <x:v>파생 단순평균(참고)</x:v>
      </x:c>
      <x:c r="Z337" s="81" t="n">
        <x:v>80</x:v>
      </x:c>
      <x:c r="AA337" s="81" t="n">
        <x:f>IF(X337&lt;&gt;"",Z337-X337,"")</x:f>
        <x:v>1.75</x:v>
      </x:c>
      <x:c r="AB337" s="80" t="str">
        <x:f>IF(AA337="","",IF(AA337&gt;=5,"안정",IF(AA337&gt;=1,"적정",IF(AA337&gt;=-2,"소신","상향"))))</x:f>
        <x:v>적정</x:v>
      </x:c>
      <x:c r="AC337" s="82" t="n">
        <x:v>0</x:v>
      </x:c>
      <x:c r="AD337" s="82" t="n">
        <x:v>89</x:v>
      </x:c>
      <x:c r="AE337" s="82" t="n">
        <x:v>11</x:v>
      </x:c>
      <x:c r="AF337" s="80" t="str">
        <x:v>B: 공식 과목별 70% 백분위 → 단순평균 파생</x:v>
      </x:c>
      <x:c r="AG337" s="80" t="str">
        <x:v>https://www.adiga.kr/ucp/uvt/uni/univDetailSelection.do?menuId=PCUVTINF2000&amp;searchSyr=2026&amp;unvCd=0000138</x:v>
      </x:c>
    </x:row>
    <x:row r="338">
      <x:c r="A338" s="80" t="n">
        <x:v>2025</x:v>
      </x:c>
      <x:c r="B338" s="80" t="str">
        <x:v>서울특별시</x:v>
      </x:c>
      <x:c r="C338" s="80" t="str">
        <x:v>사립</x:v>
      </x:c>
      <x:c r="D338" s="80" t="str">
        <x:v>세종대학교</x:v>
      </x:c>
      <x:c r="E338" s="80" t="str">
        <x:v>가</x:v>
      </x:c>
      <x:c r="F338" s="80" t="str">
        <x:v>일반전형</x:v>
      </x:c>
      <x:c r="G338" s="80" t="str">
        <x:v>IT 계열</x:v>
      </x:c>
      <x:c r="H338" s="80" t="n">
        <x:v>125</x:v>
      </x:c>
      <x:c r="I338" s="80" t="n">
        <x:v>0</x:v>
      </x:c>
      <x:c r="J338" s="80" t="n">
        <x:v>125</x:v>
      </x:c>
      <x:c r="K338" s="81" t="n">
        <x:v>4.53</x:v>
      </x:c>
      <x:c r="L338" s="81" t="n">
        <x:v>132</x:v>
      </x:c>
      <x:c r="M338" s="81" t="n">
        <x:v>708.79</x:v>
      </x:c>
      <x:c r="N338" s="81" t="n">
        <x:v>707.53</x:v>
      </x:c>
      <x:c r="O338" s="81" t="n">
        <x:v>1000</x:v>
      </x:c>
      <x:c r="P338" s="81" t="n">
        <x:v>83</x:v>
      </x:c>
      <x:c r="Q338" s="81" t="n">
        <x:v>85</x:v>
      </x:c>
      <x:c r="R338" s="81" t="n">
        <x:v>94</x:v>
      </x:c>
      <x:c r="S338" s="81" t="n">
        <x:v>81</x:v>
      </x:c>
      <x:c r="T338" s="81" t="n">
        <x:v>3</x:v>
      </x:c>
      <x:c r="U338" s="81" t="n">
        <x:v>1</x:v>
      </x:c>
      <x:c r="V338" s="80"/>
      <x:c r="W338" s="81" t="n">
        <x:f>IF(COUNTA(P338:S338)=4,AVERAGE(P338:S338),"")</x:f>
        <x:v>85.75</x:v>
      </x:c>
      <x:c r="X338" s="81" t="n">
        <x:f>IF(V338&lt;&gt;"",V338,W338)</x:f>
        <x:v>85.75</x:v>
      </x:c>
      <x:c r="Y338" s="80" t="str">
        <x:v>파생 단순평균(참고)</x:v>
      </x:c>
      <x:c r="Z338" s="81" t="n">
        <x:v>80</x:v>
      </x:c>
      <x:c r="AA338" s="81" t="n">
        <x:f>IF(X338&lt;&gt;"",Z338-X338,"")</x:f>
        <x:v>-5.75</x:v>
      </x:c>
      <x:c r="AB338" s="80" t="str">
        <x:f>IF(AA338="","",IF(AA338&gt;=5,"안정",IF(AA338&gt;=1,"적정",IF(AA338&gt;=-2,"소신","상향"))))</x:f>
        <x:v>상향</x:v>
      </x:c>
      <x:c r="AC338" s="82" t="n">
        <x:v>1</x:v>
      </x:c>
      <x:c r="AD338" s="82" t="n">
        <x:v>96</x:v>
      </x:c>
      <x:c r="AE338" s="82" t="n">
        <x:v>3</x:v>
      </x:c>
      <x:c r="AF338" s="80" t="str">
        <x:v>B: 공식 과목별 70% 백분위 → 단순평균 파생</x:v>
      </x:c>
      <x:c r="AG338" s="80" t="str">
        <x:v>https://www.adiga.kr/ucp/uvt/uni/univDetailSelection.do?menuId=PCUVTINF2000&amp;searchSyr=2026&amp;unvCd=0000138</x:v>
      </x:c>
    </x:row>
    <x:row r="339">
      <x:c r="A339" s="80" t="n">
        <x:v>2025</x:v>
      </x:c>
      <x:c r="B339" s="80" t="str">
        <x:v>서울특별시</x:v>
      </x:c>
      <x:c r="C339" s="80" t="str">
        <x:v>사립</x:v>
      </x:c>
      <x:c r="D339" s="80" t="str">
        <x:v>세종대학교</x:v>
      </x:c>
      <x:c r="E339" s="80" t="str">
        <x:v>가</x:v>
      </x:c>
      <x:c r="F339" s="80" t="str">
        <x:v>일반전형</x:v>
      </x:c>
      <x:c r="G339" s="80" t="str">
        <x:v>정보보호학과</x:v>
      </x:c>
      <x:c r="H339" s="80" t="n">
        <x:v>2</x:v>
      </x:c>
      <x:c r="I339" s="80" t="n">
        <x:v>0</x:v>
      </x:c>
      <x:c r="J339" s="80" t="n">
        <x:v>2</x:v>
      </x:c>
      <x:c r="K339" s="81" t="n">
        <x:v>13</x:v>
      </x:c>
      <x:c r="L339" s="81" t="n">
        <x:v>0</x:v>
      </x:c>
      <x:c r="M339" s="81" t="n">
        <x:v>716.69</x:v>
      </x:c>
      <x:c r="N339" s="81" t="n">
        <x:v>716.69</x:v>
      </x:c>
      <x:c r="O339" s="81" t="n">
        <x:v>1000</x:v>
      </x:c>
      <x:c r="P339" s="81" t="n">
        <x:v>82</x:v>
      </x:c>
      <x:c r="Q339" s="81" t="n">
        <x:v>97</x:v>
      </x:c>
      <x:c r="R339" s="81" t="n">
        <x:v>88</x:v>
      </x:c>
      <x:c r="S339" s="81" t="n">
        <x:v>75</x:v>
      </x:c>
      <x:c r="T339" s="81" t="n">
        <x:v>4</x:v>
      </x:c>
      <x:c r="U339" s="81" t="n">
        <x:v>3</x:v>
      </x:c>
      <x:c r="V339" s="80"/>
      <x:c r="W339" s="81" t="n">
        <x:f>IF(COUNTA(P339:S339)=4,AVERAGE(P339:S339),"")</x:f>
        <x:v>85.5</x:v>
      </x:c>
      <x:c r="X339" s="81" t="n">
        <x:f>IF(V339&lt;&gt;"",V339,W339)</x:f>
        <x:v>85.5</x:v>
      </x:c>
      <x:c r="Y339" s="80" t="str">
        <x:v>파생 단순평균(참고)</x:v>
      </x:c>
      <x:c r="Z339" s="81" t="n">
        <x:v>80</x:v>
      </x:c>
      <x:c r="AA339" s="81" t="n">
        <x:f>IF(X339&lt;&gt;"",Z339-X339,"")</x:f>
        <x:v>-5.5</x:v>
      </x:c>
      <x:c r="AB339" s="80" t="str">
        <x:f>IF(AA339="","",IF(AA339&gt;=5,"안정",IF(AA339&gt;=1,"적정",IF(AA339&gt;=-2,"소신","상향"))))</x:f>
        <x:v>상향</x:v>
      </x:c>
      <x:c r="AC339" s="82" t="n">
        <x:v>0</x:v>
      </x:c>
      <x:c r="AD339" s="82" t="n">
        <x:v>100</x:v>
      </x:c>
      <x:c r="AE339" s="82" t="n">
        <x:v>0</x:v>
      </x:c>
      <x:c r="AF339" s="80" t="str">
        <x:v>B: 공식 과목별 70% 백분위 → 단순평균 파생</x:v>
      </x:c>
      <x:c r="AG339" s="80" t="str">
        <x:v>https://www.adiga.kr/ucp/uvt/uni/univDetailSelection.do?menuId=PCUVTINF2000&amp;searchSyr=2026&amp;unvCd=0000138</x:v>
      </x:c>
    </x:row>
    <x:row r="340">
      <x:c r="A340" s="80" t="n">
        <x:v>2025</x:v>
      </x:c>
      <x:c r="B340" s="80" t="str">
        <x:v>서울특별시</x:v>
      </x:c>
      <x:c r="C340" s="80" t="str">
        <x:v>사립</x:v>
      </x:c>
      <x:c r="D340" s="80" t="str">
        <x:v>세종대학교</x:v>
      </x:c>
      <x:c r="E340" s="80" t="str">
        <x:v>가</x:v>
      </x:c>
      <x:c r="F340" s="80" t="str">
        <x:v>일반전형</x:v>
      </x:c>
      <x:c r="G340" s="80" t="str">
        <x:v>건설환경공학과</x:v>
      </x:c>
      <x:c r="H340" s="80" t="n">
        <x:v>2</x:v>
      </x:c>
      <x:c r="I340" s="80" t="n">
        <x:v>0</x:v>
      </x:c>
      <x:c r="J340" s="80" t="n">
        <x:v>2</x:v>
      </x:c>
      <x:c r="K340" s="81" t="n">
        <x:v>10.5</x:v>
      </x:c>
      <x:c r="L340" s="81" t="n">
        <x:v>4</x:v>
      </x:c>
      <x:c r="M340" s="81" t="n">
        <x:v>707.89</x:v>
      </x:c>
      <x:c r="N340" s="81" t="n">
        <x:v>707.89</x:v>
      </x:c>
      <x:c r="O340" s="81" t="n">
        <x:v>1000</x:v>
      </x:c>
      <x:c r="P340" s="81" t="n">
        <x:v>88</x:v>
      </x:c>
      <x:c r="Q340" s="81" t="n">
        <x:v>85</x:v>
      </x:c>
      <x:c r="R340" s="81" t="n">
        <x:v>88</x:v>
      </x:c>
      <x:c r="S340" s="81" t="n">
        <x:v>82</x:v>
      </x:c>
      <x:c r="T340" s="81" t="n">
        <x:v>3</x:v>
      </x:c>
      <x:c r="U340" s="81" t="n">
        <x:v>1</x:v>
      </x:c>
      <x:c r="V340" s="80"/>
      <x:c r="W340" s="81" t="n">
        <x:f>IF(COUNTA(P340:S340)=4,AVERAGE(P340:S340),"")</x:f>
        <x:v>85.75</x:v>
      </x:c>
      <x:c r="X340" s="81" t="n">
        <x:f>IF(V340&lt;&gt;"",V340,W340)</x:f>
        <x:v>85.75</x:v>
      </x:c>
      <x:c r="Y340" s="80" t="str">
        <x:v>파생 단순평균(참고)</x:v>
      </x:c>
      <x:c r="Z340" s="81" t="n">
        <x:v>80</x:v>
      </x:c>
      <x:c r="AA340" s="81" t="n">
        <x:f>IF(X340&lt;&gt;"",Z340-X340,"")</x:f>
        <x:v>-5.75</x:v>
      </x:c>
      <x:c r="AB340" s="80" t="str">
        <x:f>IF(AA340="","",IF(AA340&gt;=5,"안정",IF(AA340&gt;=1,"적정",IF(AA340&gt;=-2,"소신","상향"))))</x:f>
        <x:v>상향</x:v>
      </x:c>
      <x:c r="AC340" s="82" t="n">
        <x:v>0</x:v>
      </x:c>
      <x:c r="AD340" s="82" t="n">
        <x:v>100</x:v>
      </x:c>
      <x:c r="AE340" s="82" t="n">
        <x:v>0</x:v>
      </x:c>
      <x:c r="AF340" s="80" t="str">
        <x:v>B: 공식 과목별 70% 백분위 → 단순평균 파생</x:v>
      </x:c>
      <x:c r="AG340" s="80" t="str">
        <x:v>https://www.adiga.kr/ucp/uvt/uni/univDetailSelection.do?menuId=PCUVTINF2000&amp;searchSyr=2026&amp;unvCd=0000138</x:v>
      </x:c>
    </x:row>
    <x:row r="341">
      <x:c r="A341" s="80" t="n">
        <x:v>2025</x:v>
      </x:c>
      <x:c r="B341" s="80" t="str">
        <x:v>서울특별시</x:v>
      </x:c>
      <x:c r="C341" s="80" t="str">
        <x:v>사립</x:v>
      </x:c>
      <x:c r="D341" s="80" t="str">
        <x:v>세종대학교</x:v>
      </x:c>
      <x:c r="E341" s="80" t="str">
        <x:v>가</x:v>
      </x:c>
      <x:c r="F341" s="80" t="str">
        <x:v>일반전형</x:v>
      </x:c>
      <x:c r="G341" s="80" t="str">
        <x:v>환경융합공학과</x:v>
      </x:c>
      <x:c r="H341" s="80" t="n">
        <x:v>2</x:v>
      </x:c>
      <x:c r="I341" s="80" t="n">
        <x:v>1</x:v>
      </x:c>
      <x:c r="J341" s="80" t="n">
        <x:v>3</x:v>
      </x:c>
      <x:c r="K341" s="81" t="n">
        <x:v>11</x:v>
      </x:c>
      <x:c r="L341" s="81" t="n">
        <x:v>4</x:v>
      </x:c>
      <x:c r="M341" s="81" t="n">
        <x:v>706.03</x:v>
      </x:c>
      <x:c r="N341" s="81" t="n">
        <x:v>701.8</x:v>
      </x:c>
      <x:c r="O341" s="81" t="n">
        <x:v>1000</x:v>
      </x:c>
      <x:c r="P341" s="81" t="n">
        <x:v>83</x:v>
      </x:c>
      <x:c r="Q341" s="81" t="n">
        <x:v>87</x:v>
      </x:c>
      <x:c r="R341" s="81" t="n">
        <x:v>85</x:v>
      </x:c>
      <x:c r="S341" s="81" t="n">
        <x:v>75</x:v>
      </x:c>
      <x:c r="T341" s="81" t="n">
        <x:v>2</x:v>
      </x:c>
      <x:c r="U341" s="81" t="n">
        <x:v>3</x:v>
      </x:c>
      <x:c r="V341" s="80"/>
      <x:c r="W341" s="81" t="n">
        <x:f>IF(COUNTA(P341:S341)=4,AVERAGE(P341:S341),"")</x:f>
        <x:v>82.5</x:v>
      </x:c>
      <x:c r="X341" s="81" t="n">
        <x:f>IF(V341&lt;&gt;"",V341,W341)</x:f>
        <x:v>82.5</x:v>
      </x:c>
      <x:c r="Y341" s="80" t="str">
        <x:v>파생 단순평균(참고)</x:v>
      </x:c>
      <x:c r="Z341" s="81" t="n">
        <x:v>80</x:v>
      </x:c>
      <x:c r="AA341" s="81" t="n">
        <x:f>IF(X341&lt;&gt;"",Z341-X341,"")</x:f>
        <x:v>-2.5</x:v>
      </x:c>
      <x:c r="AB341" s="80" t="str">
        <x:f>IF(AA341="","",IF(AA341&gt;=5,"안정",IF(AA341&gt;=1,"적정",IF(AA341&gt;=-2,"소신","상향"))))</x:f>
        <x:v>상향</x:v>
      </x:c>
      <x:c r="AC341" s="82" t="n">
        <x:v>0</x:v>
      </x:c>
      <x:c r="AD341" s="82" t="n">
        <x:v>67</x:v>
      </x:c>
      <x:c r="AE341" s="82" t="n">
        <x:v>33</x:v>
      </x:c>
      <x:c r="AF341" s="80" t="str">
        <x:v>B: 공식 과목별 70% 백분위 → 단순평균 파생</x:v>
      </x:c>
      <x:c r="AG341" s="80" t="str">
        <x:v>https://www.adiga.kr/ucp/uvt/uni/univDetailSelection.do?menuId=PCUVTINF2000&amp;searchSyr=2026&amp;unvCd=0000138</x:v>
      </x:c>
    </x:row>
    <x:row r="342">
      <x:c r="A342" s="80" t="n">
        <x:v>2025</x:v>
      </x:c>
      <x:c r="B342" s="80" t="str">
        <x:v>서울특별시</x:v>
      </x:c>
      <x:c r="C342" s="80" t="str">
        <x:v>사립</x:v>
      </x:c>
      <x:c r="D342" s="80" t="str">
        <x:v>세종대학교</x:v>
      </x:c>
      <x:c r="E342" s="80" t="str">
        <x:v>가</x:v>
      </x:c>
      <x:c r="F342" s="80" t="str">
        <x:v>일반전형</x:v>
      </x:c>
      <x:c r="G342" s="80" t="str">
        <x:v>지구자원시스템공학과</x:v>
      </x:c>
      <x:c r="H342" s="80" t="n">
        <x:v>2</x:v>
      </x:c>
      <x:c r="I342" s="80" t="n">
        <x:v>0</x:v>
      </x:c>
      <x:c r="J342" s="80" t="n">
        <x:v>2</x:v>
      </x:c>
      <x:c r="K342" s="81" t="n">
        <x:v>16</x:v>
      </x:c>
      <x:c r="L342" s="81" t="n">
        <x:v>3</x:v>
      </x:c>
      <x:c r="M342" s="81" t="n">
        <x:v>705.41</x:v>
      </x:c>
      <x:c r="N342" s="81" t="n">
        <x:v>705.41</x:v>
      </x:c>
      <x:c r="O342" s="81" t="n">
        <x:v>1000</x:v>
      </x:c>
      <x:c r="P342" s="81" t="n">
        <x:v>86</x:v>
      </x:c>
      <x:c r="Q342" s="81" t="n">
        <x:v>81</x:v>
      </x:c>
      <x:c r="R342" s="81" t="n">
        <x:v>92</x:v>
      </x:c>
      <x:c r="S342" s="81" t="n">
        <x:v>88</x:v>
      </x:c>
      <x:c r="T342" s="81" t="n">
        <x:v>3</x:v>
      </x:c>
      <x:c r="U342" s="81" t="n">
        <x:v>3</x:v>
      </x:c>
      <x:c r="V342" s="80"/>
      <x:c r="W342" s="81" t="n">
        <x:f>IF(COUNTA(P342:S342)=4,AVERAGE(P342:S342),"")</x:f>
        <x:v>86.75</x:v>
      </x:c>
      <x:c r="X342" s="81" t="n">
        <x:f>IF(V342&lt;&gt;"",V342,W342)</x:f>
        <x:v>86.75</x:v>
      </x:c>
      <x:c r="Y342" s="80" t="str">
        <x:v>파생 단순평균(참고)</x:v>
      </x:c>
      <x:c r="Z342" s="81" t="n">
        <x:v>80</x:v>
      </x:c>
      <x:c r="AA342" s="81" t="n">
        <x:f>IF(X342&lt;&gt;"",Z342-X342,"")</x:f>
        <x:v>-6.75</x:v>
      </x:c>
      <x:c r="AB342" s="80" t="str">
        <x:f>IF(AA342="","",IF(AA342&gt;=5,"안정",IF(AA342&gt;=1,"적정",IF(AA342&gt;=-2,"소신","상향"))))</x:f>
        <x:v>상향</x:v>
      </x:c>
      <x:c r="AC342" s="82" t="n">
        <x:v>0</x:v>
      </x:c>
      <x:c r="AD342" s="82" t="n">
        <x:v>100</x:v>
      </x:c>
      <x:c r="AE342" s="82" t="n">
        <x:v>0</x:v>
      </x:c>
      <x:c r="AF342" s="80" t="str">
        <x:v>B: 공식 과목별 70% 백분위 → 단순평균 파생</x:v>
      </x:c>
      <x:c r="AG342" s="80" t="str">
        <x:v>https://www.adiga.kr/ucp/uvt/uni/univDetailSelection.do?menuId=PCUVTINF2000&amp;searchSyr=2026&amp;unvCd=0000138</x:v>
      </x:c>
    </x:row>
    <x:row r="343">
      <x:c r="A343" s="80" t="n">
        <x:v>2025</x:v>
      </x:c>
      <x:c r="B343" s="80" t="str">
        <x:v>서울특별시</x:v>
      </x:c>
      <x:c r="C343" s="80" t="str">
        <x:v>사립</x:v>
      </x:c>
      <x:c r="D343" s="80" t="str">
        <x:v>세종대학교</x:v>
      </x:c>
      <x:c r="E343" s="80" t="str">
        <x:v>가</x:v>
      </x:c>
      <x:c r="F343" s="80" t="str">
        <x:v>일반전형</x:v>
      </x:c>
      <x:c r="G343" s="80" t="str">
        <x:v>양자원자력공학과</x:v>
      </x:c>
      <x:c r="H343" s="80" t="n">
        <x:v>1</x:v>
      </x:c>
      <x:c r="I343" s="80" t="n">
        <x:v>0</x:v>
      </x:c>
      <x:c r="J343" s="80" t="n">
        <x:v>1</x:v>
      </x:c>
      <x:c r="K343" s="81" t="n">
        <x:v>13</x:v>
      </x:c>
      <x:c r="L343" s="81" t="n">
        <x:v>2</x:v>
      </x:c>
      <x:c r="M343" s="81" t="n">
        <x:v>680.2</x:v>
      </x:c>
      <x:c r="N343" s="81" t="n">
        <x:v>680.2</x:v>
      </x:c>
      <x:c r="O343" s="81" t="n">
        <x:v>1000</x:v>
      </x:c>
      <x:c r="P343" s="81" t="n">
        <x:v>72</x:v>
      </x:c>
      <x:c r="Q343" s="81" t="n">
        <x:v>74</x:v>
      </x:c>
      <x:c r="R343" s="81" t="n">
        <x:v>90</x:v>
      </x:c>
      <x:c r="S343" s="81" t="n">
        <x:v>71</x:v>
      </x:c>
      <x:c r="T343" s="81" t="n">
        <x:v>3</x:v>
      </x:c>
      <x:c r="U343" s="81" t="n">
        <x:v>2</x:v>
      </x:c>
      <x:c r="V343" s="80"/>
      <x:c r="W343" s="81" t="n">
        <x:f>IF(COUNTA(P343:S343)=4,AVERAGE(P343:S343),"")</x:f>
        <x:v>76.75</x:v>
      </x:c>
      <x:c r="X343" s="81" t="n">
        <x:f>IF(V343&lt;&gt;"",V343,W343)</x:f>
        <x:v>76.75</x:v>
      </x:c>
      <x:c r="Y343" s="80" t="str">
        <x:v>파생 단순평균(참고)</x:v>
      </x:c>
      <x:c r="Z343" s="81" t="n">
        <x:v>80</x:v>
      </x:c>
      <x:c r="AA343" s="81" t="n">
        <x:f>IF(X343&lt;&gt;"",Z343-X343,"")</x:f>
        <x:v>3.25</x:v>
      </x:c>
      <x:c r="AB343" s="80" t="str">
        <x:f>IF(AA343="","",IF(AA343&gt;=5,"안정",IF(AA343&gt;=1,"적정",IF(AA343&gt;=-2,"소신","상향"))))</x:f>
        <x:v>적정</x:v>
      </x:c>
      <x:c r="AC343" s="82" t="n">
        <x:v>0</x:v>
      </x:c>
      <x:c r="AD343" s="82" t="n">
        <x:v>100</x:v>
      </x:c>
      <x:c r="AE343" s="82" t="n">
        <x:v>0</x:v>
      </x:c>
      <x:c r="AF343" s="80" t="str">
        <x:v>B: 공식 과목별 70% 백분위 → 단순평균 파생</x:v>
      </x:c>
      <x:c r="AG343" s="80" t="str">
        <x:v>https://www.adiga.kr/ucp/uvt/uni/univDetailSelection.do?menuId=PCUVTINF2000&amp;searchSyr=2026&amp;unvCd=0000138</x:v>
      </x:c>
    </x:row>
    <x:row r="344">
      <x:c r="A344" s="80" t="n">
        <x:v>2025</x:v>
      </x:c>
      <x:c r="B344" s="80" t="str">
        <x:v>서울특별시</x:v>
      </x:c>
      <x:c r="C344" s="80" t="str">
        <x:v>사립</x:v>
      </x:c>
      <x:c r="D344" s="80" t="str">
        <x:v>세종대학교</x:v>
      </x:c>
      <x:c r="E344" s="80" t="str">
        <x:v>가</x:v>
      </x:c>
      <x:c r="F344" s="80" t="str">
        <x:v>일반전형</x:v>
      </x:c>
      <x:c r="G344" s="80" t="str">
        <x:v>우주항공시스템공학부-지능형드론융합전공</x:v>
      </x:c>
      <x:c r="H344" s="80" t="n">
        <x:v>31</x:v>
      </x:c>
      <x:c r="I344" s="80" t="n">
        <x:v>0</x:v>
      </x:c>
      <x:c r="J344" s="80" t="n">
        <x:v>31</x:v>
      </x:c>
      <x:c r="K344" s="81" t="n">
        <x:v>6.1</x:v>
      </x:c>
      <x:c r="L344" s="81" t="n">
        <x:v>53</x:v>
      </x:c>
      <x:c r="M344" s="81" t="n">
        <x:v>703.1</x:v>
      </x:c>
      <x:c r="N344" s="81" t="n">
        <x:v>702.02</x:v>
      </x:c>
      <x:c r="O344" s="81" t="n">
        <x:v>1000</x:v>
      </x:c>
      <x:c r="P344" s="81" t="n">
        <x:v>79</x:v>
      </x:c>
      <x:c r="Q344" s="81" t="n">
        <x:v>85</x:v>
      </x:c>
      <x:c r="R344" s="81" t="n">
        <x:v>92</x:v>
      </x:c>
      <x:c r="S344" s="81" t="n">
        <x:v>88</x:v>
      </x:c>
      <x:c r="T344" s="81" t="n">
        <x:v>4</x:v>
      </x:c>
      <x:c r="U344" s="81" t="n">
        <x:v>1</x:v>
      </x:c>
      <x:c r="V344" s="80"/>
      <x:c r="W344" s="81" t="n">
        <x:f>IF(COUNTA(P344:S344)=4,AVERAGE(P344:S344),"")</x:f>
        <x:v>86</x:v>
      </x:c>
      <x:c r="X344" s="81" t="n">
        <x:f>IF(V344&lt;&gt;"",V344,W344)</x:f>
        <x:v>86</x:v>
      </x:c>
      <x:c r="Y344" s="80" t="str">
        <x:v>파생 단순평균(참고)</x:v>
      </x:c>
      <x:c r="Z344" s="81" t="n">
        <x:v>80</x:v>
      </x:c>
      <x:c r="AA344" s="81" t="n">
        <x:f>IF(X344&lt;&gt;"",Z344-X344,"")</x:f>
        <x:v>-6</x:v>
      </x:c>
      <x:c r="AB344" s="80" t="str">
        <x:f>IF(AA344="","",IF(AA344&gt;=5,"안정",IF(AA344&gt;=1,"적정",IF(AA344&gt;=-2,"소신","상향"))))</x:f>
        <x:v>상향</x:v>
      </x:c>
      <x:c r="AC344" s="82" t="n">
        <x:v>7</x:v>
      </x:c>
      <x:c r="AD344" s="82" t="n">
        <x:v>86</x:v>
      </x:c>
      <x:c r="AE344" s="82" t="n">
        <x:v>7</x:v>
      </x:c>
      <x:c r="AF344" s="80" t="str">
        <x:v>B: 공식 과목별 70% 백분위 → 단순평균 파생</x:v>
      </x:c>
      <x:c r="AG344" s="80" t="str">
        <x:v>https://www.adiga.kr/ucp/uvt/uni/univDetailSelection.do?menuId=PCUVTINF2000&amp;searchSyr=2026&amp;unvCd=0000138</x:v>
      </x:c>
    </x:row>
    <x:row r="345">
      <x:c r="A345" s="80" t="n">
        <x:v>2025</x:v>
      </x:c>
      <x:c r="B345" s="80" t="str">
        <x:v>서울특별시</x:v>
      </x:c>
      <x:c r="C345" s="80" t="str">
        <x:v>사립</x:v>
      </x:c>
      <x:c r="D345" s="80" t="str">
        <x:v>세종대학교</x:v>
      </x:c>
      <x:c r="E345" s="80" t="str">
        <x:v>나</x:v>
      </x:c>
      <x:c r="F345" s="80" t="str">
        <x:v>일반전형</x:v>
      </x:c>
      <x:c r="G345" s="80" t="str">
        <x:v>국어국문학과</x:v>
      </x:c>
      <x:c r="H345" s="80" t="n">
        <x:v>2</x:v>
      </x:c>
      <x:c r="I345" s="80" t="n">
        <x:v>0</x:v>
      </x:c>
      <x:c r="J345" s="80" t="n">
        <x:v>2</x:v>
      </x:c>
      <x:c r="K345" s="81" t="n">
        <x:v>10</x:v>
      </x:c>
      <x:c r="L345" s="81" t="n">
        <x:v>1</x:v>
      </x:c>
      <x:c r="M345" s="81" t="n">
        <x:v>689.85</x:v>
      </x:c>
      <x:c r="N345" s="81" t="n">
        <x:v>689.85</x:v>
      </x:c>
      <x:c r="O345" s="81" t="n">
        <x:v>1000</x:v>
      </x:c>
      <x:c r="P345" s="81" t="n">
        <x:v>92</x:v>
      </x:c>
      <x:c r="Q345" s="81" t="n">
        <x:v>78</x:v>
      </x:c>
      <x:c r="R345" s="81" t="n">
        <x:v>83</x:v>
      </x:c>
      <x:c r="S345" s="81" t="n">
        <x:v>82</x:v>
      </x:c>
      <x:c r="T345" s="81" t="n">
        <x:v>3</x:v>
      </x:c>
      <x:c r="U345" s="81" t="n">
        <x:v>1</x:v>
      </x:c>
      <x:c r="V345" s="80"/>
      <x:c r="W345" s="81" t="n">
        <x:f>IF(COUNTA(P345:S345)=4,AVERAGE(P345:S345),"")</x:f>
        <x:v>83.75</x:v>
      </x:c>
      <x:c r="X345" s="81" t="n">
        <x:f>IF(V345&lt;&gt;"",V345,W345)</x:f>
        <x:v>83.75</x:v>
      </x:c>
      <x:c r="Y345" s="80" t="str">
        <x:v>파생 단순평균(참고)</x:v>
      </x:c>
      <x:c r="Z345" s="81" t="n">
        <x:v>80</x:v>
      </x:c>
      <x:c r="AA345" s="81" t="n">
        <x:f>IF(X345&lt;&gt;"",Z345-X345,"")</x:f>
        <x:v>-3.75</x:v>
      </x:c>
      <x:c r="AB345" s="80" t="str">
        <x:f>IF(AA345="","",IF(AA345&gt;=5,"안정",IF(AA345&gt;=1,"적정",IF(AA345&gt;=-2,"소신","상향"))))</x:f>
        <x:v>상향</x:v>
      </x:c>
      <x:c r="AC345" s="82" t="n">
        <x:v>100</x:v>
      </x:c>
      <x:c r="AD345" s="82" t="n">
        <x:v>0</x:v>
      </x:c>
      <x:c r="AE345" s="82" t="n">
        <x:v>0</x:v>
      </x:c>
      <x:c r="AF345" s="80" t="str">
        <x:v>B: 공식 과목별 70% 백분위 → 단순평균 파생</x:v>
      </x:c>
      <x:c r="AG345" s="80" t="str">
        <x:v>https://www.adiga.kr/ucp/uvt/uni/univDetailSelection.do?menuId=PCUVTINF2000&amp;searchSyr=2026&amp;unvCd=0000138</x:v>
      </x:c>
    </x:row>
    <x:row r="346">
      <x:c r="A346" s="80" t="n">
        <x:v>2025</x:v>
      </x:c>
      <x:c r="B346" s="80" t="str">
        <x:v>서울특별시</x:v>
      </x:c>
      <x:c r="C346" s="80" t="str">
        <x:v>사립</x:v>
      </x:c>
      <x:c r="D346" s="80" t="str">
        <x:v>세종대학교</x:v>
      </x:c>
      <x:c r="E346" s="80" t="str">
        <x:v>나</x:v>
      </x:c>
      <x:c r="F346" s="80" t="str">
        <x:v>일반전형</x:v>
      </x:c>
      <x:c r="G346" s="80" t="str">
        <x:v>역사학과</x:v>
      </x:c>
      <x:c r="H346" s="80" t="n">
        <x:v>1</x:v>
      </x:c>
      <x:c r="I346" s="80" t="n">
        <x:v>0</x:v>
      </x:c>
      <x:c r="J346" s="80" t="n">
        <x:v>1</x:v>
      </x:c>
      <x:c r="K346" s="81" t="n">
        <x:v>16</x:v>
      </x:c>
      <x:c r="L346" s="81" t="n">
        <x:v>3</x:v>
      </x:c>
      <x:c r="M346" s="81" t="n">
        <x:v>678.09</x:v>
      </x:c>
      <x:c r="N346" s="81" t="n">
        <x:v>678.09</x:v>
      </x:c>
      <x:c r="O346" s="81" t="n">
        <x:v>1000</x:v>
      </x:c>
      <x:c r="P346" s="81" t="n">
        <x:v>83</x:v>
      </x:c>
      <x:c r="Q346" s="81" t="n">
        <x:v>68</x:v>
      </x:c>
      <x:c r="R346" s="81" t="n">
        <x:v>95</x:v>
      </x:c>
      <x:c r="S346" s="81" t="n">
        <x:v>92</x:v>
      </x:c>
      <x:c r="T346" s="81" t="n">
        <x:v>4</x:v>
      </x:c>
      <x:c r="U346" s="81" t="n">
        <x:v>1</x:v>
      </x:c>
      <x:c r="V346" s="80"/>
      <x:c r="W346" s="81" t="n">
        <x:f>IF(COUNTA(P346:S346)=4,AVERAGE(P346:S346),"")</x:f>
        <x:v>84.5</x:v>
      </x:c>
      <x:c r="X346" s="81" t="n">
        <x:f>IF(V346&lt;&gt;"",V346,W346)</x:f>
        <x:v>84.5</x:v>
      </x:c>
      <x:c r="Y346" s="80" t="str">
        <x:v>파생 단순평균(참고)</x:v>
      </x:c>
      <x:c r="Z346" s="81" t="n">
        <x:v>80</x:v>
      </x:c>
      <x:c r="AA346" s="81" t="n">
        <x:f>IF(X346&lt;&gt;"",Z346-X346,"")</x:f>
        <x:v>-4.5</x:v>
      </x:c>
      <x:c r="AB346" s="80" t="str">
        <x:f>IF(AA346="","",IF(AA346&gt;=5,"안정",IF(AA346&gt;=1,"적정",IF(AA346&gt;=-2,"소신","상향"))))</x:f>
        <x:v>상향</x:v>
      </x:c>
      <x:c r="AC346" s="82" t="n">
        <x:v>100</x:v>
      </x:c>
      <x:c r="AD346" s="82" t="n">
        <x:v>0</x:v>
      </x:c>
      <x:c r="AE346" s="82" t="n">
        <x:v>0</x:v>
      </x:c>
      <x:c r="AF346" s="80" t="str">
        <x:v>B: 공식 과목별 70% 백분위 → 단순평균 파생</x:v>
      </x:c>
      <x:c r="AG346" s="80" t="str">
        <x:v>https://www.adiga.kr/ucp/uvt/uni/univDetailSelection.do?menuId=PCUVTINF2000&amp;searchSyr=2026&amp;unvCd=0000138</x:v>
      </x:c>
    </x:row>
    <x:row r="347">
      <x:c r="A347" s="80" t="n">
        <x:v>2025</x:v>
      </x:c>
      <x:c r="B347" s="80" t="str">
        <x:v>서울특별시</x:v>
      </x:c>
      <x:c r="C347" s="80" t="str">
        <x:v>사립</x:v>
      </x:c>
      <x:c r="D347" s="80" t="str">
        <x:v>세종대학교</x:v>
      </x:c>
      <x:c r="E347" s="80" t="str">
        <x:v>나</x:v>
      </x:c>
      <x:c r="F347" s="80" t="str">
        <x:v>일반전형</x:v>
      </x:c>
      <x:c r="G347" s="80" t="str">
        <x:v>교육학과</x:v>
      </x:c>
      <x:c r="H347" s="80" t="n">
        <x:v>2</x:v>
      </x:c>
      <x:c r="I347" s="80" t="n">
        <x:v>0</x:v>
      </x:c>
      <x:c r="J347" s="80" t="n">
        <x:v>2</x:v>
      </x:c>
      <x:c r="K347" s="81" t="n">
        <x:v>12</x:v>
      </x:c>
      <x:c r="L347" s="81" t="n">
        <x:v>3</x:v>
      </x:c>
      <x:c r="M347" s="81" t="n">
        <x:v>700.42</x:v>
      </x:c>
      <x:c r="N347" s="81" t="n">
        <x:v>700.42</x:v>
      </x:c>
      <x:c r="O347" s="81" t="n">
        <x:v>1000</x:v>
      </x:c>
      <x:c r="P347" s="81" t="n">
        <x:v>86</x:v>
      </x:c>
      <x:c r="Q347" s="81" t="n">
        <x:v>85</x:v>
      </x:c>
      <x:c r="R347" s="81" t="n">
        <x:v>97</x:v>
      </x:c>
      <x:c r="S347" s="81" t="n">
        <x:v>85</x:v>
      </x:c>
      <x:c r="T347" s="81" t="n">
        <x:v>2</x:v>
      </x:c>
      <x:c r="U347" s="81" t="n">
        <x:v>3</x:v>
      </x:c>
      <x:c r="V347" s="80"/>
      <x:c r="W347" s="81" t="n">
        <x:f>IF(COUNTA(P347:S347)=4,AVERAGE(P347:S347),"")</x:f>
        <x:v>88.25</x:v>
      </x:c>
      <x:c r="X347" s="81" t="n">
        <x:f>IF(V347&lt;&gt;"",V347,W347)</x:f>
        <x:v>88.25</x:v>
      </x:c>
      <x:c r="Y347" s="80" t="str">
        <x:v>파생 단순평균(참고)</x:v>
      </x:c>
      <x:c r="Z347" s="81" t="n">
        <x:v>80</x:v>
      </x:c>
      <x:c r="AA347" s="81" t="n">
        <x:f>IF(X347&lt;&gt;"",Z347-X347,"")</x:f>
        <x:v>-8.25</x:v>
      </x:c>
      <x:c r="AB347" s="80" t="str">
        <x:f>IF(AA347="","",IF(AA347&gt;=5,"안정",IF(AA347&gt;=1,"적정",IF(AA347&gt;=-2,"소신","상향"))))</x:f>
        <x:v>상향</x:v>
      </x:c>
      <x:c r="AC347" s="82" t="n">
        <x:v>50</x:v>
      </x:c>
      <x:c r="AD347" s="82" t="n">
        <x:v>50</x:v>
      </x:c>
      <x:c r="AE347" s="82" t="n">
        <x:v>0</x:v>
      </x:c>
      <x:c r="AF347" s="80" t="str">
        <x:v>B: 공식 과목별 70% 백분위 → 단순평균 파생</x:v>
      </x:c>
      <x:c r="AG347" s="80" t="str">
        <x:v>https://www.adiga.kr/ucp/uvt/uni/univDetailSelection.do?menuId=PCUVTINF2000&amp;searchSyr=2026&amp;unvCd=0000138</x:v>
      </x:c>
    </x:row>
    <x:row r="348">
      <x:c r="A348" s="80" t="n">
        <x:v>2025</x:v>
      </x:c>
      <x:c r="B348" s="80" t="str">
        <x:v>서울특별시</x:v>
      </x:c>
      <x:c r="C348" s="80" t="str">
        <x:v>사립</x:v>
      </x:c>
      <x:c r="D348" s="80" t="str">
        <x:v>세종대학교</x:v>
      </x:c>
      <x:c r="E348" s="80" t="str">
        <x:v>나</x:v>
      </x:c>
      <x:c r="F348" s="80" t="str">
        <x:v>일반전형</x:v>
      </x:c>
      <x:c r="G348" s="80" t="str">
        <x:v>행정학과</x:v>
      </x:c>
      <x:c r="H348" s="80" t="n">
        <x:v>2</x:v>
      </x:c>
      <x:c r="I348" s="80" t="n">
        <x:v>0</x:v>
      </x:c>
      <x:c r="J348" s="80" t="n">
        <x:v>2</x:v>
      </x:c>
      <x:c r="K348" s="81" t="n">
        <x:v>12</x:v>
      </x:c>
      <x:c r="L348" s="81" t="n">
        <x:v>3</x:v>
      </x:c>
      <x:c r="M348" s="81" t="n">
        <x:v>692.34</x:v>
      </x:c>
      <x:c r="N348" s="81" t="n">
        <x:v>692.34</x:v>
      </x:c>
      <x:c r="O348" s="81" t="n">
        <x:v>1000</x:v>
      </x:c>
      <x:c r="P348" s="81" t="n">
        <x:v>85</x:v>
      </x:c>
      <x:c r="Q348" s="81" t="n">
        <x:v>90</x:v>
      </x:c>
      <x:c r="R348" s="81" t="n">
        <x:v>88</x:v>
      </x:c>
      <x:c r="S348" s="81" t="n">
        <x:v>81</x:v>
      </x:c>
      <x:c r="T348" s="81" t="n">
        <x:v>3</x:v>
      </x:c>
      <x:c r="U348" s="81" t="n">
        <x:v>5</x:v>
      </x:c>
      <x:c r="V348" s="80"/>
      <x:c r="W348" s="81" t="n">
        <x:f>IF(COUNTA(P348:S348)=4,AVERAGE(P348:S348),"")</x:f>
        <x:v>86</x:v>
      </x:c>
      <x:c r="X348" s="81" t="n">
        <x:f>IF(V348&lt;&gt;"",V348,W348)</x:f>
        <x:v>86</x:v>
      </x:c>
      <x:c r="Y348" s="80" t="str">
        <x:v>파생 단순평균(참고)</x:v>
      </x:c>
      <x:c r="Z348" s="81" t="n">
        <x:v>80</x:v>
      </x:c>
      <x:c r="AA348" s="81" t="n">
        <x:f>IF(X348&lt;&gt;"",Z348-X348,"")</x:f>
        <x:v>-6</x:v>
      </x:c>
      <x:c r="AB348" s="80" t="str">
        <x:f>IF(AA348="","",IF(AA348&gt;=5,"안정",IF(AA348&gt;=1,"적정",IF(AA348&gt;=-2,"소신","상향"))))</x:f>
        <x:v>상향</x:v>
      </x:c>
      <x:c r="AC348" s="82" t="n">
        <x:v>100</x:v>
      </x:c>
      <x:c r="AD348" s="82" t="n">
        <x:v>0</x:v>
      </x:c>
      <x:c r="AE348" s="82" t="n">
        <x:v>0</x:v>
      </x:c>
      <x:c r="AF348" s="80" t="str">
        <x:v>B: 공식 과목별 70% 백분위 → 단순평균 파생</x:v>
      </x:c>
      <x:c r="AG348" s="80" t="str">
        <x:v>https://www.adiga.kr/ucp/uvt/uni/univDetailSelection.do?menuId=PCUVTINF2000&amp;searchSyr=2026&amp;unvCd=0000138</x:v>
      </x:c>
    </x:row>
    <x:row r="349">
      <x:c r="A349" s="80" t="n">
        <x:v>2025</x:v>
      </x:c>
      <x:c r="B349" s="80" t="str">
        <x:v>서울특별시</x:v>
      </x:c>
      <x:c r="C349" s="80" t="str">
        <x:v>사립</x:v>
      </x:c>
      <x:c r="D349" s="80" t="str">
        <x:v>세종대학교</x:v>
      </x:c>
      <x:c r="E349" s="80" t="str">
        <x:v>나</x:v>
      </x:c>
      <x:c r="F349" s="80" t="str">
        <x:v>일반전형</x:v>
      </x:c>
      <x:c r="G349" s="80" t="str">
        <x:v>미디어커뮤니케이션학과</x:v>
      </x:c>
      <x:c r="H349" s="80" t="n">
        <x:v>2</x:v>
      </x:c>
      <x:c r="I349" s="80" t="n">
        <x:v>0</x:v>
      </x:c>
      <x:c r="J349" s="80" t="n">
        <x:v>2</x:v>
      </x:c>
      <x:c r="K349" s="81" t="n">
        <x:v>12</x:v>
      </x:c>
      <x:c r="L349" s="81" t="n">
        <x:v>3</x:v>
      </x:c>
      <x:c r="M349" s="81" t="n">
        <x:v>696.36</x:v>
      </x:c>
      <x:c r="N349" s="81" t="n">
        <x:v>696.36</x:v>
      </x:c>
      <x:c r="O349" s="81" t="n">
        <x:v>1000</x:v>
      </x:c>
      <x:c r="P349" s="81" t="n">
        <x:v>83</x:v>
      </x:c>
      <x:c r="Q349" s="81" t="n">
        <x:v>92</x:v>
      </x:c>
      <x:c r="R349" s="81" t="n">
        <x:v>85</x:v>
      </x:c>
      <x:c r="S349" s="81" t="n">
        <x:v>80</x:v>
      </x:c>
      <x:c r="T349" s="81" t="n">
        <x:v>2</x:v>
      </x:c>
      <x:c r="U349" s="81" t="n">
        <x:v>1</x:v>
      </x:c>
      <x:c r="V349" s="80"/>
      <x:c r="W349" s="81" t="n">
        <x:f>IF(COUNTA(P349:S349)=4,AVERAGE(P349:S349),"")</x:f>
        <x:v>85</x:v>
      </x:c>
      <x:c r="X349" s="81" t="n">
        <x:f>IF(V349&lt;&gt;"",V349,W349)</x:f>
        <x:v>85</x:v>
      </x:c>
      <x:c r="Y349" s="80" t="str">
        <x:v>파생 단순평균(참고)</x:v>
      </x:c>
      <x:c r="Z349" s="81" t="n">
        <x:v>80</x:v>
      </x:c>
      <x:c r="AA349" s="81" t="n">
        <x:f>IF(X349&lt;&gt;"",Z349-X349,"")</x:f>
        <x:v>-5</x:v>
      </x:c>
      <x:c r="AB349" s="80" t="str">
        <x:f>IF(AA349="","",IF(AA349&gt;=5,"안정",IF(AA349&gt;=1,"적정",IF(AA349&gt;=-2,"소신","상향"))))</x:f>
        <x:v>상향</x:v>
      </x:c>
      <x:c r="AC349" s="82" t="n">
        <x:v>50</x:v>
      </x:c>
      <x:c r="AD349" s="82" t="n">
        <x:v>50</x:v>
      </x:c>
      <x:c r="AE349" s="82" t="n">
        <x:v>0</x:v>
      </x:c>
      <x:c r="AF349" s="80" t="str">
        <x:v>B: 공식 과목별 70% 백분위 → 단순평균 파생</x:v>
      </x:c>
      <x:c r="AG349" s="80" t="str">
        <x:v>https://www.adiga.kr/ucp/uvt/uni/univDetailSelection.do?menuId=PCUVTINF2000&amp;searchSyr=2026&amp;unvCd=0000138</x:v>
      </x:c>
    </x:row>
    <x:row r="350">
      <x:c r="A350" s="80" t="n">
        <x:v>2025</x:v>
      </x:c>
      <x:c r="B350" s="80" t="str">
        <x:v>서울특별시</x:v>
      </x:c>
      <x:c r="C350" s="80" t="str">
        <x:v>사립</x:v>
      </x:c>
      <x:c r="D350" s="80" t="str">
        <x:v>세종대학교</x:v>
      </x:c>
      <x:c r="E350" s="80" t="str">
        <x:v>나</x:v>
      </x:c>
      <x:c r="F350" s="80" t="str">
        <x:v>일반전형</x:v>
      </x:c>
      <x:c r="G350" s="80" t="str">
        <x:v>경상호텔관광계열</x:v>
      </x:c>
      <x:c r="H350" s="80" t="n">
        <x:v>126</x:v>
      </x:c>
      <x:c r="I350" s="80" t="n">
        <x:v>0</x:v>
      </x:c>
      <x:c r="J350" s="80" t="n">
        <x:v>126</x:v>
      </x:c>
      <x:c r="K350" s="81" t="n">
        <x:v>4.28</x:v>
      </x:c>
      <x:c r="L350" s="81" t="n">
        <x:v>120</x:v>
      </x:c>
      <x:c r="M350" s="81" t="n">
        <x:v>689.87</x:v>
      </x:c>
      <x:c r="N350" s="81" t="n">
        <x:v>688.67</x:v>
      </x:c>
      <x:c r="O350" s="81" t="n">
        <x:v>1000</x:v>
      </x:c>
      <x:c r="P350" s="81" t="n">
        <x:v>96</x:v>
      </x:c>
      <x:c r="Q350" s="81" t="n">
        <x:v>78</x:v>
      </x:c>
      <x:c r="R350" s="81" t="n">
        <x:v>81</x:v>
      </x:c>
      <x:c r="S350" s="81" t="n">
        <x:v>64</x:v>
      </x:c>
      <x:c r="T350" s="81" t="n">
        <x:v>3</x:v>
      </x:c>
      <x:c r="U350" s="81" t="n">
        <x:v>1</x:v>
      </x:c>
      <x:c r="V350" s="80"/>
      <x:c r="W350" s="81" t="n">
        <x:f>IF(COUNTA(P350:S350)=4,AVERAGE(P350:S350),"")</x:f>
        <x:v>79.75</x:v>
      </x:c>
      <x:c r="X350" s="81" t="n">
        <x:f>IF(V350&lt;&gt;"",V350,W350)</x:f>
        <x:v>79.75</x:v>
      </x:c>
      <x:c r="Y350" s="80" t="str">
        <x:v>파생 단순평균(참고)</x:v>
      </x:c>
      <x:c r="Z350" s="81" t="n">
        <x:v>80</x:v>
      </x:c>
      <x:c r="AA350" s="81" t="n">
        <x:f>IF(X350&lt;&gt;"",Z350-X350,"")</x:f>
        <x:v>0.25</x:v>
      </x:c>
      <x:c r="AB350" s="80" t="str">
        <x:f>IF(AA350="","",IF(AA350&gt;=5,"안정",IF(AA350&gt;=1,"적정",IF(AA350&gt;=-2,"소신","상향"))))</x:f>
        <x:v>소신</x:v>
      </x:c>
      <x:c r="AC350" s="82" t="n">
        <x:v>78</x:v>
      </x:c>
      <x:c r="AD350" s="82" t="n">
        <x:v>22</x:v>
      </x:c>
      <x:c r="AE350" s="82" t="n">
        <x:v>0</x:v>
      </x:c>
      <x:c r="AF350" s="80" t="str">
        <x:v>B: 공식 과목별 70% 백분위 → 단순평균 파생</x:v>
      </x:c>
      <x:c r="AG350" s="80" t="str">
        <x:v>https://www.adiga.kr/ucp/uvt/uni/univDetailSelection.do?menuId=PCUVTINF2000&amp;searchSyr=2026&amp;unvCd=0000138</x:v>
      </x:c>
    </x:row>
    <x:row r="351">
      <x:c r="A351" s="80" t="n">
        <x:v>2025</x:v>
      </x:c>
      <x:c r="B351" s="80" t="str">
        <x:v>서울특별시</x:v>
      </x:c>
      <x:c r="C351" s="80" t="str">
        <x:v>사립</x:v>
      </x:c>
      <x:c r="D351" s="80" t="str">
        <x:v>세종대학교</x:v>
      </x:c>
      <x:c r="E351" s="80" t="str">
        <x:v>나</x:v>
      </x:c>
      <x:c r="F351" s="80" t="str">
        <x:v>일반전형</x:v>
      </x:c>
      <x:c r="G351" s="80" t="str">
        <x:v>경영학부</x:v>
      </x:c>
      <x:c r="H351" s="80" t="n">
        <x:v>3</x:v>
      </x:c>
      <x:c r="I351" s="80" t="n">
        <x:v>0</x:v>
      </x:c>
      <x:c r="J351" s="80" t="n">
        <x:v>3</x:v>
      </x:c>
      <x:c r="K351" s="81" t="n">
        <x:v>9</x:v>
      </x:c>
      <x:c r="L351" s="81" t="n">
        <x:v>7</x:v>
      </x:c>
      <x:c r="M351" s="81" t="n">
        <x:v>688.4</x:v>
      </x:c>
      <x:c r="N351" s="81" t="n">
        <x:v>687.84</x:v>
      </x:c>
      <x:c r="O351" s="81" t="n">
        <x:v>1000</x:v>
      </x:c>
      <x:c r="P351" s="81" t="n">
        <x:v>86</x:v>
      </x:c>
      <x:c r="Q351" s="81" t="n">
        <x:v>70</x:v>
      </x:c>
      <x:c r="R351" s="81" t="n">
        <x:v>98</x:v>
      </x:c>
      <x:c r="S351" s="81" t="n">
        <x:v>87</x:v>
      </x:c>
      <x:c r="T351" s="81" t="n">
        <x:v>3</x:v>
      </x:c>
      <x:c r="U351" s="81" t="n">
        <x:v>1</x:v>
      </x:c>
      <x:c r="V351" s="80"/>
      <x:c r="W351" s="81" t="n">
        <x:f>IF(COUNTA(P351:S351)=4,AVERAGE(P351:S351),"")</x:f>
        <x:v>85.25</x:v>
      </x:c>
      <x:c r="X351" s="81" t="n">
        <x:f>IF(V351&lt;&gt;"",V351,W351)</x:f>
        <x:v>85.25</x:v>
      </x:c>
      <x:c r="Y351" s="80" t="str">
        <x:v>파생 단순평균(참고)</x:v>
      </x:c>
      <x:c r="Z351" s="81" t="n">
        <x:v>80</x:v>
      </x:c>
      <x:c r="AA351" s="81" t="n">
        <x:f>IF(X351&lt;&gt;"",Z351-X351,"")</x:f>
        <x:v>-5.25</x:v>
      </x:c>
      <x:c r="AB351" s="80" t="str">
        <x:f>IF(AA351="","",IF(AA351&gt;=5,"안정",IF(AA351&gt;=1,"적정",IF(AA351&gt;=-2,"소신","상향"))))</x:f>
        <x:v>상향</x:v>
      </x:c>
      <x:c r="AC351" s="82" t="n">
        <x:v>33</x:v>
      </x:c>
      <x:c r="AD351" s="82" t="n">
        <x:v>33</x:v>
      </x:c>
      <x:c r="AE351" s="82" t="n">
        <x:v>33</x:v>
      </x:c>
      <x:c r="AF351" s="80" t="str">
        <x:v>B: 공식 과목별 70% 백분위 → 단순평균 파생</x:v>
      </x:c>
      <x:c r="AG351" s="80" t="str">
        <x:v>https://www.adiga.kr/ucp/uvt/uni/univDetailSelection.do?menuId=PCUVTINF2000&amp;searchSyr=2026&amp;unvCd=0000138</x:v>
      </x:c>
    </x:row>
    <x:row r="352">
      <x:c r="A352" s="80" t="n">
        <x:v>2025</x:v>
      </x:c>
      <x:c r="B352" s="80" t="str">
        <x:v>서울특별시</x:v>
      </x:c>
      <x:c r="C352" s="80" t="str">
        <x:v>사립</x:v>
      </x:c>
      <x:c r="D352" s="80" t="str">
        <x:v>세종대학교</x:v>
      </x:c>
      <x:c r="E352" s="80" t="str">
        <x:v>나</x:v>
      </x:c>
      <x:c r="F352" s="80" t="str">
        <x:v>일반전형</x:v>
      </x:c>
      <x:c r="G352" s="80" t="str">
        <x:v>수학통계학과</x:v>
      </x:c>
      <x:c r="H352" s="80" t="n">
        <x:v>2</x:v>
      </x:c>
      <x:c r="I352" s="80" t="n">
        <x:v>0</x:v>
      </x:c>
      <x:c r="J352" s="80" t="n">
        <x:v>2</x:v>
      </x:c>
      <x:c r="K352" s="81" t="n">
        <x:v>9</x:v>
      </x:c>
      <x:c r="L352" s="81" t="n">
        <x:v>2</x:v>
      </x:c>
      <x:c r="M352" s="81" t="n">
        <x:v>718.51</x:v>
      </x:c>
      <x:c r="N352" s="81" t="n">
        <x:v>718.51</x:v>
      </x:c>
      <x:c r="O352" s="81" t="n">
        <x:v>1000</x:v>
      </x:c>
      <x:c r="P352" s="81" t="n">
        <x:v>70</x:v>
      </x:c>
      <x:c r="Q352" s="81" t="n">
        <x:v>95</x:v>
      </x:c>
      <x:c r="R352" s="81" t="n">
        <x:v>96</x:v>
      </x:c>
      <x:c r="S352" s="81" t="n">
        <x:v>75</x:v>
      </x:c>
      <x:c r="T352" s="81" t="n">
        <x:v>3</x:v>
      </x:c>
      <x:c r="U352" s="81" t="n">
        <x:v>2</x:v>
      </x:c>
      <x:c r="V352" s="80"/>
      <x:c r="W352" s="81" t="n">
        <x:f>IF(COUNTA(P352:S352)=4,AVERAGE(P352:S352),"")</x:f>
        <x:v>84</x:v>
      </x:c>
      <x:c r="X352" s="81" t="n">
        <x:f>IF(V352&lt;&gt;"",V352,W352)</x:f>
        <x:v>84</x:v>
      </x:c>
      <x:c r="Y352" s="80" t="str">
        <x:v>파생 단순평균(참고)</x:v>
      </x:c>
      <x:c r="Z352" s="81" t="n">
        <x:v>80</x:v>
      </x:c>
      <x:c r="AA352" s="81" t="n">
        <x:f>IF(X352&lt;&gt;"",Z352-X352,"")</x:f>
        <x:v>-4</x:v>
      </x:c>
      <x:c r="AB352" s="80" t="str">
        <x:f>IF(AA352="","",IF(AA352&gt;=5,"안정",IF(AA352&gt;=1,"적정",IF(AA352&gt;=-2,"소신","상향"))))</x:f>
        <x:v>상향</x:v>
      </x:c>
      <x:c r="AC352" s="82" t="n">
        <x:v>0</x:v>
      </x:c>
      <x:c r="AD352" s="82" t="n">
        <x:v>100</x:v>
      </x:c>
      <x:c r="AE352" s="82" t="n">
        <x:v>0</x:v>
      </x:c>
      <x:c r="AF352" s="80" t="str">
        <x:v>B: 공식 과목별 70% 백분위 → 단순평균 파생</x:v>
      </x:c>
      <x:c r="AG352" s="80" t="str">
        <x:v>https://www.adiga.kr/ucp/uvt/uni/univDetailSelection.do?menuId=PCUVTINF2000&amp;searchSyr=2026&amp;unvCd=0000138</x:v>
      </x:c>
    </x:row>
    <x:row r="353">
      <x:c r="A353" s="80" t="n">
        <x:v>2025</x:v>
      </x:c>
      <x:c r="B353" s="80" t="str">
        <x:v>서울특별시</x:v>
      </x:c>
      <x:c r="C353" s="80" t="str">
        <x:v>사립</x:v>
      </x:c>
      <x:c r="D353" s="80" t="str">
        <x:v>세종대학교</x:v>
      </x:c>
      <x:c r="E353" s="80" t="str">
        <x:v>나</x:v>
      </x:c>
      <x:c r="F353" s="80" t="str">
        <x:v>일반전형</x:v>
      </x:c>
      <x:c r="G353" s="80" t="str">
        <x:v>물리천문학과</x:v>
      </x:c>
      <x:c r="H353" s="80" t="n">
        <x:v>2</x:v>
      </x:c>
      <x:c r="I353" s="80" t="n">
        <x:v>0</x:v>
      </x:c>
      <x:c r="J353" s="80" t="n">
        <x:v>2</x:v>
      </x:c>
      <x:c r="K353" s="81" t="n">
        <x:v>19</x:v>
      </x:c>
      <x:c r="L353" s="81" t="n">
        <x:v>0</x:v>
      </x:c>
      <x:c r="M353" s="81" t="n">
        <x:v>725.1</x:v>
      </x:c>
      <x:c r="N353" s="81" t="n">
        <x:v>725.1</x:v>
      </x:c>
      <x:c r="O353" s="81" t="n">
        <x:v>1000</x:v>
      </x:c>
      <x:c r="P353" s="81" t="n">
        <x:v>91</x:v>
      </x:c>
      <x:c r="Q353" s="81" t="n">
        <x:v>97</x:v>
      </x:c>
      <x:c r="R353" s="81" t="n">
        <x:v>88</x:v>
      </x:c>
      <x:c r="S353" s="81" t="n">
        <x:v>64</x:v>
      </x:c>
      <x:c r="T353" s="81" t="n">
        <x:v>4</x:v>
      </x:c>
      <x:c r="U353" s="81" t="n">
        <x:v>2</x:v>
      </x:c>
      <x:c r="V353" s="80"/>
      <x:c r="W353" s="81" t="n">
        <x:f>IF(COUNTA(P353:S353)=4,AVERAGE(P353:S353),"")</x:f>
        <x:v>85</x:v>
      </x:c>
      <x:c r="X353" s="81" t="n">
        <x:f>IF(V353&lt;&gt;"",V353,W353)</x:f>
        <x:v>85</x:v>
      </x:c>
      <x:c r="Y353" s="80" t="str">
        <x:v>파생 단순평균(참고)</x:v>
      </x:c>
      <x:c r="Z353" s="81" t="n">
        <x:v>80</x:v>
      </x:c>
      <x:c r="AA353" s="81" t="n">
        <x:f>IF(X353&lt;&gt;"",Z353-X353,"")</x:f>
        <x:v>-5</x:v>
      </x:c>
      <x:c r="AB353" s="80" t="str">
        <x:f>IF(AA353="","",IF(AA353&gt;=5,"안정",IF(AA353&gt;=1,"적정",IF(AA353&gt;=-2,"소신","상향"))))</x:f>
        <x:v>상향</x:v>
      </x:c>
      <x:c r="AC353" s="82" t="n">
        <x:v>0</x:v>
      </x:c>
      <x:c r="AD353" s="82" t="n">
        <x:v>100</x:v>
      </x:c>
      <x:c r="AE353" s="82" t="n">
        <x:v>0</x:v>
      </x:c>
      <x:c r="AF353" s="80" t="str">
        <x:v>B: 공식 과목별 70% 백분위 → 단순평균 파생</x:v>
      </x:c>
      <x:c r="AG353" s="80" t="str">
        <x:v>https://www.adiga.kr/ucp/uvt/uni/univDetailSelection.do?menuId=PCUVTINF2000&amp;searchSyr=2026&amp;unvCd=0000138</x:v>
      </x:c>
    </x:row>
    <x:row r="354">
      <x:c r="A354" s="80" t="n">
        <x:v>2025</x:v>
      </x:c>
      <x:c r="B354" s="80" t="str">
        <x:v>서울특별시</x:v>
      </x:c>
      <x:c r="C354" s="80" t="str">
        <x:v>사립</x:v>
      </x:c>
      <x:c r="D354" s="80" t="str">
        <x:v>세종대학교</x:v>
      </x:c>
      <x:c r="E354" s="80" t="str">
        <x:v>나</x:v>
      </x:c>
      <x:c r="F354" s="80" t="str">
        <x:v>일반전형</x:v>
      </x:c>
      <x:c r="G354" s="80" t="str">
        <x:v>화학과</x:v>
      </x:c>
      <x:c r="H354" s="80" t="n">
        <x:v>2</x:v>
      </x:c>
      <x:c r="I354" s="80" t="n">
        <x:v>0</x:v>
      </x:c>
      <x:c r="J354" s="80" t="n">
        <x:v>2</x:v>
      </x:c>
      <x:c r="K354" s="81" t="n">
        <x:v>8.5</x:v>
      </x:c>
      <x:c r="L354" s="81" t="n">
        <x:v>3</x:v>
      </x:c>
      <x:c r="M354" s="81" t="n">
        <x:v>704.07</x:v>
      </x:c>
      <x:c r="N354" s="81" t="n">
        <x:v>704.07</x:v>
      </x:c>
      <x:c r="O354" s="81" t="n">
        <x:v>1000</x:v>
      </x:c>
      <x:c r="P354" s="81" t="n">
        <x:v>75</x:v>
      </x:c>
      <x:c r="Q354" s="81" t="n">
        <x:v>87</x:v>
      </x:c>
      <x:c r="R354" s="81" t="n">
        <x:v>84</x:v>
      </x:c>
      <x:c r="S354" s="81" t="n">
        <x:v>71</x:v>
      </x:c>
      <x:c r="T354" s="81" t="n">
        <x:v>2</x:v>
      </x:c>
      <x:c r="U354" s="81" t="n">
        <x:v>3</x:v>
      </x:c>
      <x:c r="V354" s="80"/>
      <x:c r="W354" s="81" t="n">
        <x:f>IF(COUNTA(P354:S354)=4,AVERAGE(P354:S354),"")</x:f>
        <x:v>79.25</x:v>
      </x:c>
      <x:c r="X354" s="81" t="n">
        <x:f>IF(V354&lt;&gt;"",V354,W354)</x:f>
        <x:v>79.25</x:v>
      </x:c>
      <x:c r="Y354" s="80" t="str">
        <x:v>파생 단순평균(참고)</x:v>
      </x:c>
      <x:c r="Z354" s="81" t="n">
        <x:v>80</x:v>
      </x:c>
      <x:c r="AA354" s="81" t="n">
        <x:f>IF(X354&lt;&gt;"",Z354-X354,"")</x:f>
        <x:v>0.75</x:v>
      </x:c>
      <x:c r="AB354" s="80" t="str">
        <x:f>IF(AA354="","",IF(AA354&gt;=5,"안정",IF(AA354&gt;=1,"적정",IF(AA354&gt;=-2,"소신","상향"))))</x:f>
        <x:v>소신</x:v>
      </x:c>
      <x:c r="AC354" s="82" t="n">
        <x:v>0</x:v>
      </x:c>
      <x:c r="AD354" s="82" t="n">
        <x:v>50</x:v>
      </x:c>
      <x:c r="AE354" s="82" t="n">
        <x:v>50</x:v>
      </x:c>
      <x:c r="AF354" s="80" t="str">
        <x:v>B: 공식 과목별 70% 백분위 → 단순평균 파생</x:v>
      </x:c>
      <x:c r="AG354" s="80" t="str">
        <x:v>https://www.adiga.kr/ucp/uvt/uni/univDetailSelection.do?menuId=PCUVTINF2000&amp;searchSyr=2026&amp;unvCd=0000138</x:v>
      </x:c>
    </x:row>
    <x:row r="355">
      <x:c r="A355" s="80" t="n">
        <x:v>2025</x:v>
      </x:c>
      <x:c r="B355" s="80" t="str">
        <x:v>서울특별시</x:v>
      </x:c>
      <x:c r="C355" s="80" t="str">
        <x:v>사립</x:v>
      </x:c>
      <x:c r="D355" s="80" t="str">
        <x:v>세종대학교</x:v>
      </x:c>
      <x:c r="E355" s="80" t="str">
        <x:v>나</x:v>
      </x:c>
      <x:c r="F355" s="80" t="str">
        <x:v>일반전형</x:v>
      </x:c>
      <x:c r="G355" s="80" t="str">
        <x:v>생명시스템학부</x:v>
      </x:c>
      <x:c r="H355" s="80" t="n">
        <x:v>3</x:v>
      </x:c>
      <x:c r="I355" s="80" t="n">
        <x:v>0</x:v>
      </x:c>
      <x:c r="J355" s="80" t="n">
        <x:v>3</x:v>
      </x:c>
      <x:c r="K355" s="81" t="n">
        <x:v>11</x:v>
      </x:c>
      <x:c r="L355" s="81" t="n">
        <x:v>0</x:v>
      </x:c>
      <x:c r="M355" s="81" t="n">
        <x:v>724.15</x:v>
      </x:c>
      <x:c r="N355" s="81" t="n">
        <x:v>719.38</x:v>
      </x:c>
      <x:c r="O355" s="81" t="n">
        <x:v>1000</x:v>
      </x:c>
      <x:c r="P355" s="81" t="n">
        <x:v>83</x:v>
      </x:c>
      <x:c r="Q355" s="81" t="n">
        <x:v>93</x:v>
      </x:c>
      <x:c r="R355" s="81" t="n">
        <x:v>87</x:v>
      </x:c>
      <x:c r="S355" s="81" t="n">
        <x:v>79</x:v>
      </x:c>
      <x:c r="T355" s="81" t="n">
        <x:v>4</x:v>
      </x:c>
      <x:c r="U355" s="81" t="n">
        <x:v>2</x:v>
      </x:c>
      <x:c r="V355" s="80"/>
      <x:c r="W355" s="81" t="n">
        <x:f>IF(COUNTA(P355:S355)=4,AVERAGE(P355:S355),"")</x:f>
        <x:v>85.5</x:v>
      </x:c>
      <x:c r="X355" s="81" t="n">
        <x:f>IF(V355&lt;&gt;"",V355,W355)</x:f>
        <x:v>85.5</x:v>
      </x:c>
      <x:c r="Y355" s="80" t="str">
        <x:v>파생 단순평균(참고)</x:v>
      </x:c>
      <x:c r="Z355" s="81" t="n">
        <x:v>80</x:v>
      </x:c>
      <x:c r="AA355" s="81" t="n">
        <x:f>IF(X355&lt;&gt;"",Z355-X355,"")</x:f>
        <x:v>-5.5</x:v>
      </x:c>
      <x:c r="AB355" s="80" t="str">
        <x:f>IF(AA355="","",IF(AA355&gt;=5,"안정",IF(AA355&gt;=1,"적정",IF(AA355&gt;=-2,"소신","상향"))))</x:f>
        <x:v>상향</x:v>
      </x:c>
      <x:c r="AC355" s="82" t="n">
        <x:v>0</x:v>
      </x:c>
      <x:c r="AD355" s="82" t="n">
        <x:v>100</x:v>
      </x:c>
      <x:c r="AE355" s="82" t="n">
        <x:v>0</x:v>
      </x:c>
      <x:c r="AF355" s="80" t="str">
        <x:v>B: 공식 과목별 70% 백분위 → 단순평균 파생</x:v>
      </x:c>
      <x:c r="AG355" s="80" t="str">
        <x:v>https://www.adiga.kr/ucp/uvt/uni/univDetailSelection.do?menuId=PCUVTINF2000&amp;searchSyr=2026&amp;unvCd=0000138</x:v>
      </x:c>
    </x:row>
    <x:row r="356">
      <x:c r="A356" s="80" t="n">
        <x:v>2025</x:v>
      </x:c>
      <x:c r="B356" s="80" t="str">
        <x:v>서울특별시</x:v>
      </x:c>
      <x:c r="C356" s="80" t="str">
        <x:v>사립</x:v>
      </x:c>
      <x:c r="D356" s="80" t="str">
        <x:v>세종대학교</x:v>
      </x:c>
      <x:c r="E356" s="80" t="str">
        <x:v>나</x:v>
      </x:c>
      <x:c r="F356" s="80" t="str">
        <x:v>일반전형</x:v>
      </x:c>
      <x:c r="G356" s="80" t="str">
        <x:v>AI 융합전자공학과</x:v>
      </x:c>
      <x:c r="H356" s="80" t="n">
        <x:v>2</x:v>
      </x:c>
      <x:c r="I356" s="80" t="n">
        <x:v>0</x:v>
      </x:c>
      <x:c r="J356" s="80" t="n">
        <x:v>2</x:v>
      </x:c>
      <x:c r="K356" s="81" t="n">
        <x:v>16</x:v>
      </x:c>
      <x:c r="L356" s="81" t="n">
        <x:v>2</x:v>
      </x:c>
      <x:c r="M356" s="81" t="n">
        <x:v>696.43</x:v>
      </x:c>
      <x:c r="N356" s="81" t="n">
        <x:v>696.43</x:v>
      </x:c>
      <x:c r="O356" s="81" t="n">
        <x:v>1000</x:v>
      </x:c>
      <x:c r="P356" s="81" t="n">
        <x:v>77</x:v>
      </x:c>
      <x:c r="Q356" s="81" t="n">
        <x:v>87</x:v>
      </x:c>
      <x:c r="R356" s="81" t="n">
        <x:v>77</x:v>
      </x:c>
      <x:c r="S356" s="81" t="n">
        <x:v>75</x:v>
      </x:c>
      <x:c r="T356" s="81" t="n">
        <x:v>2</x:v>
      </x:c>
      <x:c r="U356" s="81" t="n">
        <x:v>3</x:v>
      </x:c>
      <x:c r="V356" s="80"/>
      <x:c r="W356" s="81" t="n">
        <x:f>IF(COUNTA(P356:S356)=4,AVERAGE(P356:S356),"")</x:f>
        <x:v>79</x:v>
      </x:c>
      <x:c r="X356" s="81" t="n">
        <x:f>IF(V356&lt;&gt;"",V356,W356)</x:f>
        <x:v>79</x:v>
      </x:c>
      <x:c r="Y356" s="80" t="str">
        <x:v>파생 단순평균(참고)</x:v>
      </x:c>
      <x:c r="Z356" s="81" t="n">
        <x:v>80</x:v>
      </x:c>
      <x:c r="AA356" s="81" t="n">
        <x:f>IF(X356&lt;&gt;"",Z356-X356,"")</x:f>
        <x:v>1</x:v>
      </x:c>
      <x:c r="AB356" s="80" t="str">
        <x:f>IF(AA356="","",IF(AA356&gt;=5,"안정",IF(AA356&gt;=1,"적정",IF(AA356&gt;=-2,"소신","상향"))))</x:f>
        <x:v>적정</x:v>
      </x:c>
      <x:c r="AC356" s="82" t="n">
        <x:v>0</x:v>
      </x:c>
      <x:c r="AD356" s="82" t="n">
        <x:v>100</x:v>
      </x:c>
      <x:c r="AE356" s="82" t="n">
        <x:v>0</x:v>
      </x:c>
      <x:c r="AF356" s="80" t="str">
        <x:v>B: 공식 과목별 70% 백분위 → 단순평균 파생</x:v>
      </x:c>
      <x:c r="AG356" s="80" t="str">
        <x:v>https://www.adiga.kr/ucp/uvt/uni/univDetailSelection.do?menuId=PCUVTINF2000&amp;searchSyr=2026&amp;unvCd=0000138</x:v>
      </x:c>
    </x:row>
    <x:row r="357">
      <x:c r="A357" s="80" t="n">
        <x:v>2025</x:v>
      </x:c>
      <x:c r="B357" s="80" t="str">
        <x:v>서울특별시</x:v>
      </x:c>
      <x:c r="C357" s="80" t="str">
        <x:v>사립</x:v>
      </x:c>
      <x:c r="D357" s="80" t="str">
        <x:v>세종대학교</x:v>
      </x:c>
      <x:c r="E357" s="80" t="str">
        <x:v>나</x:v>
      </x:c>
      <x:c r="F357" s="80" t="str">
        <x:v>일반전형</x:v>
      </x:c>
      <x:c r="G357" s="80" t="str">
        <x:v>반도체시스템공학과</x:v>
      </x:c>
      <x:c r="H357" s="80" t="n">
        <x:v>2</x:v>
      </x:c>
      <x:c r="I357" s="80" t="n">
        <x:v>0</x:v>
      </x:c>
      <x:c r="J357" s="80" t="n">
        <x:v>2</x:v>
      </x:c>
      <x:c r="K357" s="81" t="n">
        <x:v>10</x:v>
      </x:c>
      <x:c r="L357" s="81" t="n">
        <x:v>4</x:v>
      </x:c>
      <x:c r="M357" s="81" t="n">
        <x:v>709.98</x:v>
      </x:c>
      <x:c r="N357" s="81" t="n">
        <x:v>709.98</x:v>
      </x:c>
      <x:c r="O357" s="81" t="n">
        <x:v>1000</x:v>
      </x:c>
      <x:c r="P357" s="81" t="n">
        <x:v>67</x:v>
      </x:c>
      <x:c r="Q357" s="81" t="n">
        <x:v>92</x:v>
      </x:c>
      <x:c r="R357" s="81" t="n">
        <x:v>100</x:v>
      </x:c>
      <x:c r="S357" s="81" t="n">
        <x:v>90</x:v>
      </x:c>
      <x:c r="T357" s="81" t="n">
        <x:v>4</x:v>
      </x:c>
      <x:c r="U357" s="81" t="n">
        <x:v>3</x:v>
      </x:c>
      <x:c r="V357" s="80"/>
      <x:c r="W357" s="81" t="n">
        <x:f>IF(COUNTA(P357:S357)=4,AVERAGE(P357:S357),"")</x:f>
        <x:v>87.25</x:v>
      </x:c>
      <x:c r="X357" s="81" t="n">
        <x:f>IF(V357&lt;&gt;"",V357,W357)</x:f>
        <x:v>87.25</x:v>
      </x:c>
      <x:c r="Y357" s="80" t="str">
        <x:v>파생 단순평균(참고)</x:v>
      </x:c>
      <x:c r="Z357" s="81" t="n">
        <x:v>80</x:v>
      </x:c>
      <x:c r="AA357" s="81" t="n">
        <x:f>IF(X357&lt;&gt;"",Z357-X357,"")</x:f>
        <x:v>-7.25</x:v>
      </x:c>
      <x:c r="AB357" s="80" t="str">
        <x:f>IF(AA357="","",IF(AA357&gt;=5,"안정",IF(AA357&gt;=1,"적정",IF(AA357&gt;=-2,"소신","상향"))))</x:f>
        <x:v>상향</x:v>
      </x:c>
      <x:c r="AC357" s="82" t="n">
        <x:v>0</x:v>
      </x:c>
      <x:c r="AD357" s="82" t="n">
        <x:v>100</x:v>
      </x:c>
      <x:c r="AE357" s="82" t="n">
        <x:v>0</x:v>
      </x:c>
      <x:c r="AF357" s="80" t="str">
        <x:v>B: 공식 과목별 70% 백분위 → 단순평균 파생</x:v>
      </x:c>
      <x:c r="AG357" s="80" t="str">
        <x:v>https://www.adiga.kr/ucp/uvt/uni/univDetailSelection.do?menuId=PCUVTINF2000&amp;searchSyr=2026&amp;unvCd=0000138</x:v>
      </x:c>
    </x:row>
    <x:row r="358">
      <x:c r="A358" s="80" t="n">
        <x:v>2025</x:v>
      </x:c>
      <x:c r="B358" s="80" t="str">
        <x:v>서울특별시</x:v>
      </x:c>
      <x:c r="C358" s="80" t="str">
        <x:v>사립</x:v>
      </x:c>
      <x:c r="D358" s="80" t="str">
        <x:v>세종대학교</x:v>
      </x:c>
      <x:c r="E358" s="80" t="str">
        <x:v>나</x:v>
      </x:c>
      <x:c r="F358" s="80" t="str">
        <x:v>일반전형</x:v>
      </x:c>
      <x:c r="G358" s="80" t="str">
        <x:v>컴퓨터공학과</x:v>
      </x:c>
      <x:c r="H358" s="80" t="n">
        <x:v>2</x:v>
      </x:c>
      <x:c r="I358" s="80" t="n">
        <x:v>2</x:v>
      </x:c>
      <x:c r="J358" s="80" t="n">
        <x:v>4</x:v>
      </x:c>
      <x:c r="K358" s="81" t="n">
        <x:v>10.5</x:v>
      </x:c>
      <x:c r="L358" s="81" t="n">
        <x:v>5</x:v>
      </x:c>
      <x:c r="M358" s="81" t="n">
        <x:v>708.29</x:v>
      </x:c>
      <x:c r="N358" s="81" t="n">
        <x:v>708.29</x:v>
      </x:c>
      <x:c r="O358" s="81" t="n">
        <x:v>1000</x:v>
      </x:c>
      <x:c r="P358" s="81" t="n">
        <x:v>98</x:v>
      </x:c>
      <x:c r="Q358" s="81" t="n">
        <x:v>92</x:v>
      </x:c>
      <x:c r="R358" s="81" t="n">
        <x:v>79</x:v>
      </x:c>
      <x:c r="S358" s="81" t="n">
        <x:v>59</x:v>
      </x:c>
      <x:c r="T358" s="81" t="n">
        <x:v>4</x:v>
      </x:c>
      <x:c r="U358" s="81" t="n">
        <x:v>2</x:v>
      </x:c>
      <x:c r="V358" s="80"/>
      <x:c r="W358" s="81" t="n">
        <x:f>IF(COUNTA(P358:S358)=4,AVERAGE(P358:S358),"")</x:f>
        <x:v>82</x:v>
      </x:c>
      <x:c r="X358" s="81" t="n">
        <x:f>IF(V358&lt;&gt;"",V358,W358)</x:f>
        <x:v>82</x:v>
      </x:c>
      <x:c r="Y358" s="80" t="str">
        <x:v>파생 단순평균(참고)</x:v>
      </x:c>
      <x:c r="Z358" s="81" t="n">
        <x:v>80</x:v>
      </x:c>
      <x:c r="AA358" s="81" t="n">
        <x:f>IF(X358&lt;&gt;"",Z358-X358,"")</x:f>
        <x:v>-2</x:v>
      </x:c>
      <x:c r="AB358" s="80" t="str">
        <x:f>IF(AA358="","",IF(AA358&gt;=5,"안정",IF(AA358&gt;=1,"적정",IF(AA358&gt;=-2,"소신","상향"))))</x:f>
        <x:v>소신</x:v>
      </x:c>
      <x:c r="AC358" s="82" t="n">
        <x:v>0</x:v>
      </x:c>
      <x:c r="AD358" s="82" t="n">
        <x:v>100</x:v>
      </x:c>
      <x:c r="AE358" s="82" t="n">
        <x:v>0</x:v>
      </x:c>
      <x:c r="AF358" s="80" t="str">
        <x:v>B: 공식 과목별 70% 백분위 → 단순평균 파생</x:v>
      </x:c>
      <x:c r="AG358" s="80" t="str">
        <x:v>https://www.adiga.kr/ucp/uvt/uni/univDetailSelection.do?menuId=PCUVTINF2000&amp;searchSyr=2026&amp;unvCd=0000138</x:v>
      </x:c>
    </x:row>
    <x:row r="359">
      <x:c r="A359" s="80" t="n">
        <x:v>2025</x:v>
      </x:c>
      <x:c r="B359" s="80" t="str">
        <x:v>서울특별시</x:v>
      </x:c>
      <x:c r="C359" s="80" t="str">
        <x:v>사립</x:v>
      </x:c>
      <x:c r="D359" s="80" t="str">
        <x:v>세종대학교</x:v>
      </x:c>
      <x:c r="E359" s="80" t="str">
        <x:v>나</x:v>
      </x:c>
      <x:c r="F359" s="80" t="str">
        <x:v>일반전형</x:v>
      </x:c>
      <x:c r="G359" s="80" t="str">
        <x:v>AI 로봇학과</x:v>
      </x:c>
      <x:c r="H359" s="80" t="n">
        <x:v>79</x:v>
      </x:c>
      <x:c r="I359" s="80" t="n">
        <x:v>3</x:v>
      </x:c>
      <x:c r="J359" s="80" t="n">
        <x:v>82</x:v>
      </x:c>
      <x:c r="K359" s="81" t="n">
        <x:v>4.85</x:v>
      </x:c>
      <x:c r="L359" s="81" t="n">
        <x:v>45</x:v>
      </x:c>
      <x:c r="M359" s="81" t="n">
        <x:v>704.61</x:v>
      </x:c>
      <x:c r="N359" s="81" t="n">
        <x:v>703.61</x:v>
      </x:c>
      <x:c r="O359" s="81" t="n">
        <x:v>1000</x:v>
      </x:c>
      <x:c r="P359" s="81" t="n">
        <x:v>91</x:v>
      </x:c>
      <x:c r="Q359" s="81" t="n">
        <x:v>98</x:v>
      </x:c>
      <x:c r="R359" s="81" t="n">
        <x:v>62</x:v>
      </x:c>
      <x:c r="S359" s="81" t="n">
        <x:v>56</x:v>
      </x:c>
      <x:c r="T359" s="81" t="n">
        <x:v>4</x:v>
      </x:c>
      <x:c r="U359" s="81" t="n">
        <x:v>3</x:v>
      </x:c>
      <x:c r="V359" s="80"/>
      <x:c r="W359" s="81" t="n">
        <x:f>IF(COUNTA(P359:S359)=4,AVERAGE(P359:S359),"")</x:f>
        <x:v>76.75</x:v>
      </x:c>
      <x:c r="X359" s="81" t="n">
        <x:f>IF(V359&lt;&gt;"",V359,W359)</x:f>
        <x:v>76.75</x:v>
      </x:c>
      <x:c r="Y359" s="80" t="str">
        <x:v>파생 단순평균(참고)</x:v>
      </x:c>
      <x:c r="Z359" s="81" t="n">
        <x:v>80</x:v>
      </x:c>
      <x:c r="AA359" s="81" t="n">
        <x:f>IF(X359&lt;&gt;"",Z359-X359,"")</x:f>
        <x:v>3.25</x:v>
      </x:c>
      <x:c r="AB359" s="80" t="str">
        <x:f>IF(AA359="","",IF(AA359&gt;=5,"안정",IF(AA359&gt;=1,"적정",IF(AA359&gt;=-2,"소신","상향"))))</x:f>
        <x:v>적정</x:v>
      </x:c>
      <x:c r="AC359" s="82" t="n">
        <x:v>1</x:v>
      </x:c>
      <x:c r="AD359" s="82" t="n">
        <x:v>91</x:v>
      </x:c>
      <x:c r="AE359" s="82" t="n">
        <x:v>8</x:v>
      </x:c>
      <x:c r="AF359" s="80" t="str">
        <x:v>B: 공식 과목별 70% 백분위 → 단순평균 파생</x:v>
      </x:c>
      <x:c r="AG359" s="80" t="str">
        <x:v>https://www.adiga.kr/ucp/uvt/uni/univDetailSelection.do?menuId=PCUVTINF2000&amp;searchSyr=2026&amp;unvCd=0000138</x:v>
      </x:c>
    </x:row>
    <x:row r="360">
      <x:c r="A360" s="80" t="n">
        <x:v>2025</x:v>
      </x:c>
      <x:c r="B360" s="80" t="str">
        <x:v>서울특별시</x:v>
      </x:c>
      <x:c r="C360" s="80" t="str">
        <x:v>사립</x:v>
      </x:c>
      <x:c r="D360" s="80" t="str">
        <x:v>세종대학교</x:v>
      </x:c>
      <x:c r="E360" s="80" t="str">
        <x:v>나</x:v>
      </x:c>
      <x:c r="F360" s="80" t="str">
        <x:v>일반전형</x:v>
      </x:c>
      <x:c r="G360" s="80" t="str">
        <x:v>인공지능데이터사이언스학과</x:v>
      </x:c>
      <x:c r="H360" s="80" t="n">
        <x:v>60</x:v>
      </x:c>
      <x:c r="I360" s="80" t="n">
        <x:v>2</x:v>
      </x:c>
      <x:c r="J360" s="80" t="n">
        <x:v>62</x:v>
      </x:c>
      <x:c r="K360" s="81" t="n">
        <x:v>5.39</x:v>
      </x:c>
      <x:c r="L360" s="81" t="n">
        <x:v>39</x:v>
      </x:c>
      <x:c r="M360" s="81" t="n">
        <x:v>707.16</x:v>
      </x:c>
      <x:c r="N360" s="81" t="n">
        <x:v>705.05</x:v>
      </x:c>
      <x:c r="O360" s="81" t="n">
        <x:v>1000</x:v>
      </x:c>
      <x:c r="P360" s="81" t="n">
        <x:v>79</x:v>
      </x:c>
      <x:c r="Q360" s="81" t="n">
        <x:v>87</x:v>
      </x:c>
      <x:c r="R360" s="81" t="n">
        <x:v>90</x:v>
      </x:c>
      <x:c r="S360" s="81" t="n">
        <x:v>83</x:v>
      </x:c>
      <x:c r="T360" s="81" t="n">
        <x:v>3</x:v>
      </x:c>
      <x:c r="U360" s="81" t="n">
        <x:v>1</x:v>
      </x:c>
      <x:c r="V360" s="80"/>
      <x:c r="W360" s="81" t="n">
        <x:f>IF(COUNTA(P360:S360)=4,AVERAGE(P360:S360),"")</x:f>
        <x:v>84.75</x:v>
      </x:c>
      <x:c r="X360" s="81" t="n">
        <x:f>IF(V360&lt;&gt;"",V360,W360)</x:f>
        <x:v>84.75</x:v>
      </x:c>
      <x:c r="Y360" s="80" t="str">
        <x:v>파생 단순평균(참고)</x:v>
      </x:c>
      <x:c r="Z360" s="81" t="n">
        <x:v>80</x:v>
      </x:c>
      <x:c r="AA360" s="81" t="n">
        <x:f>IF(X360&lt;&gt;"",Z360-X360,"")</x:f>
        <x:v>-4.75</x:v>
      </x:c>
      <x:c r="AB360" s="80" t="str">
        <x:f>IF(AA360="","",IF(AA360&gt;=5,"안정",IF(AA360&gt;=1,"적정",IF(AA360&gt;=-2,"소신","상향"))))</x:f>
        <x:v>상향</x:v>
      </x:c>
      <x:c r="AC360" s="82" t="n">
        <x:v>0</x:v>
      </x:c>
      <x:c r="AD360" s="82" t="n">
        <x:v>92</x:v>
      </x:c>
      <x:c r="AE360" s="82" t="n">
        <x:v>8</x:v>
      </x:c>
      <x:c r="AF360" s="80" t="str">
        <x:v>B: 공식 과목별 70% 백분위 → 단순평균 파생</x:v>
      </x:c>
      <x:c r="AG360" s="80" t="str">
        <x:v>https://www.adiga.kr/ucp/uvt/uni/univDetailSelection.do?menuId=PCUVTINF2000&amp;searchSyr=2026&amp;unvCd=0000138</x:v>
      </x:c>
    </x:row>
    <x:row r="361">
      <x:c r="A361" s="80" t="n">
        <x:v>2025</x:v>
      </x:c>
      <x:c r="B361" s="80" t="str">
        <x:v>서울특별시</x:v>
      </x:c>
      <x:c r="C361" s="80" t="str">
        <x:v>사립</x:v>
      </x:c>
      <x:c r="D361" s="80" t="str">
        <x:v>세종대학교</x:v>
      </x:c>
      <x:c r="E361" s="80" t="str">
        <x:v>나</x:v>
      </x:c>
      <x:c r="F361" s="80" t="str">
        <x:v>일반전형</x:v>
      </x:c>
      <x:c r="G361" s="80" t="str">
        <x:v>지능정보융합학과</x:v>
      </x:c>
      <x:c r="H361" s="80" t="n">
        <x:v>50</x:v>
      </x:c>
      <x:c r="I361" s="80" t="n">
        <x:v>0</x:v>
      </x:c>
      <x:c r="J361" s="80" t="n">
        <x:v>50</x:v>
      </x:c>
      <x:c r="K361" s="81" t="n">
        <x:v>4.3</x:v>
      </x:c>
      <x:c r="L361" s="81" t="n">
        <x:v>30</x:v>
      </x:c>
      <x:c r="M361" s="81" t="n">
        <x:v>703.81</x:v>
      </x:c>
      <x:c r="N361" s="81" t="n">
        <x:v>702.8</x:v>
      </x:c>
      <x:c r="O361" s="81" t="n">
        <x:v>1000</x:v>
      </x:c>
      <x:c r="P361" s="81" t="n">
        <x:v>82</x:v>
      </x:c>
      <x:c r="Q361" s="81" t="n">
        <x:v>92</x:v>
      </x:c>
      <x:c r="R361" s="81" t="n">
        <x:v>87</x:v>
      </x:c>
      <x:c r="S361" s="81" t="n">
        <x:v>61</x:v>
      </x:c>
      <x:c r="T361" s="81" t="n">
        <x:v>2</x:v>
      </x:c>
      <x:c r="U361" s="81" t="n">
        <x:v>2</x:v>
      </x:c>
      <x:c r="V361" s="80"/>
      <x:c r="W361" s="81" t="n">
        <x:f>IF(COUNTA(P361:S361)=4,AVERAGE(P361:S361),"")</x:f>
        <x:v>80.5</x:v>
      </x:c>
      <x:c r="X361" s="81" t="n">
        <x:f>IF(V361&lt;&gt;"",V361,W361)</x:f>
        <x:v>80.5</x:v>
      </x:c>
      <x:c r="Y361" s="80" t="str">
        <x:v>파생 단순평균(참고)</x:v>
      </x:c>
      <x:c r="Z361" s="81" t="n">
        <x:v>80</x:v>
      </x:c>
      <x:c r="AA361" s="81" t="n">
        <x:f>IF(X361&lt;&gt;"",Z361-X361,"")</x:f>
        <x:v>-0.5</x:v>
      </x:c>
      <x:c r="AB361" s="80" t="str">
        <x:f>IF(AA361="","",IF(AA361&gt;=5,"안정",IF(AA361&gt;=1,"적정",IF(AA361&gt;=-2,"소신","상향"))))</x:f>
        <x:v>소신</x:v>
      </x:c>
      <x:c r="AC361" s="82" t="n">
        <x:v>8</x:v>
      </x:c>
      <x:c r="AD361" s="82" t="n">
        <x:v>82</x:v>
      </x:c>
      <x:c r="AE361" s="82" t="n">
        <x:v>10</x:v>
      </x:c>
      <x:c r="AF361" s="80" t="str">
        <x:v>B: 공식 과목별 70% 백분위 → 단순평균 파생</x:v>
      </x:c>
      <x:c r="AG361" s="80" t="str">
        <x:v>https://www.adiga.kr/ucp/uvt/uni/univDetailSelection.do?menuId=PCUVTINF2000&amp;searchSyr=2026&amp;unvCd=0000138</x:v>
      </x:c>
    </x:row>
    <x:row r="362">
      <x:c r="A362" s="80" t="n">
        <x:v>2025</x:v>
      </x:c>
      <x:c r="B362" s="80" t="str">
        <x:v>서울특별시</x:v>
      </x:c>
      <x:c r="C362" s="80" t="str">
        <x:v>사립</x:v>
      </x:c>
      <x:c r="D362" s="80" t="str">
        <x:v>세종대학교</x:v>
      </x:c>
      <x:c r="E362" s="80" t="str">
        <x:v>나</x:v>
      </x:c>
      <x:c r="F362" s="80" t="str">
        <x:v>일반전형</x:v>
      </x:c>
      <x:c r="G362" s="80" t="str">
        <x:v>콘텐츠소프트웨어학과</x:v>
      </x:c>
      <x:c r="H362" s="80" t="n">
        <x:v>32</x:v>
      </x:c>
      <x:c r="I362" s="80" t="n">
        <x:v>0</x:v>
      </x:c>
      <x:c r="J362" s="80" t="n">
        <x:v>32</x:v>
      </x:c>
      <x:c r="K362" s="81" t="n">
        <x:v>4.59</x:v>
      </x:c>
      <x:c r="L362" s="81" t="n">
        <x:v>11</x:v>
      </x:c>
      <x:c r="M362" s="81" t="n">
        <x:v>705.57</x:v>
      </x:c>
      <x:c r="N362" s="81" t="n">
        <x:v>704.42</x:v>
      </x:c>
      <x:c r="O362" s="81" t="n">
        <x:v>1000</x:v>
      </x:c>
      <x:c r="P362" s="81" t="n">
        <x:v>85</x:v>
      </x:c>
      <x:c r="Q362" s="81" t="n">
        <x:v>81</x:v>
      </x:c>
      <x:c r="R362" s="81" t="n">
        <x:v>99</x:v>
      </x:c>
      <x:c r="S362" s="81" t="n">
        <x:v>85</x:v>
      </x:c>
      <x:c r="T362" s="81" t="n">
        <x:v>4</x:v>
      </x:c>
      <x:c r="U362" s="81" t="n">
        <x:v>1</x:v>
      </x:c>
      <x:c r="V362" s="80"/>
      <x:c r="W362" s="81" t="n">
        <x:f>IF(COUNTA(P362:S362)=4,AVERAGE(P362:S362),"")</x:f>
        <x:v>87.5</x:v>
      </x:c>
      <x:c r="X362" s="81" t="n">
        <x:f>IF(V362&lt;&gt;"",V362,W362)</x:f>
        <x:v>87.5</x:v>
      </x:c>
      <x:c r="Y362" s="80" t="str">
        <x:v>파생 단순평균(참고)</x:v>
      </x:c>
      <x:c r="Z362" s="81" t="n">
        <x:v>80</x:v>
      </x:c>
      <x:c r="AA362" s="81" t="n">
        <x:f>IF(X362&lt;&gt;"",Z362-X362,"")</x:f>
        <x:v>-7.5</x:v>
      </x:c>
      <x:c r="AB362" s="80" t="str">
        <x:f>IF(AA362="","",IF(AA362&gt;=5,"안정",IF(AA362&gt;=1,"적정",IF(AA362&gt;=-2,"소신","상향"))))</x:f>
        <x:v>상향</x:v>
      </x:c>
      <x:c r="AC362" s="82" t="n">
        <x:v>0</x:v>
      </x:c>
      <x:c r="AD362" s="82" t="n">
        <x:v>94</x:v>
      </x:c>
      <x:c r="AE362" s="82" t="n">
        <x:v>6</x:v>
      </x:c>
      <x:c r="AF362" s="80" t="str">
        <x:v>B: 공식 과목별 70% 백분위 → 단순평균 파생</x:v>
      </x:c>
      <x:c r="AG362" s="80" t="str">
        <x:v>https://www.adiga.kr/ucp/uvt/uni/univDetailSelection.do?menuId=PCUVTINF2000&amp;searchSyr=2026&amp;unvCd=0000138</x:v>
      </x:c>
    </x:row>
    <x:row r="363">
      <x:c r="A363" s="80" t="n">
        <x:v>2025</x:v>
      </x:c>
      <x:c r="B363" s="80" t="str">
        <x:v>서울특별시</x:v>
      </x:c>
      <x:c r="C363" s="80" t="str">
        <x:v>사립</x:v>
      </x:c>
      <x:c r="D363" s="80" t="str">
        <x:v>세종대학교</x:v>
      </x:c>
      <x:c r="E363" s="80" t="str">
        <x:v>나</x:v>
      </x:c>
      <x:c r="F363" s="80" t="str">
        <x:v>일반전형</x:v>
      </x:c>
      <x:c r="G363" s="80" t="str">
        <x:v>창의소프트학부-디자인이노베이션전공</x:v>
      </x:c>
      <x:c r="H363" s="80" t="n">
        <x:v>3</x:v>
      </x:c>
      <x:c r="I363" s="80" t="n">
        <x:v>1</x:v>
      </x:c>
      <x:c r="J363" s="80" t="n">
        <x:v>4</x:v>
      </x:c>
      <x:c r="K363" s="81" t="n">
        <x:v>7.25</x:v>
      </x:c>
      <x:c r="L363" s="81" t="n">
        <x:v>2</x:v>
      </x:c>
      <x:c r="M363" s="81" t="n">
        <x:v>701.36</x:v>
      </x:c>
      <x:c r="N363" s="81" t="n">
        <x:v>701.36</x:v>
      </x:c>
      <x:c r="O363" s="81" t="n">
        <x:v>1000</x:v>
      </x:c>
      <x:c r="P363" s="81" t="n">
        <x:v>93</x:v>
      </x:c>
      <x:c r="Q363" s="81" t="n">
        <x:v>85</x:v>
      </x:c>
      <x:c r="R363" s="81" t="n">
        <x:v>77</x:v>
      </x:c>
      <x:c r="S363" s="81" t="n">
        <x:v>68</x:v>
      </x:c>
      <x:c r="T363" s="81" t="n">
        <x:v>2</x:v>
      </x:c>
      <x:c r="U363" s="81" t="n">
        <x:v>2</x:v>
      </x:c>
      <x:c r="V363" s="80"/>
      <x:c r="W363" s="81" t="n">
        <x:f>IF(COUNTA(P363:S363)=4,AVERAGE(P363:S363),"")</x:f>
        <x:v>80.75</x:v>
      </x:c>
      <x:c r="X363" s="81" t="n">
        <x:f>IF(V363&lt;&gt;"",V363,W363)</x:f>
        <x:v>80.75</x:v>
      </x:c>
      <x:c r="Y363" s="80" t="str">
        <x:v>파생 단순평균(참고)</x:v>
      </x:c>
      <x:c r="Z363" s="81" t="n">
        <x:v>80</x:v>
      </x:c>
      <x:c r="AA363" s="81" t="n">
        <x:f>IF(X363&lt;&gt;"",Z363-X363,"")</x:f>
        <x:v>-0.75</x:v>
      </x:c>
      <x:c r="AB363" s="80" t="str">
        <x:f>IF(AA363="","",IF(AA363&gt;=5,"안정",IF(AA363&gt;=1,"적정",IF(AA363&gt;=-2,"소신","상향"))))</x:f>
        <x:v>소신</x:v>
      </x:c>
      <x:c r="AC363" s="82" t="n">
        <x:v>0</x:v>
      </x:c>
      <x:c r="AD363" s="82" t="n">
        <x:v>50</x:v>
      </x:c>
      <x:c r="AE363" s="82" t="n">
        <x:v>50</x:v>
      </x:c>
      <x:c r="AF363" s="80" t="str">
        <x:v>B: 공식 과목별 70% 백분위 → 단순평균 파생</x:v>
      </x:c>
      <x:c r="AG363" s="80" t="str">
        <x:v>https://www.adiga.kr/ucp/uvt/uni/univDetailSelection.do?menuId=PCUVTINF2000&amp;searchSyr=2026&amp;unvCd=0000138</x:v>
      </x:c>
    </x:row>
    <x:row r="364">
      <x:c r="A364" s="80" t="n">
        <x:v>2025</x:v>
      </x:c>
      <x:c r="B364" s="80" t="str">
        <x:v>서울특별시</x:v>
      </x:c>
      <x:c r="C364" s="80" t="str">
        <x:v>사립</x:v>
      </x:c>
      <x:c r="D364" s="80" t="str">
        <x:v>세종대학교</x:v>
      </x:c>
      <x:c r="E364" s="80" t="str">
        <x:v>나</x:v>
      </x:c>
      <x:c r="F364" s="80" t="str">
        <x:v>일반전형</x:v>
      </x:c>
      <x:c r="G364" s="80" t="str">
        <x:v>창의소프트학부-만화애니메이션텍전공</x:v>
      </x:c>
      <x:c r="H364" s="80" t="n">
        <x:v>2</x:v>
      </x:c>
      <x:c r="I364" s="80" t="n">
        <x:v>0</x:v>
      </x:c>
      <x:c r="J364" s="80" t="n">
        <x:v>2</x:v>
      </x:c>
      <x:c r="K364" s="81" t="n">
        <x:v>11</x:v>
      </x:c>
      <x:c r="L364" s="81" t="n">
        <x:v>3</x:v>
      </x:c>
      <x:c r="M364" s="81" t="n">
        <x:v>697.88</x:v>
      </x:c>
      <x:c r="N364" s="81" t="n">
        <x:v>697.88</x:v>
      </x:c>
      <x:c r="O364" s="81" t="n">
        <x:v>1000</x:v>
      </x:c>
      <x:c r="P364" s="81" t="n">
        <x:v>98</x:v>
      </x:c>
      <x:c r="Q364" s="81" t="n">
        <x:v>74</x:v>
      </x:c>
      <x:c r="R364" s="81" t="n">
        <x:v>81</x:v>
      </x:c>
      <x:c r="S364" s="81" t="n">
        <x:v>67</x:v>
      </x:c>
      <x:c r="T364" s="81" t="n">
        <x:v>4</x:v>
      </x:c>
      <x:c r="U364" s="81" t="n">
        <x:v>1</x:v>
      </x:c>
      <x:c r="V364" s="80"/>
      <x:c r="W364" s="81" t="n">
        <x:f>IF(COUNTA(P364:S364)=4,AVERAGE(P364:S364),"")</x:f>
        <x:v>80</x:v>
      </x:c>
      <x:c r="X364" s="81" t="n">
        <x:f>IF(V364&lt;&gt;"",V364,W364)</x:f>
        <x:v>80</x:v>
      </x:c>
      <x:c r="Y364" s="80" t="str">
        <x:v>파생 단순평균(참고)</x:v>
      </x:c>
      <x:c r="Z364" s="81" t="n">
        <x:v>80</x:v>
      </x:c>
      <x:c r="AA364" s="81" t="n">
        <x:f>IF(X364&lt;&gt;"",Z364-X364,"")</x:f>
        <x:v>0</x:v>
      </x:c>
      <x:c r="AB364" s="80" t="str">
        <x:f>IF(AA364="","",IF(AA364&gt;=5,"안정",IF(AA364&gt;=1,"적정",IF(AA364&gt;=-2,"소신","상향"))))</x:f>
      </x:c>
      <x:c r="AC364" s="82" t="n">
        <x:v>0</x:v>
      </x:c>
      <x:c r="AD364" s="82" t="n">
        <x:v>100</x:v>
      </x:c>
      <x:c r="AE364" s="82" t="n">
        <x:v>0</x:v>
      </x:c>
      <x:c r="AF364" s="80" t="str">
        <x:v>B: 공식 과목별 70% 백분위 → 단순평균 파생</x:v>
      </x:c>
      <x:c r="AG364" s="80" t="str">
        <x:v>https://www.adiga.kr/ucp/uvt/uni/univDetailSelection.do?menuId=PCUVTINF2000&amp;searchSyr=2026&amp;unvCd=0000138</x:v>
      </x:c>
    </x:row>
    <x:row r="365">
      <x:c r="A365" s="80" t="n">
        <x:v>2025</x:v>
      </x:c>
      <x:c r="B365" s="80" t="str">
        <x:v>서울특별시</x:v>
      </x:c>
      <x:c r="C365" s="80" t="str">
        <x:v>사립</x:v>
      </x:c>
      <x:c r="D365" s="80" t="str">
        <x:v>세종대학교</x:v>
      </x:c>
      <x:c r="E365" s="80" t="str">
        <x:v>나</x:v>
      </x:c>
      <x:c r="F365" s="80" t="str">
        <x:v>일반전형</x:v>
      </x:c>
      <x:c r="G365" s="80" t="str">
        <x:v>공과계열</x:v>
      </x:c>
      <x:c r="H365" s="80" t="n">
        <x:v>208</x:v>
      </x:c>
      <x:c r="I365" s="80" t="n">
        <x:v>0</x:v>
      </x:c>
      <x:c r="J365" s="80" t="n">
        <x:v>208</x:v>
      </x:c>
      <x:c r="K365" s="81" t="n">
        <x:v>4.62</x:v>
      </x:c>
      <x:c r="L365" s="81" t="n">
        <x:v>162</x:v>
      </x:c>
      <x:c r="M365" s="81" t="n">
        <x:v>704.57</x:v>
      </x:c>
      <x:c r="N365" s="81" t="n">
        <x:v>703.36</x:v>
      </x:c>
      <x:c r="O365" s="81" t="n">
        <x:v>1000</x:v>
      </x:c>
      <x:c r="P365" s="81" t="n">
        <x:v>83</x:v>
      </x:c>
      <x:c r="Q365" s="81" t="n">
        <x:v>93</x:v>
      </x:c>
      <x:c r="R365" s="81" t="n">
        <x:v>75</x:v>
      </x:c>
      <x:c r="S365" s="81" t="n">
        <x:v>68</x:v>
      </x:c>
      <x:c r="T365" s="81" t="n">
        <x:v>3</x:v>
      </x:c>
      <x:c r="U365" s="81" t="n">
        <x:v>3</x:v>
      </x:c>
      <x:c r="V365" s="80"/>
      <x:c r="W365" s="81" t="n">
        <x:f>IF(COUNTA(P365:S365)=4,AVERAGE(P365:S365),"")</x:f>
        <x:v>79.75</x:v>
      </x:c>
      <x:c r="X365" s="81" t="n">
        <x:f>IF(V365&lt;&gt;"",V365,W365)</x:f>
        <x:v>79.75</x:v>
      </x:c>
      <x:c r="Y365" s="80" t="str">
        <x:v>파생 단순평균(참고)</x:v>
      </x:c>
      <x:c r="Z365" s="81" t="n">
        <x:v>80</x:v>
      </x:c>
      <x:c r="AA365" s="81" t="n">
        <x:f>IF(X365&lt;&gt;"",Z365-X365,"")</x:f>
        <x:v>0.25</x:v>
      </x:c>
      <x:c r="AB365" s="80" t="str">
        <x:f>IF(AA365="","",IF(AA365&gt;=5,"안정",IF(AA365&gt;=1,"적정",IF(AA365&gt;=-2,"소신","상향"))))</x:f>
        <x:v>소신</x:v>
      </x:c>
      <x:c r="AC365" s="82" t="n">
        <x:v>2</x:v>
      </x:c>
      <x:c r="AD365" s="82" t="n">
        <x:v>97</x:v>
      </x:c>
      <x:c r="AE365" s="82" t="n">
        <x:v>2</x:v>
      </x:c>
      <x:c r="AF365" s="80" t="str">
        <x:v>B: 공식 과목별 70% 백분위 → 단순평균 파생</x:v>
      </x:c>
      <x:c r="AG365" s="80" t="str">
        <x:v>https://www.adiga.kr/ucp/uvt/uni/univDetailSelection.do?menuId=PCUVTINF2000&amp;searchSyr=2026&amp;unvCd=0000138</x:v>
      </x:c>
    </x:row>
    <x:row r="366">
      <x:c r="A366" s="80" t="n">
        <x:v>2025</x:v>
      </x:c>
      <x:c r="B366" s="80" t="str">
        <x:v>서울특별시</x:v>
      </x:c>
      <x:c r="C366" s="80" t="str">
        <x:v>사립</x:v>
      </x:c>
      <x:c r="D366" s="80" t="str">
        <x:v>세종대학교</x:v>
      </x:c>
      <x:c r="E366" s="80" t="str">
        <x:v>나</x:v>
      </x:c>
      <x:c r="F366" s="80" t="str">
        <x:v>일반전형</x:v>
      </x:c>
      <x:c r="G366" s="80" t="str">
        <x:v>건축공학과</x:v>
      </x:c>
      <x:c r="H366" s="80" t="n">
        <x:v>2</x:v>
      </x:c>
      <x:c r="I366" s="80" t="n">
        <x:v>0</x:v>
      </x:c>
      <x:c r="J366" s="80" t="n">
        <x:v>2</x:v>
      </x:c>
      <x:c r="K366" s="81" t="n">
        <x:v>13</x:v>
      </x:c>
      <x:c r="L366" s="81" t="n">
        <x:v>0</x:v>
      </x:c>
      <x:c r="M366" s="81" t="n">
        <x:v>705.07</x:v>
      </x:c>
      <x:c r="N366" s="81" t="n">
        <x:v>705.07</x:v>
      </x:c>
      <x:c r="O366" s="81" t="n">
        <x:v>1000</x:v>
      </x:c>
      <x:c r="P366" s="81" t="n">
        <x:v>75</x:v>
      </x:c>
      <x:c r="Q366" s="81" t="n">
        <x:v>87</x:v>
      </x:c>
      <x:c r="R366" s="81" t="n">
        <x:v>96</x:v>
      </x:c>
      <x:c r="S366" s="81" t="n">
        <x:v>85</x:v>
      </x:c>
      <x:c r="T366" s="81" t="n">
        <x:v>4</x:v>
      </x:c>
      <x:c r="U366" s="81" t="n">
        <x:v>6</x:v>
      </x:c>
      <x:c r="V366" s="80"/>
      <x:c r="W366" s="81" t="n">
        <x:f>IF(COUNTA(P366:S366)=4,AVERAGE(P366:S366),"")</x:f>
        <x:v>85.75</x:v>
      </x:c>
      <x:c r="X366" s="81" t="n">
        <x:f>IF(V366&lt;&gt;"",V366,W366)</x:f>
        <x:v>85.75</x:v>
      </x:c>
      <x:c r="Y366" s="80" t="str">
        <x:v>파생 단순평균(참고)</x:v>
      </x:c>
      <x:c r="Z366" s="81" t="n">
        <x:v>80</x:v>
      </x:c>
      <x:c r="AA366" s="81" t="n">
        <x:f>IF(X366&lt;&gt;"",Z366-X366,"")</x:f>
        <x:v>-5.75</x:v>
      </x:c>
      <x:c r="AB366" s="80" t="str">
        <x:f>IF(AA366="","",IF(AA366&gt;=5,"안정",IF(AA366&gt;=1,"적정",IF(AA366&gt;=-2,"소신","상향"))))</x:f>
        <x:v>상향</x:v>
      </x:c>
      <x:c r="AC366" s="82" t="n">
        <x:v>0</x:v>
      </x:c>
      <x:c r="AD366" s="82" t="n">
        <x:v>100</x:v>
      </x:c>
      <x:c r="AE366" s="82" t="n">
        <x:v>0</x:v>
      </x:c>
      <x:c r="AF366" s="80" t="str">
        <x:v>B: 공식 과목별 70% 백분위 → 단순평균 파생</x:v>
      </x:c>
      <x:c r="AG366" s="80" t="str">
        <x:v>https://www.adiga.kr/ucp/uvt/uni/univDetailSelection.do?menuId=PCUVTINF2000&amp;searchSyr=2026&amp;unvCd=0000138</x:v>
      </x:c>
    </x:row>
    <x:row r="367">
      <x:c r="A367" s="80" t="n">
        <x:v>2025</x:v>
      </x:c>
      <x:c r="B367" s="80" t="str">
        <x:v>서울특별시</x:v>
      </x:c>
      <x:c r="C367" s="80" t="str">
        <x:v>사립</x:v>
      </x:c>
      <x:c r="D367" s="80" t="str">
        <x:v>세종대학교</x:v>
      </x:c>
      <x:c r="E367" s="80" t="str">
        <x:v>나</x:v>
      </x:c>
      <x:c r="F367" s="80" t="str">
        <x:v>일반전형</x:v>
      </x:c>
      <x:c r="G367" s="80" t="str">
        <x:v>건축학과</x:v>
      </x:c>
      <x:c r="H367" s="80" t="n">
        <x:v>2</x:v>
      </x:c>
      <x:c r="I367" s="80" t="n">
        <x:v>0</x:v>
      </x:c>
      <x:c r="J367" s="80" t="n">
        <x:v>2</x:v>
      </x:c>
      <x:c r="K367" s="81" t="n">
        <x:v>10.5</x:v>
      </x:c>
      <x:c r="L367" s="81" t="n">
        <x:v>0</x:v>
      </x:c>
      <x:c r="M367" s="81" t="n">
        <x:v>712.98</x:v>
      </x:c>
      <x:c r="N367" s="81" t="n">
        <x:v>712.98</x:v>
      </x:c>
      <x:c r="O367" s="81" t="n">
        <x:v>1000</x:v>
      </x:c>
      <x:c r="P367" s="81" t="n">
        <x:v>86</x:v>
      </x:c>
      <x:c r="Q367" s="81" t="n">
        <x:v>81</x:v>
      </x:c>
      <x:c r="R367" s="81" t="n">
        <x:v>98</x:v>
      </x:c>
      <x:c r="S367" s="81" t="n">
        <x:v>94</x:v>
      </x:c>
      <x:c r="T367" s="81" t="n">
        <x:v>3</x:v>
      </x:c>
      <x:c r="U367" s="81" t="n">
        <x:v>1</x:v>
      </x:c>
      <x:c r="V367" s="80"/>
      <x:c r="W367" s="81" t="n">
        <x:f>IF(COUNTA(P367:S367)=4,AVERAGE(P367:S367),"")</x:f>
        <x:v>89.75</x:v>
      </x:c>
      <x:c r="X367" s="81" t="n">
        <x:f>IF(V367&lt;&gt;"",V367,W367)</x:f>
        <x:v>89.75</x:v>
      </x:c>
      <x:c r="Y367" s="80" t="str">
        <x:v>파생 단순평균(참고)</x:v>
      </x:c>
      <x:c r="Z367" s="81" t="n">
        <x:v>80</x:v>
      </x:c>
      <x:c r="AA367" s="81" t="n">
        <x:f>IF(X367&lt;&gt;"",Z367-X367,"")</x:f>
        <x:v>-9.75</x:v>
      </x:c>
      <x:c r="AB367" s="80" t="str">
        <x:f>IF(AA367="","",IF(AA367&gt;=5,"안정",IF(AA367&gt;=1,"적정",IF(AA367&gt;=-2,"소신","상향"))))</x:f>
        <x:v>상향</x:v>
      </x:c>
      <x:c r="AC367" s="82" t="n">
        <x:v>0</x:v>
      </x:c>
      <x:c r="AD367" s="82" t="n">
        <x:v>100</x:v>
      </x:c>
      <x:c r="AE367" s="82" t="n">
        <x:v>0</x:v>
      </x:c>
      <x:c r="AF367" s="80" t="str">
        <x:v>B: 공식 과목별 70% 백분위 → 단순평균 파생</x:v>
      </x:c>
      <x:c r="AG367" s="80" t="str">
        <x:v>https://www.adiga.kr/ucp/uvt/uni/univDetailSelection.do?menuId=PCUVTINF2000&amp;searchSyr=2026&amp;unvCd=0000138</x:v>
      </x:c>
    </x:row>
    <x:row r="368">
      <x:c r="A368" s="80" t="n">
        <x:v>2025</x:v>
      </x:c>
      <x:c r="B368" s="80" t="str">
        <x:v>서울특별시</x:v>
      </x:c>
      <x:c r="C368" s="80" t="str">
        <x:v>사립</x:v>
      </x:c>
      <x:c r="D368" s="80" t="str">
        <x:v>세종대학교</x:v>
      </x:c>
      <x:c r="E368" s="80" t="str">
        <x:v>나</x:v>
      </x:c>
      <x:c r="F368" s="80" t="str">
        <x:v>일반전형</x:v>
      </x:c>
      <x:c r="G368" s="80" t="str">
        <x:v>기계공학과</x:v>
      </x:c>
      <x:c r="H368" s="80" t="n">
        <x:v>2</x:v>
      </x:c>
      <x:c r="I368" s="80" t="n">
        <x:v>0</x:v>
      </x:c>
      <x:c r="J368" s="80" t="n">
        <x:v>2</x:v>
      </x:c>
      <x:c r="K368" s="81" t="n">
        <x:v>14</x:v>
      </x:c>
      <x:c r="L368" s="81" t="n">
        <x:v>0</x:v>
      </x:c>
      <x:c r="M368" s="81" t="n">
        <x:v>717.33</x:v>
      </x:c>
      <x:c r="N368" s="81" t="n">
        <x:v>717.33</x:v>
      </x:c>
      <x:c r="O368" s="81" t="n">
        <x:v>1000</x:v>
      </x:c>
      <x:c r="P368" s="81" t="n">
        <x:v>85</x:v>
      </x:c>
      <x:c r="Q368" s="81" t="n">
        <x:v>92</x:v>
      </x:c>
      <x:c r="R368" s="81" t="n">
        <x:v>88</x:v>
      </x:c>
      <x:c r="S368" s="81" t="n">
        <x:v>87</x:v>
      </x:c>
      <x:c r="T368" s="81" t="n">
        <x:v>2</x:v>
      </x:c>
      <x:c r="U368" s="81" t="n">
        <x:v>2</x:v>
      </x:c>
      <x:c r="V368" s="80"/>
      <x:c r="W368" s="81" t="n">
        <x:f>IF(COUNTA(P368:S368)=4,AVERAGE(P368:S368),"")</x:f>
        <x:v>88</x:v>
      </x:c>
      <x:c r="X368" s="81" t="n">
        <x:f>IF(V368&lt;&gt;"",V368,W368)</x:f>
        <x:v>88</x:v>
      </x:c>
      <x:c r="Y368" s="80" t="str">
        <x:v>파생 단순평균(참고)</x:v>
      </x:c>
      <x:c r="Z368" s="81" t="n">
        <x:v>80</x:v>
      </x:c>
      <x:c r="AA368" s="81" t="n">
        <x:f>IF(X368&lt;&gt;"",Z368-X368,"")</x:f>
        <x:v>-8</x:v>
      </x:c>
      <x:c r="AB368" s="80" t="str">
        <x:f>IF(AA368="","",IF(AA368&gt;=5,"안정",IF(AA368&gt;=1,"적정",IF(AA368&gt;=-2,"소신","상향"))))</x:f>
        <x:v>상향</x:v>
      </x:c>
      <x:c r="AC368" s="82" t="n">
        <x:v>0</x:v>
      </x:c>
      <x:c r="AD368" s="82" t="n">
        <x:v>100</x:v>
      </x:c>
      <x:c r="AE368" s="82" t="n">
        <x:v>0</x:v>
      </x:c>
      <x:c r="AF368" s="80" t="str">
        <x:v>B: 공식 과목별 70% 백분위 → 단순평균 파생</x:v>
      </x:c>
      <x:c r="AG368" s="80" t="str">
        <x:v>https://www.adiga.kr/ucp/uvt/uni/univDetailSelection.do?menuId=PCUVTINF2000&amp;searchSyr=2026&amp;unvCd=0000138</x:v>
      </x:c>
    </x:row>
    <x:row r="369">
      <x:c r="A369" s="80" t="n">
        <x:v>2025</x:v>
      </x:c>
      <x:c r="B369" s="80" t="str">
        <x:v>서울특별시</x:v>
      </x:c>
      <x:c r="C369" s="80" t="str">
        <x:v>사립</x:v>
      </x:c>
      <x:c r="D369" s="80" t="str">
        <x:v>세종대학교</x:v>
      </x:c>
      <x:c r="E369" s="80" t="str">
        <x:v>나</x:v>
      </x:c>
      <x:c r="F369" s="80" t="str">
        <x:v>일반전형</x:v>
      </x:c>
      <x:c r="G369" s="80" t="str">
        <x:v>나노신소재공학과</x:v>
      </x:c>
      <x:c r="H369" s="80" t="n">
        <x:v>2</x:v>
      </x:c>
      <x:c r="I369" s="80" t="n">
        <x:v>0</x:v>
      </x:c>
      <x:c r="J369" s="80" t="n">
        <x:v>2</x:v>
      </x:c>
      <x:c r="K369" s="81" t="n">
        <x:v>11.5</x:v>
      </x:c>
      <x:c r="L369" s="81" t="n">
        <x:v>0</x:v>
      </x:c>
      <x:c r="M369" s="81" t="n">
        <x:v>713.61</x:v>
      </x:c>
      <x:c r="N369" s="81" t="n">
        <x:v>713.61</x:v>
      </x:c>
      <x:c r="O369" s="81" t="n">
        <x:v>1000</x:v>
      </x:c>
      <x:c r="P369" s="81" t="n">
        <x:v>98</x:v>
      </x:c>
      <x:c r="Q369" s="81" t="n">
        <x:v>90</x:v>
      </x:c>
      <x:c r="R369" s="81" t="n">
        <x:v>83</x:v>
      </x:c>
      <x:c r="S369" s="81" t="n">
        <x:v>68</x:v>
      </x:c>
      <x:c r="T369" s="81" t="n">
        <x:v>3</x:v>
      </x:c>
      <x:c r="U369" s="81" t="n">
        <x:v>1</x:v>
      </x:c>
      <x:c r="V369" s="80"/>
      <x:c r="W369" s="81" t="n">
        <x:f>IF(COUNTA(P369:S369)=4,AVERAGE(P369:S369),"")</x:f>
        <x:v>84.75</x:v>
      </x:c>
      <x:c r="X369" s="81" t="n">
        <x:f>IF(V369&lt;&gt;"",V369,W369)</x:f>
        <x:v>84.75</x:v>
      </x:c>
      <x:c r="Y369" s="80" t="str">
        <x:v>파생 단순평균(참고)</x:v>
      </x:c>
      <x:c r="Z369" s="81" t="n">
        <x:v>80</x:v>
      </x:c>
      <x:c r="AA369" s="81" t="n">
        <x:f>IF(X369&lt;&gt;"",Z369-X369,"")</x:f>
        <x:v>-4.75</x:v>
      </x:c>
      <x:c r="AB369" s="80" t="str">
        <x:f>IF(AA369="","",IF(AA369&gt;=5,"안정",IF(AA369&gt;=1,"적정",IF(AA369&gt;=-2,"소신","상향"))))</x:f>
        <x:v>상향</x:v>
      </x:c>
      <x:c r="AC369" s="82" t="n">
        <x:v>0</x:v>
      </x:c>
      <x:c r="AD369" s="82" t="n">
        <x:v>100</x:v>
      </x:c>
      <x:c r="AE369" s="82" t="n">
        <x:v>0</x:v>
      </x:c>
      <x:c r="AF369" s="80" t="str">
        <x:v>B: 공식 과목별 70% 백분위 → 단순평균 파생</x:v>
      </x:c>
      <x:c r="AG369" s="80" t="str">
        <x:v>https://www.adiga.kr/ucp/uvt/uni/univDetailSelection.do?menuId=PCUVTINF2000&amp;searchSyr=2026&amp;unvCd=0000138</x:v>
      </x:c>
    </x:row>
    <x:row r="370">
      <x:c r="A370" s="80" t="n">
        <x:v>2025</x:v>
      </x:c>
      <x:c r="B370" s="80" t="str">
        <x:v>서울특별시</x:v>
      </x:c>
      <x:c r="C370" s="80" t="str">
        <x:v>사립</x:v>
      </x:c>
      <x:c r="D370" s="80" t="str">
        <x:v>세종대학교</x:v>
      </x:c>
      <x:c r="E370" s="80" t="str">
        <x:v>나</x:v>
      </x:c>
      <x:c r="F370" s="80" t="str">
        <x:v>일반전형</x:v>
      </x:c>
      <x:c r="G370" s="80" t="str">
        <x:v>우주항공시스템공학부-우주항공공학전공</x:v>
      </x:c>
      <x:c r="H370" s="80" t="n">
        <x:v>2</x:v>
      </x:c>
      <x:c r="I370" s="80" t="n">
        <x:v>0</x:v>
      </x:c>
      <x:c r="J370" s="80" t="n">
        <x:v>2</x:v>
      </x:c>
      <x:c r="K370" s="81" t="n">
        <x:v>13</x:v>
      </x:c>
      <x:c r="L370" s="81" t="n">
        <x:v>3</x:v>
      </x:c>
      <x:c r="M370" s="81" t="n">
        <x:v>711.76</x:v>
      </x:c>
      <x:c r="N370" s="81" t="n">
        <x:v>711.76</x:v>
      </x:c>
      <x:c r="O370" s="81" t="n">
        <x:v>1000</x:v>
      </x:c>
      <x:c r="P370" s="81" t="n">
        <x:v>79</x:v>
      </x:c>
      <x:c r="Q370" s="81" t="n">
        <x:v>95</x:v>
      </x:c>
      <x:c r="R370" s="81" t="n">
        <x:v>88</x:v>
      </x:c>
      <x:c r="S370" s="81" t="n">
        <x:v>81</x:v>
      </x:c>
      <x:c r="T370" s="81" t="n">
        <x:v>3</x:v>
      </x:c>
      <x:c r="U370" s="81" t="n">
        <x:v>2</x:v>
      </x:c>
      <x:c r="V370" s="80"/>
      <x:c r="W370" s="81" t="n">
        <x:f>IF(COUNTA(P370:S370)=4,AVERAGE(P370:S370),"")</x:f>
        <x:v>85.75</x:v>
      </x:c>
      <x:c r="X370" s="81" t="n">
        <x:f>IF(V370&lt;&gt;"",V370,W370)</x:f>
        <x:v>85.75</x:v>
      </x:c>
      <x:c r="Y370" s="80" t="str">
        <x:v>파생 단순평균(참고)</x:v>
      </x:c>
      <x:c r="Z370" s="81" t="n">
        <x:v>80</x:v>
      </x:c>
      <x:c r="AA370" s="81" t="n">
        <x:f>IF(X370&lt;&gt;"",Z370-X370,"")</x:f>
        <x:v>-5.75</x:v>
      </x:c>
      <x:c r="AB370" s="80" t="str">
        <x:f>IF(AA370="","",IF(AA370&gt;=5,"안정",IF(AA370&gt;=1,"적정",IF(AA370&gt;=-2,"소신","상향"))))</x:f>
        <x:v>상향</x:v>
      </x:c>
      <x:c r="AC370" s="82" t="n">
        <x:v>0</x:v>
      </x:c>
      <x:c r="AD370" s="82" t="n">
        <x:v>100</x:v>
      </x:c>
      <x:c r="AE370" s="82" t="n">
        <x:v>0</x:v>
      </x:c>
      <x:c r="AF370" s="80" t="str">
        <x:v>B: 공식 과목별 70% 백분위 → 단순평균 파생</x:v>
      </x:c>
      <x:c r="AG370" s="80" t="str">
        <x:v>https://www.adiga.kr/ucp/uvt/uni/univDetailSelection.do?menuId=PCUVTINF2000&amp;searchSyr=2026&amp;unvCd=0000138</x:v>
      </x:c>
    </x:row>
    <x:row r="371">
      <x:c r="A371" s="80" t="n">
        <x:v>2025</x:v>
      </x:c>
      <x:c r="B371" s="80" t="str">
        <x:v>서울특별시</x:v>
      </x:c>
      <x:c r="C371" s="80" t="str">
        <x:v>사립</x:v>
      </x:c>
      <x:c r="D371" s="80" t="str">
        <x:v>세종대학교</x:v>
      </x:c>
      <x:c r="E371" s="80" t="str">
        <x:v>나</x:v>
      </x:c>
      <x:c r="F371" s="80" t="str">
        <x:v>일반전형</x:v>
      </x:c>
      <x:c r="G371" s="80" t="str">
        <x:v>체육학과-일반</x:v>
      </x:c>
      <x:c r="H371" s="80" t="n">
        <x:v>21</x:v>
      </x:c>
      <x:c r="I371" s="80" t="n">
        <x:v>3</x:v>
      </x:c>
      <x:c r="J371" s="80" t="n">
        <x:v>24</x:v>
      </x:c>
      <x:c r="K371" s="81" t="n">
        <x:v>11.04</x:v>
      </x:c>
      <x:c r="L371" s="81" t="n">
        <x:v>15</x:v>
      </x:c>
      <x:c r="M371" s="81" t="n">
        <x:v>365</x:v>
      </x:c>
      <x:c r="N371" s="81" t="n">
        <x:v>362.5</x:v>
      </x:c>
      <x:c r="O371" s="81" t="n">
        <x:v>500</x:v>
      </x:c>
      <x:c r="P371" s="81" t="n">
        <x:v>56</x:v>
      </x:c>
      <x:c r="Q371" s="81" t="n">
        <x:v>28</x:v>
      </x:c>
      <x:c r="R371" s="81" t="n">
        <x:v>67</x:v>
      </x:c>
      <x:c r="S371" s="81" t="n">
        <x:v>47</x:v>
      </x:c>
      <x:c r="T371" s="81" t="n">
        <x:v>4</x:v>
      </x:c>
      <x:c r="U371" s="81" t="n">
        <x:v>5</x:v>
      </x:c>
      <x:c r="V371" s="80"/>
      <x:c r="W371" s="81" t="n">
        <x:f>IF(COUNTA(P371:S371)=4,AVERAGE(P371:S371),"")</x:f>
        <x:v>49.5</x:v>
      </x:c>
      <x:c r="X371" s="81" t="n">
        <x:f>IF(V371&lt;&gt;"",V371,W371)</x:f>
        <x:v>49.5</x:v>
      </x:c>
      <x:c r="Y371" s="80" t="str">
        <x:v>파생 단순평균(참고)</x:v>
      </x:c>
      <x:c r="Z371" s="81" t="n">
        <x:v>80</x:v>
      </x:c>
      <x:c r="AA371" s="81" t="n">
        <x:f>IF(X371&lt;&gt;"",Z371-X371,"")</x:f>
        <x:v>30.5</x:v>
      </x:c>
      <x:c r="AB371" s="80" t="str">
        <x:f>IF(AA371="","",IF(AA371&gt;=5,"안정",IF(AA371&gt;=1,"적정",IF(AA371&gt;=-2,"소신","상향"))))</x:f>
        <x:v>안정</x:v>
      </x:c>
      <x:c r="AC371" s="82" t="n">
        <x:v>46</x:v>
      </x:c>
      <x:c r="AD371" s="82" t="n">
        <x:v>38</x:v>
      </x:c>
      <x:c r="AE371" s="82" t="n">
        <x:v>8</x:v>
      </x:c>
      <x:c r="AF371" s="80" t="str">
        <x:v>B: 공식 과목별 70% 백분위 → 단순평균 파생</x:v>
      </x:c>
      <x:c r="AG371" s="80" t="str">
        <x:v>https://www.adiga.kr/ucp/uvt/uni/univDetailSelection.do?menuId=PCUVTINF2000&amp;searchSyr=2026&amp;unvCd=0000138</x:v>
      </x:c>
    </x:row>
    <x:row r="372">
      <x:c r="A372" s="80" t="n">
        <x:v>2025</x:v>
      </x:c>
      <x:c r="B372" s="80" t="str">
        <x:v>서울특별시</x:v>
      </x:c>
      <x:c r="C372" s="80" t="str">
        <x:v>사립</x:v>
      </x:c>
      <x:c r="D372" s="80" t="str">
        <x:v>세종대학교</x:v>
      </x:c>
      <x:c r="E372" s="80" t="str">
        <x:v>다</x:v>
      </x:c>
      <x:c r="F372" s="80" t="str">
        <x:v>일반전형</x:v>
      </x:c>
      <x:c r="G372" s="80" t="str">
        <x:v>자유전공학부</x:v>
      </x:c>
      <x:c r="H372" s="80" t="n">
        <x:v>0</x:v>
      </x:c>
      <x:c r="I372" s="80" t="n">
        <x:v>10</x:v>
      </x:c>
      <x:c r="J372" s="80" t="n">
        <x:v>10</x:v>
      </x:c>
      <x:c r="K372" s="81" t="n">
        <x:v>29</x:v>
      </x:c>
      <x:c r="L372" s="81" t="n">
        <x:v>20</x:v>
      </x:c>
      <x:c r="M372" s="81" t="n">
        <x:v>706.38</x:v>
      </x:c>
      <x:c r="N372" s="81" t="n">
        <x:v>705.97</x:v>
      </x:c>
      <x:c r="O372" s="81" t="n">
        <x:v>1000</x:v>
      </x:c>
      <x:c r="P372" s="81" t="n">
        <x:v>98</x:v>
      </x:c>
      <x:c r="Q372" s="81" t="n">
        <x:v>81</x:v>
      </x:c>
      <x:c r="R372" s="81" t="n">
        <x:v>89</x:v>
      </x:c>
      <x:c r="S372" s="81" t="n">
        <x:v>75</x:v>
      </x:c>
      <x:c r="T372" s="81" t="n">
        <x:v>4</x:v>
      </x:c>
      <x:c r="U372" s="81" t="n">
        <x:v>2</x:v>
      </x:c>
      <x:c r="V372" s="80"/>
      <x:c r="W372" s="81" t="n">
        <x:f>IF(COUNTA(P372:S372)=4,AVERAGE(P372:S372),"")</x:f>
        <x:v>85.75</x:v>
      </x:c>
      <x:c r="X372" s="81" t="n">
        <x:f>IF(V372&lt;&gt;"",V372,W372)</x:f>
        <x:v>85.75</x:v>
      </x:c>
      <x:c r="Y372" s="80" t="str">
        <x:v>파생 단순평균(참고)</x:v>
      </x:c>
      <x:c r="Z372" s="81" t="n">
        <x:v>80</x:v>
      </x:c>
      <x:c r="AA372" s="81" t="n">
        <x:f>IF(X372&lt;&gt;"",Z372-X372,"")</x:f>
        <x:v>-5.75</x:v>
      </x:c>
      <x:c r="AB372" s="80" t="str">
        <x:f>IF(AA372="","",IF(AA372&gt;=5,"안정",IF(AA372&gt;=1,"적정",IF(AA372&gt;=-2,"소신","상향"))))</x:f>
        <x:v>상향</x:v>
      </x:c>
      <x:c r="AC372" s="82" t="n">
        <x:v>29</x:v>
      </x:c>
      <x:c r="AD372" s="82" t="n">
        <x:v>71</x:v>
      </x:c>
      <x:c r="AE372" s="82" t="n">
        <x:v>0</x:v>
      </x:c>
      <x:c r="AF372" s="80" t="str">
        <x:v>B: 공식 과목별 70% 백분위 → 단순평균 파생</x:v>
      </x:c>
      <x:c r="AG372" s="80" t="str">
        <x:v>https://www.adiga.kr/ucp/uvt/uni/univDetailSelection.do?menuId=PCUVTINF2000&amp;searchSyr=2026&amp;unvCd=0000138</x:v>
      </x:c>
    </x:row>
    <x:row r="373">
      <x:c r="A373" s="80" t="n">
        <x:v>2025</x:v>
      </x:c>
      <x:c r="B373" s="80" t="str">
        <x:v>서울특별시</x:v>
      </x:c>
      <x:c r="C373" s="80" t="str">
        <x:v>사립</x:v>
      </x:c>
      <x:c r="D373" s="80" t="str">
        <x:v>국민대학교</x:v>
      </x:c>
      <x:c r="E373" s="80" t="str">
        <x:v>가</x:v>
      </x:c>
      <x:c r="F373" s="80" t="str">
        <x:v>일반전형</x:v>
      </x:c>
      <x:c r="G373" s="80" t="str">
        <x:v>교육학과</x:v>
      </x:c>
      <x:c r="H373" s="80" t="n">
        <x:v>11</x:v>
      </x:c>
      <x:c r="I373" s="80" t="n">
        <x:v>1</x:v>
      </x:c>
      <x:c r="J373" s="80" t="n">
        <x:v>12</x:v>
      </x:c>
      <x:c r="K373" s="81" t="n">
        <x:v>5</x:v>
      </x:c>
      <x:c r="L373" s="81" t="n">
        <x:v>16</x:v>
      </x:c>
      <x:c r="M373" s="81" t="n">
        <x:v>680.5</x:v>
      </x:c>
      <x:c r="N373" s="81" t="n">
        <x:v>679.5</x:v>
      </x:c>
      <x:c r="O373" s="81" t="n">
        <x:v>1000</x:v>
      </x:c>
      <x:c r="P373" s="81" t="n">
        <x:v>89</x:v>
      </x:c>
      <x:c r="Q373" s="81" t="n">
        <x:v>83</x:v>
      </x:c>
      <x:c r="R373" s="81" t="n">
        <x:v>90</x:v>
      </x:c>
      <x:c r="S373" s="81" t="n">
        <x:v>74</x:v>
      </x:c>
      <x:c r="T373" s="81" t="n">
        <x:v>3</x:v>
      </x:c>
      <x:c r="U373" s="81" t="n">
        <x:v>2</x:v>
      </x:c>
      <x:c r="V373" s="80"/>
      <x:c r="W373" s="81" t="n">
        <x:f>IF(COUNTA(P373:S373)=4,AVERAGE(P373:S373),"")</x:f>
        <x:v>84</x:v>
      </x:c>
      <x:c r="X373" s="81" t="n">
        <x:f>IF(V373&lt;&gt;"",V373,W373)</x:f>
        <x:v>84</x:v>
      </x:c>
      <x:c r="Y373" s="80" t="str">
        <x:v>파생 단순평균(참고)</x:v>
      </x:c>
      <x:c r="Z373" s="81" t="n">
        <x:v>80</x:v>
      </x:c>
      <x:c r="AA373" s="81" t="n">
        <x:f>IF(X373&lt;&gt;"",Z373-X373,"")</x:f>
        <x:v>-4</x:v>
      </x:c>
      <x:c r="AB373" s="80" t="str">
        <x:f>IF(AA373="","",IF(AA373&gt;=5,"안정",IF(AA373&gt;=1,"적정",IF(AA373&gt;=-2,"소신","상향"))))</x:f>
        <x:v>상향</x:v>
      </x:c>
      <x:c r="AC373" s="82" t="n">
        <x:v>55</x:v>
      </x:c>
      <x:c r="AD373" s="82" t="n">
        <x:v>45</x:v>
      </x:c>
      <x:c r="AE373" s="82" t="n">
        <x:v>0</x:v>
      </x:c>
      <x:c r="AF373" s="80" t="str">
        <x:v>B: 공식 과목별 70% 백분위 → 단순평균 파생</x:v>
      </x:c>
      <x:c r="AG373" s="80" t="str">
        <x:v>https://www.adiga.kr/ucp/uvt/uni/univDetailSelection.do?menuId=PCUVTINF2000&amp;searchSyr=2026&amp;unvCd=0000078</x:v>
      </x:c>
    </x:row>
    <x:row r="374">
      <x:c r="A374" s="80" t="n">
        <x:v>2025</x:v>
      </x:c>
      <x:c r="B374" s="80" t="str">
        <x:v>서울특별시</x:v>
      </x:c>
      <x:c r="C374" s="80" t="str">
        <x:v>사립</x:v>
      </x:c>
      <x:c r="D374" s="80" t="str">
        <x:v>국민대학교</x:v>
      </x:c>
      <x:c r="E374" s="80" t="str">
        <x:v>가</x:v>
      </x:c>
      <x:c r="F374" s="80" t="str">
        <x:v>일반전형</x:v>
      </x:c>
      <x:c r="G374" s="80" t="str">
        <x:v>경영학부</x:v>
      </x:c>
      <x:c r="H374" s="80" t="n">
        <x:v>27</x:v>
      </x:c>
      <x:c r="I374" s="80" t="n">
        <x:v>2</x:v>
      </x:c>
      <x:c r="J374" s="80" t="n">
        <x:v>29</x:v>
      </x:c>
      <x:c r="K374" s="81" t="n">
        <x:v>4.38</x:v>
      </x:c>
      <x:c r="L374" s="81" t="n">
        <x:v>23</x:v>
      </x:c>
      <x:c r="M374" s="81" t="n">
        <x:v>686.5</x:v>
      </x:c>
      <x:c r="N374" s="81" t="n">
        <x:v>685</x:v>
      </x:c>
      <x:c r="O374" s="81" t="n">
        <x:v>1000</x:v>
      </x:c>
      <x:c r="P374" s="81" t="n">
        <x:v>91</x:v>
      </x:c>
      <x:c r="Q374" s="81" t="n">
        <x:v>90</x:v>
      </x:c>
      <x:c r="R374" s="81" t="n">
        <x:v>62</x:v>
      </x:c>
      <x:c r="S374" s="81" t="n">
        <x:v>62</x:v>
      </x:c>
      <x:c r="T374" s="81" t="n">
        <x:v>1</x:v>
      </x:c>
      <x:c r="U374" s="81" t="n">
        <x:v>2</x:v>
      </x:c>
      <x:c r="V374" s="80"/>
      <x:c r="W374" s="81" t="n">
        <x:f>IF(COUNTA(P374:S374)=4,AVERAGE(P374:S374),"")</x:f>
        <x:v>76.25</x:v>
      </x:c>
      <x:c r="X374" s="81" t="n">
        <x:f>IF(V374&lt;&gt;"",V374,W374)</x:f>
        <x:v>76.25</x:v>
      </x:c>
      <x:c r="Y374" s="80" t="str">
        <x:v>파생 단순평균(참고)</x:v>
      </x:c>
      <x:c r="Z374" s="81" t="n">
        <x:v>80</x:v>
      </x:c>
      <x:c r="AA374" s="81" t="n">
        <x:f>IF(X374&lt;&gt;"",Z374-X374,"")</x:f>
        <x:v>3.75</x:v>
      </x:c>
      <x:c r="AB374" s="80" t="str">
        <x:f>IF(AA374="","",IF(AA374&gt;=5,"안정",IF(AA374&gt;=1,"적정",IF(AA374&gt;=-2,"소신","상향"))))</x:f>
        <x:v>적정</x:v>
      </x:c>
      <x:c r="AC374" s="82" t="n">
        <x:v>55</x:v>
      </x:c>
      <x:c r="AD374" s="82" t="n">
        <x:v>45</x:v>
      </x:c>
      <x:c r="AE374" s="82" t="n">
        <x:v>0</x:v>
      </x:c>
      <x:c r="AF374" s="80" t="str">
        <x:v>B: 공식 과목별 70% 백분위 → 단순평균 파생</x:v>
      </x:c>
      <x:c r="AG374" s="80" t="str">
        <x:v>https://www.adiga.kr/ucp/uvt/uni/univDetailSelection.do?menuId=PCUVTINF2000&amp;searchSyr=2026&amp;unvCd=0000078</x:v>
      </x:c>
    </x:row>
    <x:row r="375">
      <x:c r="A375" s="80" t="n">
        <x:v>2025</x:v>
      </x:c>
      <x:c r="B375" s="80" t="str">
        <x:v>서울특별시</x:v>
      </x:c>
      <x:c r="C375" s="80" t="str">
        <x:v>사립</x:v>
      </x:c>
      <x:c r="D375" s="80" t="str">
        <x:v>국민대학교</x:v>
      </x:c>
      <x:c r="E375" s="80" t="str">
        <x:v>가</x:v>
      </x:c>
      <x:c r="F375" s="80" t="str">
        <x:v>일반전형</x:v>
      </x:c>
      <x:c r="G375" s="80" t="str">
        <x:v>경영정보학부(인문)</x:v>
      </x:c>
      <x:c r="H375" s="80" t="n">
        <x:v>3</x:v>
      </x:c>
      <x:c r="I375" s="80" t="n">
        <x:v>1</x:v>
      </x:c>
      <x:c r="J375" s="80" t="n">
        <x:v>4</x:v>
      </x:c>
      <x:c r="K375" s="81" t="n">
        <x:v>6.5</x:v>
      </x:c>
      <x:c r="L375" s="81" t="n">
        <x:v>5</x:v>
      </x:c>
      <x:c r="M375" s="81" t="n">
        <x:v>684</x:v>
      </x:c>
      <x:c r="N375" s="81" t="n">
        <x:v>684</x:v>
      </x:c>
      <x:c r="O375" s="81" t="n">
        <x:v>1000</x:v>
      </x:c>
      <x:c r="P375" s="81" t="n">
        <x:v>86</x:v>
      </x:c>
      <x:c r="Q375" s="81" t="n">
        <x:v>81</x:v>
      </x:c>
      <x:c r="R375" s="81" t="n">
        <x:v>85</x:v>
      </x:c>
      <x:c r="S375" s="81" t="n">
        <x:v>84</x:v>
      </x:c>
      <x:c r="T375" s="81" t="n">
        <x:v>2</x:v>
      </x:c>
      <x:c r="U375" s="81" t="n">
        <x:v>1</x:v>
      </x:c>
      <x:c r="V375" s="80"/>
      <x:c r="W375" s="81" t="n">
        <x:f>IF(COUNTA(P375:S375)=4,AVERAGE(P375:S375),"")</x:f>
        <x:v>84</x:v>
      </x:c>
      <x:c r="X375" s="81" t="n">
        <x:f>IF(V375&lt;&gt;"",V375,W375)</x:f>
        <x:v>84</x:v>
      </x:c>
      <x:c r="Y375" s="80" t="str">
        <x:v>파생 단순평균(참고)</x:v>
      </x:c>
      <x:c r="Z375" s="81" t="n">
        <x:v>80</x:v>
      </x:c>
      <x:c r="AA375" s="81" t="n">
        <x:f>IF(X375&lt;&gt;"",Z375-X375,"")</x:f>
        <x:v>-4</x:v>
      </x:c>
      <x:c r="AB375" s="80" t="str">
        <x:f>IF(AA375="","",IF(AA375&gt;=5,"안정",IF(AA375&gt;=1,"적정",IF(AA375&gt;=-2,"소신","상향"))))</x:f>
        <x:v>상향</x:v>
      </x:c>
      <x:c r="AC375" s="82" t="n">
        <x:v>0</x:v>
      </x:c>
      <x:c r="AD375" s="82" t="n">
        <x:v>100</x:v>
      </x:c>
      <x:c r="AE375" s="82" t="n">
        <x:v>0</x:v>
      </x:c>
      <x:c r="AF375" s="80" t="str">
        <x:v>B: 공식 과목별 70% 백분위 → 단순평균 파생</x:v>
      </x:c>
      <x:c r="AG375" s="80" t="str">
        <x:v>https://www.adiga.kr/ucp/uvt/uni/univDetailSelection.do?menuId=PCUVTINF2000&amp;searchSyr=2026&amp;unvCd=0000078</x:v>
      </x:c>
    </x:row>
    <x:row r="376">
      <x:c r="A376" s="80" t="n">
        <x:v>2025</x:v>
      </x:c>
      <x:c r="B376" s="80" t="str">
        <x:v>서울특별시</x:v>
      </x:c>
      <x:c r="C376" s="80" t="str">
        <x:v>사립</x:v>
      </x:c>
      <x:c r="D376" s="80" t="str">
        <x:v>국민대학교</x:v>
      </x:c>
      <x:c r="E376" s="80" t="str">
        <x:v>가</x:v>
      </x:c>
      <x:c r="F376" s="80" t="str">
        <x:v>일반전형</x:v>
      </x:c>
      <x:c r="G376" s="80" t="str">
        <x:v>기계금속재료</x:v>
      </x:c>
      <x:c r="H376" s="80" t="n">
        <x:v>5</x:v>
      </x:c>
      <x:c r="I376" s="80" t="n">
        <x:v>1</x:v>
      </x:c>
      <x:c r="J376" s="80" t="n">
        <x:v>6</x:v>
      </x:c>
      <x:c r="K376" s="81" t="n">
        <x:v>8.2</x:v>
      </x:c>
      <x:c r="L376" s="81" t="n">
        <x:v>11</x:v>
      </x:c>
      <x:c r="M376" s="81" t="n">
        <x:v>698.34</x:v>
      </x:c>
      <x:c r="N376" s="81" t="n">
        <x:v>695.16</x:v>
      </x:c>
      <x:c r="O376" s="81" t="n">
        <x:v>1000</x:v>
      </x:c>
      <x:c r="P376" s="81" t="n">
        <x:v>75</x:v>
      </x:c>
      <x:c r="Q376" s="81" t="n">
        <x:v>92</x:v>
      </x:c>
      <x:c r="R376" s="81" t="n">
        <x:v>79</x:v>
      </x:c>
      <x:c r="S376" s="81" t="n">
        <x:v>88</x:v>
      </x:c>
      <x:c r="T376" s="81" t="n">
        <x:v>2</x:v>
      </x:c>
      <x:c r="U376" s="81" t="n">
        <x:v>4</x:v>
      </x:c>
      <x:c r="V376" s="80"/>
      <x:c r="W376" s="81" t="n">
        <x:f>IF(COUNTA(P376:S376)=4,AVERAGE(P376:S376),"")</x:f>
        <x:v>83.5</x:v>
      </x:c>
      <x:c r="X376" s="81" t="n">
        <x:f>IF(V376&lt;&gt;"",V376,W376)</x:f>
        <x:v>83.5</x:v>
      </x:c>
      <x:c r="Y376" s="80" t="str">
        <x:v>파생 단순평균(참고)</x:v>
      </x:c>
      <x:c r="Z376" s="81" t="n">
        <x:v>80</x:v>
      </x:c>
      <x:c r="AA376" s="81" t="n">
        <x:f>IF(X376&lt;&gt;"",Z376-X376,"")</x:f>
        <x:v>-3.5</x:v>
      </x:c>
      <x:c r="AB376" s="80" t="str">
        <x:f>IF(AA376="","",IF(AA376&gt;=5,"안정",IF(AA376&gt;=1,"적정",IF(AA376&gt;=-2,"소신","상향"))))</x:f>
        <x:v>상향</x:v>
      </x:c>
      <x:c r="AC376" s="82" t="n">
        <x:v>20</x:v>
      </x:c>
      <x:c r="AD376" s="82" t="n">
        <x:v>80</x:v>
      </x:c>
      <x:c r="AE376" s="82" t="n">
        <x:v>0</x:v>
      </x:c>
      <x:c r="AF376" s="80" t="str">
        <x:v>B: 공식 과목별 70% 백분위 → 단순평균 파생</x:v>
      </x:c>
      <x:c r="AG376" s="80" t="str">
        <x:v>https://www.adiga.kr/ucp/uvt/uni/univDetailSelection.do?menuId=PCUVTINF2000&amp;searchSyr=2026&amp;unvCd=0000078</x:v>
      </x:c>
    </x:row>
    <x:row r="377">
      <x:c r="A377" s="80" t="n">
        <x:v>2025</x:v>
      </x:c>
      <x:c r="B377" s="80" t="str">
        <x:v>서울특별시</x:v>
      </x:c>
      <x:c r="C377" s="80" t="str">
        <x:v>사립</x:v>
      </x:c>
      <x:c r="D377" s="80" t="str">
        <x:v>국민대학교</x:v>
      </x:c>
      <x:c r="E377" s="80" t="str">
        <x:v>가</x:v>
      </x:c>
      <x:c r="F377" s="80" t="str">
        <x:v>일반전형</x:v>
      </x:c>
      <x:c r="G377" s="80" t="str">
        <x:v>지능형 ICT 융합전공</x:v>
      </x:c>
      <x:c r="H377" s="80" t="n">
        <x:v>6</x:v>
      </x:c>
      <x:c r="I377" s="80" t="n">
        <x:v>3</x:v>
      </x:c>
      <x:c r="J377" s="80" t="n">
        <x:v>9</x:v>
      </x:c>
      <x:c r="K377" s="81" t="n">
        <x:v>6.2</x:v>
      </x:c>
      <x:c r="L377" s="81" t="n">
        <x:v>5</x:v>
      </x:c>
      <x:c r="M377" s="81" t="n">
        <x:v>699.34</x:v>
      </x:c>
      <x:c r="N377" s="81" t="n">
        <x:v>698.62</x:v>
      </x:c>
      <x:c r="O377" s="81" t="n">
        <x:v>1000</x:v>
      </x:c>
      <x:c r="P377" s="81" t="n">
        <x:v>92</x:v>
      </x:c>
      <x:c r="Q377" s="81" t="n">
        <x:v>93</x:v>
      </x:c>
      <x:c r="R377" s="81" t="n">
        <x:v>68</x:v>
      </x:c>
      <x:c r="S377" s="81" t="n">
        <x:v>88</x:v>
      </x:c>
      <x:c r="T377" s="81" t="n">
        <x:v>3</x:v>
      </x:c>
      <x:c r="U377" s="81" t="n">
        <x:v>1</x:v>
      </x:c>
      <x:c r="V377" s="80"/>
      <x:c r="W377" s="81" t="n">
        <x:f>IF(COUNTA(P377:S377)=4,AVERAGE(P377:S377),"")</x:f>
        <x:v>85.25</x:v>
      </x:c>
      <x:c r="X377" s="81" t="n">
        <x:f>IF(V377&lt;&gt;"",V377,W377)</x:f>
        <x:v>85.25</x:v>
      </x:c>
      <x:c r="Y377" s="80" t="str">
        <x:v>파생 단순평균(참고)</x:v>
      </x:c>
      <x:c r="Z377" s="81" t="n">
        <x:v>80</x:v>
      </x:c>
      <x:c r="AA377" s="81" t="n">
        <x:f>IF(X377&lt;&gt;"",Z377-X377,"")</x:f>
        <x:v>-5.25</x:v>
      </x:c>
      <x:c r="AB377" s="80" t="str">
        <x:f>IF(AA377="","",IF(AA377&gt;=5,"안정",IF(AA377&gt;=1,"적정",IF(AA377&gt;=-2,"소신","상향"))))</x:f>
        <x:v>상향</x:v>
      </x:c>
      <x:c r="AC377" s="82" t="n">
        <x:v>0</x:v>
      </x:c>
      <x:c r="AD377" s="82" t="n">
        <x:v>100</x:v>
      </x:c>
      <x:c r="AE377" s="82" t="n">
        <x:v>0</x:v>
      </x:c>
      <x:c r="AF377" s="80" t="str">
        <x:v>B: 공식 과목별 70% 백분위 → 단순평균 파생</x:v>
      </x:c>
      <x:c r="AG377" s="80" t="str">
        <x:v>https://www.adiga.kr/ucp/uvt/uni/univDetailSelection.do?menuId=PCUVTINF2000&amp;searchSyr=2026&amp;unvCd=0000078</x:v>
      </x:c>
    </x:row>
    <x:row r="378">
      <x:c r="A378" s="80" t="n">
        <x:v>2025</x:v>
      </x:c>
      <x:c r="B378" s="80" t="str">
        <x:v>서울특별시</x:v>
      </x:c>
      <x:c r="C378" s="80" t="str">
        <x:v>사립</x:v>
      </x:c>
      <x:c r="D378" s="80" t="str">
        <x:v>국민대학교</x:v>
      </x:c>
      <x:c r="E378" s="80" t="str">
        <x:v>가</x:v>
      </x:c>
      <x:c r="F378" s="80" t="str">
        <x:v>일반전형</x:v>
      </x:c>
      <x:c r="G378" s="80" t="str">
        <x:v>인공지능학부</x:v>
      </x:c>
      <x:c r="H378" s="80" t="n">
        <x:v>11</x:v>
      </x:c>
      <x:c r="I378" s="80" t="n">
        <x:v>2</x:v>
      </x:c>
      <x:c r="J378" s="80" t="n">
        <x:v>13</x:v>
      </x:c>
      <x:c r="K378" s="81" t="n">
        <x:v>6</x:v>
      </x:c>
      <x:c r="L378" s="81" t="n">
        <x:v>22</x:v>
      </x:c>
      <x:c r="M378" s="81" t="n">
        <x:v>696.62</x:v>
      </x:c>
      <x:c r="N378" s="81" t="n">
        <x:v>694.52</x:v>
      </x:c>
      <x:c r="O378" s="81" t="n">
        <x:v>1000</x:v>
      </x:c>
      <x:c r="P378" s="81" t="n">
        <x:v>63</x:v>
      </x:c>
      <x:c r="Q378" s="81" t="n">
        <x:v>98</x:v>
      </x:c>
      <x:c r="R378" s="81" t="n">
        <x:v>94</x:v>
      </x:c>
      <x:c r="S378" s="81" t="n">
        <x:v>75</x:v>
      </x:c>
      <x:c r="T378" s="81" t="n">
        <x:v>3</x:v>
      </x:c>
      <x:c r="U378" s="81" t="n">
        <x:v>4</x:v>
      </x:c>
      <x:c r="V378" s="80"/>
      <x:c r="W378" s="81" t="n">
        <x:f>IF(COUNTA(P378:S378)=4,AVERAGE(P378:S378),"")</x:f>
        <x:v>82.5</x:v>
      </x:c>
      <x:c r="X378" s="81" t="n">
        <x:f>IF(V378&lt;&gt;"",V378,W378)</x:f>
        <x:v>82.5</x:v>
      </x:c>
      <x:c r="Y378" s="80" t="str">
        <x:v>파생 단순평균(참고)</x:v>
      </x:c>
      <x:c r="Z378" s="81" t="n">
        <x:v>80</x:v>
      </x:c>
      <x:c r="AA378" s="81" t="n">
        <x:f>IF(X378&lt;&gt;"",Z378-X378,"")</x:f>
        <x:v>-2.5</x:v>
      </x:c>
      <x:c r="AB378" s="80" t="str">
        <x:f>IF(AA378="","",IF(AA378&gt;=5,"안정",IF(AA378&gt;=1,"적정",IF(AA378&gt;=-2,"소신","상향"))))</x:f>
        <x:v>상향</x:v>
      </x:c>
      <x:c r="AC378" s="82" t="n">
        <x:v>0</x:v>
      </x:c>
      <x:c r="AD378" s="82" t="n">
        <x:v>100</x:v>
      </x:c>
      <x:c r="AE378" s="82" t="n">
        <x:v>0</x:v>
      </x:c>
      <x:c r="AF378" s="80" t="str">
        <x:v>B: 공식 과목별 70% 백분위 → 단순평균 파생</x:v>
      </x:c>
      <x:c r="AG378" s="80" t="str">
        <x:v>https://www.adiga.kr/ucp/uvt/uni/univDetailSelection.do?menuId=PCUVTINF2000&amp;searchSyr=2026&amp;unvCd=0000078</x:v>
      </x:c>
    </x:row>
    <x:row r="379">
      <x:c r="A379" s="80" t="n">
        <x:v>2025</x:v>
      </x:c>
      <x:c r="B379" s="80" t="str">
        <x:v>서울특별시</x:v>
      </x:c>
      <x:c r="C379" s="80" t="str">
        <x:v>사립</x:v>
      </x:c>
      <x:c r="D379" s="80" t="str">
        <x:v>국민대학교</x:v>
      </x:c>
      <x:c r="E379" s="80" t="str">
        <x:v>가</x:v>
      </x:c>
      <x:c r="F379" s="80" t="str">
        <x:v>일반전형</x:v>
      </x:c>
      <x:c r="G379" s="80" t="str">
        <x:v>나노소재전공</x:v>
      </x:c>
      <x:c r="H379" s="80" t="n">
        <x:v>5</x:v>
      </x:c>
      <x:c r="I379" s="80" t="n">
        <x:v>2</x:v>
      </x:c>
      <x:c r="J379" s="80" t="n">
        <x:v>7</x:v>
      </x:c>
      <x:c r="K379" s="81" t="n">
        <x:v>9</x:v>
      </x:c>
      <x:c r="L379" s="81" t="n">
        <x:v>14</x:v>
      </x:c>
      <x:c r="M379" s="81" t="n">
        <x:v>692.01</x:v>
      </x:c>
      <x:c r="N379" s="81" t="n">
        <x:v>691.44</x:v>
      </x:c>
      <x:c r="O379" s="81" t="n">
        <x:v>1000</x:v>
      </x:c>
      <x:c r="P379" s="81" t="n">
        <x:v>91</x:v>
      </x:c>
      <x:c r="Q379" s="81" t="n">
        <x:v>90</x:v>
      </x:c>
      <x:c r="R379" s="81" t="n">
        <x:v>90</x:v>
      </x:c>
      <x:c r="S379" s="81" t="n">
        <x:v>67</x:v>
      </x:c>
      <x:c r="T379" s="81" t="n">
        <x:v>3</x:v>
      </x:c>
      <x:c r="U379" s="81" t="n">
        <x:v>1</x:v>
      </x:c>
      <x:c r="V379" s="80"/>
      <x:c r="W379" s="81" t="n">
        <x:f>IF(COUNTA(P379:S379)=4,AVERAGE(P379:S379),"")</x:f>
        <x:v>84.5</x:v>
      </x:c>
      <x:c r="X379" s="81" t="n">
        <x:f>IF(V379&lt;&gt;"",V379,W379)</x:f>
        <x:v>84.5</x:v>
      </x:c>
      <x:c r="Y379" s="80" t="str">
        <x:v>파생 단순평균(참고)</x:v>
      </x:c>
      <x:c r="Z379" s="81" t="n">
        <x:v>80</x:v>
      </x:c>
      <x:c r="AA379" s="81" t="n">
        <x:f>IF(X379&lt;&gt;"",Z379-X379,"")</x:f>
        <x:v>-4.5</x:v>
      </x:c>
      <x:c r="AB379" s="80" t="str">
        <x:f>IF(AA379="","",IF(AA379&gt;=5,"안정",IF(AA379&gt;=1,"적정",IF(AA379&gt;=-2,"소신","상향"))))</x:f>
        <x:v>상향</x:v>
      </x:c>
      <x:c r="AC379" s="82" t="n">
        <x:v>0</x:v>
      </x:c>
      <x:c r="AD379" s="82" t="n">
        <x:v>100</x:v>
      </x:c>
      <x:c r="AE379" s="82" t="n">
        <x:v>0</x:v>
      </x:c>
      <x:c r="AF379" s="80" t="str">
        <x:v>B: 공식 과목별 70% 백분위 → 단순평균 파생</x:v>
      </x:c>
      <x:c r="AG379" s="80" t="str">
        <x:v>https://www.adiga.kr/ucp/uvt/uni/univDetailSelection.do?menuId=PCUVTINF2000&amp;searchSyr=2026&amp;unvCd=0000078</x:v>
      </x:c>
    </x:row>
    <x:row r="380">
      <x:c r="A380" s="80" t="n">
        <x:v>2025</x:v>
      </x:c>
      <x:c r="B380" s="80" t="str">
        <x:v>서울특별시</x:v>
      </x:c>
      <x:c r="C380" s="80" t="str">
        <x:v>사립</x:v>
      </x:c>
      <x:c r="D380" s="80" t="str">
        <x:v>국민대학교</x:v>
      </x:c>
      <x:c r="E380" s="80" t="str">
        <x:v>가</x:v>
      </x:c>
      <x:c r="F380" s="80" t="str">
        <x:v>일반전형</x:v>
      </x:c>
      <x:c r="G380" s="80" t="str">
        <x:v>바이오의약전공</x:v>
      </x:c>
      <x:c r="H380" s="80" t="n">
        <x:v>3</x:v>
      </x:c>
      <x:c r="I380" s="80" t="n">
        <x:v>1</x:v>
      </x:c>
      <x:c r="J380" s="80" t="n">
        <x:v>4</x:v>
      </x:c>
      <x:c r="K380" s="81" t="n">
        <x:v>7.75</x:v>
      </x:c>
      <x:c r="L380" s="81" t="n">
        <x:v>10</x:v>
      </x:c>
      <x:c r="M380" s="81" t="n">
        <x:v>703.16</x:v>
      </x:c>
      <x:c r="N380" s="81" t="n">
        <x:v>703.16</x:v>
      </x:c>
      <x:c r="O380" s="81" t="n">
        <x:v>1000</x:v>
      </x:c>
      <x:c r="P380" s="81" t="n">
        <x:v>88</x:v>
      </x:c>
      <x:c r="Q380" s="81" t="n">
        <x:v>89</x:v>
      </x:c>
      <x:c r="R380" s="81" t="n">
        <x:v>85</x:v>
      </x:c>
      <x:c r="S380" s="81" t="n">
        <x:v>88</x:v>
      </x:c>
      <x:c r="T380" s="81" t="n">
        <x:v>2</x:v>
      </x:c>
      <x:c r="U380" s="81" t="n">
        <x:v>2</x:v>
      </x:c>
      <x:c r="V380" s="80"/>
      <x:c r="W380" s="81" t="n">
        <x:f>IF(COUNTA(P380:S380)=4,AVERAGE(P380:S380),"")</x:f>
        <x:v>87.5</x:v>
      </x:c>
      <x:c r="X380" s="81" t="n">
        <x:f>IF(V380&lt;&gt;"",V380,W380)</x:f>
        <x:v>87.5</x:v>
      </x:c>
      <x:c r="Y380" s="80" t="str">
        <x:v>파생 단순평균(참고)</x:v>
      </x:c>
      <x:c r="Z380" s="81" t="n">
        <x:v>80</x:v>
      </x:c>
      <x:c r="AA380" s="81" t="n">
        <x:f>IF(X380&lt;&gt;"",Z380-X380,"")</x:f>
        <x:v>-7.5</x:v>
      </x:c>
      <x:c r="AB380" s="80" t="str">
        <x:f>IF(AA380="","",IF(AA380&gt;=5,"안정",IF(AA380&gt;=1,"적정",IF(AA380&gt;=-2,"소신","상향"))))</x:f>
        <x:v>상향</x:v>
      </x:c>
      <x:c r="AC380" s="82" t="n">
        <x:v>0</x:v>
      </x:c>
      <x:c r="AD380" s="82" t="n">
        <x:v>0</x:v>
      </x:c>
      <x:c r="AE380" s="82" t="n">
        <x:v>100</x:v>
      </x:c>
      <x:c r="AF380" s="80" t="str">
        <x:v>B: 공식 과목별 70% 백분위 → 단순평균 파생</x:v>
      </x:c>
      <x:c r="AG380" s="80" t="str">
        <x:v>https://www.adiga.kr/ucp/uvt/uni/univDetailSelection.do?menuId=PCUVTINF2000&amp;searchSyr=2026&amp;unvCd=0000078</x:v>
      </x:c>
    </x:row>
    <x:row r="381">
      <x:c r="A381" s="80" t="n">
        <x:v>2025</x:v>
      </x:c>
      <x:c r="B381" s="80" t="str">
        <x:v>서울특별시</x:v>
      </x:c>
      <x:c r="C381" s="80" t="str">
        <x:v>사립</x:v>
      </x:c>
      <x:c r="D381" s="80" t="str">
        <x:v>국민대학교</x:v>
      </x:c>
      <x:c r="E381" s="80" t="str">
        <x:v>가</x:v>
      </x:c>
      <x:c r="F381" s="80" t="str">
        <x:v>일반전형</x:v>
      </x:c>
      <x:c r="G381" s="80" t="str">
        <x:v>바이오발효융합학과</x:v>
      </x:c>
      <x:c r="H381" s="80" t="n">
        <x:v>5</x:v>
      </x:c>
      <x:c r="I381" s="80" t="n">
        <x:v>0</x:v>
      </x:c>
      <x:c r="J381" s="80" t="n">
        <x:v>5</x:v>
      </x:c>
      <x:c r="K381" s="81" t="n">
        <x:v>7</x:v>
      </x:c>
      <x:c r="L381" s="81" t="n">
        <x:v>6</x:v>
      </x:c>
      <x:c r="M381" s="81" t="n">
        <x:v>695.35</x:v>
      </x:c>
      <x:c r="N381" s="81" t="n">
        <x:v>695.35</x:v>
      </x:c>
      <x:c r="O381" s="81" t="n">
        <x:v>1000</x:v>
      </x:c>
      <x:c r="P381" s="81" t="n">
        <x:v>92</x:v>
      </x:c>
      <x:c r="Q381" s="81" t="n">
        <x:v>87</x:v>
      </x:c>
      <x:c r="R381" s="81" t="n">
        <x:v>66</x:v>
      </x:c>
      <x:c r="S381" s="81" t="n">
        <x:v>88</x:v>
      </x:c>
      <x:c r="T381" s="81" t="n">
        <x:v>2</x:v>
      </x:c>
      <x:c r="U381" s="81" t="n">
        <x:v>2</x:v>
      </x:c>
      <x:c r="V381" s="80"/>
      <x:c r="W381" s="81" t="n">
        <x:f>IF(COUNTA(P381:S381)=4,AVERAGE(P381:S381),"")</x:f>
        <x:v>83.25</x:v>
      </x:c>
      <x:c r="X381" s="81" t="n">
        <x:f>IF(V381&lt;&gt;"",V381,W381)</x:f>
        <x:v>83.25</x:v>
      </x:c>
      <x:c r="Y381" s="80" t="str">
        <x:v>파생 단순평균(참고)</x:v>
      </x:c>
      <x:c r="Z381" s="81" t="n">
        <x:v>80</x:v>
      </x:c>
      <x:c r="AA381" s="81" t="n">
        <x:f>IF(X381&lt;&gt;"",Z381-X381,"")</x:f>
        <x:v>-3.25</x:v>
      </x:c>
      <x:c r="AB381" s="80" t="str">
        <x:f>IF(AA381="","",IF(AA381&gt;=5,"안정",IF(AA381&gt;=1,"적정",IF(AA381&gt;=-2,"소신","상향"))))</x:f>
        <x:v>상향</x:v>
      </x:c>
      <x:c r="AC381" s="82" t="n">
        <x:v>0</x:v>
      </x:c>
      <x:c r="AD381" s="82" t="n">
        <x:v>100</x:v>
      </x:c>
      <x:c r="AE381" s="82" t="n">
        <x:v>0</x:v>
      </x:c>
      <x:c r="AF381" s="80" t="str">
        <x:v>B: 공식 과목별 70% 백분위 → 단순평균 파생</x:v>
      </x:c>
      <x:c r="AG381" s="80" t="str">
        <x:v>https://www.adiga.kr/ucp/uvt/uni/univDetailSelection.do?menuId=PCUVTINF2000&amp;searchSyr=2026&amp;unvCd=0000078</x:v>
      </x:c>
    </x:row>
    <x:row r="382">
      <x:c r="A382" s="80" t="n">
        <x:v>2025</x:v>
      </x:c>
      <x:c r="B382" s="80" t="str">
        <x:v>서울특별시</x:v>
      </x:c>
      <x:c r="C382" s="80" t="str">
        <x:v>사립</x:v>
      </x:c>
      <x:c r="D382" s="80" t="str">
        <x:v>국민대학교</x:v>
      </x:c>
      <x:c r="E382" s="80" t="str">
        <x:v>가</x:v>
      </x:c>
      <x:c r="F382" s="80" t="str">
        <x:v>일반전형</x:v>
      </x:c>
      <x:c r="G382" s="80" t="str">
        <x:v>자유전공</x:v>
      </x:c>
      <x:c r="H382" s="80" t="n">
        <x:v>300</x:v>
      </x:c>
      <x:c r="I382" s="80" t="n">
        <x:v>0</x:v>
      </x:c>
      <x:c r="J382" s="80" t="n">
        <x:v>300</x:v>
      </x:c>
      <x:c r="K382" s="81" t="n">
        <x:v>4.77</x:v>
      </x:c>
      <x:c r="L382" s="81" t="n">
        <x:v>245</x:v>
      </x:c>
      <x:c r="M382" s="81" t="n">
        <x:v>703.75</x:v>
      </x:c>
      <x:c r="N382" s="81" t="n">
        <x:v>702.5</x:v>
      </x:c>
      <x:c r="O382" s="81" t="n">
        <x:v>1000</x:v>
      </x:c>
      <x:c r="P382" s="81" t="n">
        <x:v>88</x:v>
      </x:c>
      <x:c r="Q382" s="81" t="n">
        <x:v>56</x:v>
      </x:c>
      <x:c r="R382" s="81" t="n">
        <x:v>92</x:v>
      </x:c>
      <x:c r="S382" s="81" t="n">
        <x:v>95</x:v>
      </x:c>
      <x:c r="T382" s="81" t="n">
        <x:v>1</x:v>
      </x:c>
      <x:c r="U382" s="81" t="n">
        <x:v>2</x:v>
      </x:c>
      <x:c r="V382" s="80"/>
      <x:c r="W382" s="81" t="n">
        <x:f>IF(COUNTA(P382:S382)=4,AVERAGE(P382:S382),"")</x:f>
        <x:v>82.75</x:v>
      </x:c>
      <x:c r="X382" s="81" t="n">
        <x:f>IF(V382&lt;&gt;"",V382,W382)</x:f>
        <x:v>82.75</x:v>
      </x:c>
      <x:c r="Y382" s="80" t="str">
        <x:v>파생 단순평균(참고)</x:v>
      </x:c>
      <x:c r="Z382" s="81" t="n">
        <x:v>80</x:v>
      </x:c>
      <x:c r="AA382" s="81" t="n">
        <x:f>IF(X382&lt;&gt;"",Z382-X382,"")</x:f>
        <x:v>-2.75</x:v>
      </x:c>
      <x:c r="AB382" s="80" t="str">
        <x:f>IF(AA382="","",IF(AA382&gt;=5,"안정",IF(AA382&gt;=1,"적정",IF(AA382&gt;=-2,"소신","상향"))))</x:f>
        <x:v>상향</x:v>
      </x:c>
      <x:c r="AC382" s="82" t="n">
        <x:v>51</x:v>
      </x:c>
      <x:c r="AD382" s="82" t="n">
        <x:v>45</x:v>
      </x:c>
      <x:c r="AE382" s="82" t="n">
        <x:v>4</x:v>
      </x:c>
      <x:c r="AF382" s="80" t="str">
        <x:v>B: 공식 과목별 70% 백분위 → 단순평균 파생</x:v>
      </x:c>
      <x:c r="AG382" s="80" t="str">
        <x:v>https://www.adiga.kr/ucp/uvt/uni/univDetailSelection.do?menuId=PCUVTINF2000&amp;searchSyr=2026&amp;unvCd=0000078</x:v>
      </x:c>
    </x:row>
    <x:row r="383">
      <x:c r="A383" s="80" t="n">
        <x:v>2025</x:v>
      </x:c>
      <x:c r="B383" s="80" t="str">
        <x:v>서울특별시</x:v>
      </x:c>
      <x:c r="C383" s="80" t="str">
        <x:v>사립</x:v>
      </x:c>
      <x:c r="D383" s="80" t="str">
        <x:v>국민대학교</x:v>
      </x:c>
      <x:c r="E383" s="80" t="str">
        <x:v>나</x:v>
      </x:c>
      <x:c r="F383" s="80" t="str">
        <x:v>일반전형</x:v>
      </x:c>
      <x:c r="G383" s="80" t="str">
        <x:v>행정학과</x:v>
      </x:c>
      <x:c r="H383" s="80" t="n">
        <x:v>9</x:v>
      </x:c>
      <x:c r="I383" s="80" t="n">
        <x:v>0</x:v>
      </x:c>
      <x:c r="J383" s="80" t="n">
        <x:v>9</x:v>
      </x:c>
      <x:c r="K383" s="81" t="n">
        <x:v>6.11</x:v>
      </x:c>
      <x:c r="L383" s="81" t="n">
        <x:v>14</x:v>
      </x:c>
      <x:c r="M383" s="81" t="n">
        <x:v>685</x:v>
      </x:c>
      <x:c r="N383" s="81" t="n">
        <x:v>683.5</x:v>
      </x:c>
      <x:c r="O383" s="81" t="n">
        <x:v>1000</x:v>
      </x:c>
      <x:c r="P383" s="81" t="n">
        <x:v>77</x:v>
      </x:c>
      <x:c r="Q383" s="81" t="n">
        <x:v>78</x:v>
      </x:c>
      <x:c r="R383" s="81" t="n">
        <x:v>95</x:v>
      </x:c>
      <x:c r="S383" s="81" t="n">
        <x:v>99</x:v>
      </x:c>
      <x:c r="T383" s="81" t="n">
        <x:v>2</x:v>
      </x:c>
      <x:c r="U383" s="81" t="n">
        <x:v>2</x:v>
      </x:c>
      <x:c r="V383" s="80"/>
      <x:c r="W383" s="81" t="n">
        <x:f>IF(COUNTA(P383:S383)=4,AVERAGE(P383:S383),"")</x:f>
        <x:v>87.25</x:v>
      </x:c>
      <x:c r="X383" s="81" t="n">
        <x:f>IF(V383&lt;&gt;"",V383,W383)</x:f>
        <x:v>87.25</x:v>
      </x:c>
      <x:c r="Y383" s="80" t="str">
        <x:v>파생 단순평균(참고)</x:v>
      </x:c>
      <x:c r="Z383" s="81" t="n">
        <x:v>80</x:v>
      </x:c>
      <x:c r="AA383" s="81" t="n">
        <x:f>IF(X383&lt;&gt;"",Z383-X383,"")</x:f>
        <x:v>-7.25</x:v>
      </x:c>
      <x:c r="AB383" s="80" t="str">
        <x:f>IF(AA383="","",IF(AA383&gt;=5,"안정",IF(AA383&gt;=1,"적정",IF(AA383&gt;=-2,"소신","상향"))))</x:f>
        <x:v>상향</x:v>
      </x:c>
      <x:c r="AC383" s="82" t="n">
        <x:v>67</x:v>
      </x:c>
      <x:c r="AD383" s="82" t="n">
        <x:v>33</x:v>
      </x:c>
      <x:c r="AE383" s="82" t="n">
        <x:v>0</x:v>
      </x:c>
      <x:c r="AF383" s="80" t="str">
        <x:v>B: 공식 과목별 70% 백분위 → 단순평균 파생</x:v>
      </x:c>
      <x:c r="AG383" s="80" t="str">
        <x:v>https://www.adiga.kr/ucp/uvt/uni/univDetailSelection.do?menuId=PCUVTINF2000&amp;searchSyr=2026&amp;unvCd=0000078</x:v>
      </x:c>
    </x:row>
    <x:row r="384">
      <x:c r="A384" s="80" t="n">
        <x:v>2025</x:v>
      </x:c>
      <x:c r="B384" s="80" t="str">
        <x:v>서울특별시</x:v>
      </x:c>
      <x:c r="C384" s="80" t="str">
        <x:v>사립</x:v>
      </x:c>
      <x:c r="D384" s="80" t="str">
        <x:v>국민대학교</x:v>
      </x:c>
      <x:c r="E384" s="80" t="str">
        <x:v>나</x:v>
      </x:c>
      <x:c r="F384" s="80" t="str">
        <x:v>일반전형</x:v>
      </x:c>
      <x:c r="G384" s="80" t="str">
        <x:v>정치외교학과</x:v>
      </x:c>
      <x:c r="H384" s="80" t="n">
        <x:v>6</x:v>
      </x:c>
      <x:c r="I384" s="80" t="n">
        <x:v>2</x:v>
      </x:c>
      <x:c r="J384" s="80" t="n">
        <x:v>8</x:v>
      </x:c>
      <x:c r="K384" s="81" t="n">
        <x:v>8</x:v>
      </x:c>
      <x:c r="L384" s="81" t="n">
        <x:v>12</x:v>
      </x:c>
      <x:c r="M384" s="81" t="n">
        <x:v>684.5</x:v>
      </x:c>
      <x:c r="N384" s="81" t="n">
        <x:v>684</x:v>
      </x:c>
      <x:c r="O384" s="81" t="n">
        <x:v>1000</x:v>
      </x:c>
      <x:c r="P384" s="81" t="n">
        <x:v>89</x:v>
      </x:c>
      <x:c r="Q384" s="81" t="n">
        <x:v>66</x:v>
      </x:c>
      <x:c r="R384" s="81" t="n">
        <x:v>88</x:v>
      </x:c>
      <x:c r="S384" s="81" t="n">
        <x:v>88</x:v>
      </x:c>
      <x:c r="T384" s="81" t="n">
        <x:v>1</x:v>
      </x:c>
      <x:c r="U384" s="81" t="n">
        <x:v>2</x:v>
      </x:c>
      <x:c r="V384" s="80"/>
      <x:c r="W384" s="81" t="n">
        <x:f>IF(COUNTA(P384:S384)=4,AVERAGE(P384:S384),"")</x:f>
        <x:v>82.75</x:v>
      </x:c>
      <x:c r="X384" s="81" t="n">
        <x:f>IF(V384&lt;&gt;"",V384,W384)</x:f>
        <x:v>82.75</x:v>
      </x:c>
      <x:c r="Y384" s="80" t="str">
        <x:v>파생 단순평균(참고)</x:v>
      </x:c>
      <x:c r="Z384" s="81" t="n">
        <x:v>80</x:v>
      </x:c>
      <x:c r="AA384" s="81" t="n">
        <x:f>IF(X384&lt;&gt;"",Z384-X384,"")</x:f>
        <x:v>-2.75</x:v>
      </x:c>
      <x:c r="AB384" s="80" t="str">
        <x:f>IF(AA384="","",IF(AA384&gt;=5,"안정",IF(AA384&gt;=1,"적정",IF(AA384&gt;=-2,"소신","상향"))))</x:f>
        <x:v>상향</x:v>
      </x:c>
      <x:c r="AC384" s="82" t="n">
        <x:v>43</x:v>
      </x:c>
      <x:c r="AD384" s="82" t="n">
        <x:v>57</x:v>
      </x:c>
      <x:c r="AE384" s="82" t="n">
        <x:v>0</x:v>
      </x:c>
      <x:c r="AF384" s="80" t="str">
        <x:v>B: 공식 과목별 70% 백분위 → 단순평균 파생</x:v>
      </x:c>
      <x:c r="AG384" s="80" t="str">
        <x:v>https://www.adiga.kr/ucp/uvt/uni/univDetailSelection.do?menuId=PCUVTINF2000&amp;searchSyr=2026&amp;unvCd=0000078</x:v>
      </x:c>
    </x:row>
    <x:row r="385">
      <x:c r="A385" s="80" t="n">
        <x:v>2025</x:v>
      </x:c>
      <x:c r="B385" s="80" t="str">
        <x:v>서울특별시</x:v>
      </x:c>
      <x:c r="C385" s="80" t="str">
        <x:v>사립</x:v>
      </x:c>
      <x:c r="D385" s="80" t="str">
        <x:v>국민대학교</x:v>
      </x:c>
      <x:c r="E385" s="80" t="str">
        <x:v>나</x:v>
      </x:c>
      <x:c r="F385" s="80" t="str">
        <x:v>일반전형</x:v>
      </x:c>
      <x:c r="G385" s="80" t="str">
        <x:v>사회학과</x:v>
      </x:c>
      <x:c r="H385" s="80" t="n">
        <x:v>4</x:v>
      </x:c>
      <x:c r="I385" s="80" t="n">
        <x:v>2</x:v>
      </x:c>
      <x:c r="J385" s="80" t="n">
        <x:v>6</x:v>
      </x:c>
      <x:c r="K385" s="81" t="n">
        <x:v>7.83</x:v>
      </x:c>
      <x:c r="L385" s="81" t="n">
        <x:v>4</x:v>
      </x:c>
      <x:c r="M385" s="81" t="n">
        <x:v>683</x:v>
      </x:c>
      <x:c r="N385" s="81" t="n">
        <x:v>682</x:v>
      </x:c>
      <x:c r="O385" s="81" t="n">
        <x:v>1000</x:v>
      </x:c>
      <x:c r="P385" s="81" t="n">
        <x:v>83</x:v>
      </x:c>
      <x:c r="Q385" s="81" t="n">
        <x:v>89</x:v>
      </x:c>
      <x:c r="R385" s="81" t="n">
        <x:v>64</x:v>
      </x:c>
      <x:c r="S385" s="81" t="n">
        <x:v>94</x:v>
      </x:c>
      <x:c r="T385" s="81" t="n">
        <x:v>2</x:v>
      </x:c>
      <x:c r="U385" s="81" t="n">
        <x:v>1</x:v>
      </x:c>
      <x:c r="V385" s="80"/>
      <x:c r="W385" s="81" t="n">
        <x:f>IF(COUNTA(P385:S385)=4,AVERAGE(P385:S385),"")</x:f>
        <x:v>82.5</x:v>
      </x:c>
      <x:c r="X385" s="81" t="n">
        <x:f>IF(V385&lt;&gt;"",V385,W385)</x:f>
        <x:v>82.5</x:v>
      </x:c>
      <x:c r="Y385" s="80" t="str">
        <x:v>파생 단순평균(참고)</x:v>
      </x:c>
      <x:c r="Z385" s="81" t="n">
        <x:v>80</x:v>
      </x:c>
      <x:c r="AA385" s="81" t="n">
        <x:f>IF(X385&lt;&gt;"",Z385-X385,"")</x:f>
        <x:v>-2.5</x:v>
      </x:c>
      <x:c r="AB385" s="80" t="str">
        <x:f>IF(AA385="","",IF(AA385&gt;=5,"안정",IF(AA385&gt;=1,"적정",IF(AA385&gt;=-2,"소신","상향"))))</x:f>
        <x:v>상향</x:v>
      </x:c>
      <x:c r="AC385" s="82" t="n">
        <x:v>80</x:v>
      </x:c>
      <x:c r="AD385" s="82" t="n">
        <x:v>20</x:v>
      </x:c>
      <x:c r="AE385" s="82" t="n">
        <x:v>0</x:v>
      </x:c>
      <x:c r="AF385" s="80" t="str">
        <x:v>B: 공식 과목별 70% 백분위 → 단순평균 파생</x:v>
      </x:c>
      <x:c r="AG385" s="80" t="str">
        <x:v>https://www.adiga.kr/ucp/uvt/uni/univDetailSelection.do?menuId=PCUVTINF2000&amp;searchSyr=2026&amp;unvCd=0000078</x:v>
      </x:c>
    </x:row>
    <x:row r="386">
      <x:c r="A386" s="80" t="n">
        <x:v>2025</x:v>
      </x:c>
      <x:c r="B386" s="80" t="str">
        <x:v>서울특별시</x:v>
      </x:c>
      <x:c r="C386" s="80" t="str">
        <x:v>사립</x:v>
      </x:c>
      <x:c r="D386" s="80" t="str">
        <x:v>국민대학교</x:v>
      </x:c>
      <x:c r="E386" s="80" t="str">
        <x:v>나</x:v>
      </x:c>
      <x:c r="F386" s="80" t="str">
        <x:v>일반전형</x:v>
      </x:c>
      <x:c r="G386" s="80" t="str">
        <x:v>러시아유라시아학과</x:v>
      </x:c>
      <x:c r="H386" s="80" t="n">
        <x:v>4</x:v>
      </x:c>
      <x:c r="I386" s="80" t="n">
        <x:v>1</x:v>
      </x:c>
      <x:c r="J386" s="80" t="n">
        <x:v>5</x:v>
      </x:c>
      <x:c r="K386" s="81" t="n">
        <x:v>13.2</x:v>
      </x:c>
      <x:c r="L386" s="81" t="n">
        <x:v>8</x:v>
      </x:c>
      <x:c r="M386" s="81" t="n">
        <x:v>681</x:v>
      </x:c>
      <x:c r="N386" s="81" t="n">
        <x:v>680.5</x:v>
      </x:c>
      <x:c r="O386" s="81" t="n">
        <x:v>1000</x:v>
      </x:c>
      <x:c r="P386" s="81" t="n">
        <x:v>85</x:v>
      </x:c>
      <x:c r="Q386" s="81" t="n">
        <x:v>76</x:v>
      </x:c>
      <x:c r="R386" s="81" t="n">
        <x:v>95</x:v>
      </x:c>
      <x:c r="S386" s="81" t="n">
        <x:v>78</x:v>
      </x:c>
      <x:c r="T386" s="81" t="n">
        <x:v>2</x:v>
      </x:c>
      <x:c r="U386" s="81" t="n">
        <x:v>2</x:v>
      </x:c>
      <x:c r="V386" s="80"/>
      <x:c r="W386" s="81" t="n">
        <x:f>IF(COUNTA(P386:S386)=4,AVERAGE(P386:S386),"")</x:f>
        <x:v>83.5</x:v>
      </x:c>
      <x:c r="X386" s="81" t="n">
        <x:f>IF(V386&lt;&gt;"",V386,W386)</x:f>
        <x:v>83.5</x:v>
      </x:c>
      <x:c r="Y386" s="80" t="str">
        <x:v>파생 단순평균(참고)</x:v>
      </x:c>
      <x:c r="Z386" s="81" t="n">
        <x:v>80</x:v>
      </x:c>
      <x:c r="AA386" s="81" t="n">
        <x:f>IF(X386&lt;&gt;"",Z386-X386,"")</x:f>
        <x:v>-3.5</x:v>
      </x:c>
      <x:c r="AB386" s="80" t="str">
        <x:f>IF(AA386="","",IF(AA386&gt;=5,"안정",IF(AA386&gt;=1,"적정",IF(AA386&gt;=-2,"소신","상향"))))</x:f>
        <x:v>상향</x:v>
      </x:c>
      <x:c r="AC386" s="82" t="n">
        <x:v>100</x:v>
      </x:c>
      <x:c r="AD386" s="82" t="n">
        <x:v>0</x:v>
      </x:c>
      <x:c r="AE386" s="82" t="n">
        <x:v>0</x:v>
      </x:c>
      <x:c r="AF386" s="80" t="str">
        <x:v>B: 공식 과목별 70% 백분위 → 단순평균 파생</x:v>
      </x:c>
      <x:c r="AG386" s="80" t="str">
        <x:v>https://www.adiga.kr/ucp/uvt/uni/univDetailSelection.do?menuId=PCUVTINF2000&amp;searchSyr=2026&amp;unvCd=0000078</x:v>
      </x:c>
    </x:row>
    <x:row r="387">
      <x:c r="A387" s="80" t="n">
        <x:v>2025</x:v>
      </x:c>
      <x:c r="B387" s="80" t="str">
        <x:v>서울특별시</x:v>
      </x:c>
      <x:c r="C387" s="80" t="str">
        <x:v>사립</x:v>
      </x:c>
      <x:c r="D387" s="80" t="str">
        <x:v>국민대학교</x:v>
      </x:c>
      <x:c r="E387" s="80" t="str">
        <x:v>나</x:v>
      </x:c>
      <x:c r="F387" s="80" t="str">
        <x:v>일반전형</x:v>
      </x:c>
      <x:c r="G387" s="80" t="str">
        <x:v>일본학과</x:v>
      </x:c>
      <x:c r="H387" s="80" t="n">
        <x:v>3</x:v>
      </x:c>
      <x:c r="I387" s="80" t="n">
        <x:v>1</x:v>
      </x:c>
      <x:c r="J387" s="80" t="n">
        <x:v>4</x:v>
      </x:c>
      <x:c r="K387" s="81" t="n">
        <x:v>10.75</x:v>
      </x:c>
      <x:c r="L387" s="81" t="n">
        <x:v>8</x:v>
      </x:c>
      <x:c r="M387" s="81" t="n">
        <x:v>681.5</x:v>
      </x:c>
      <x:c r="N387" s="81" t="n">
        <x:v>681.5</x:v>
      </x:c>
      <x:c r="O387" s="81" t="n">
        <x:v>1000</x:v>
      </x:c>
      <x:c r="P387" s="81" t="n">
        <x:v>80</x:v>
      </x:c>
      <x:c r="Q387" s="81" t="n">
        <x:v>83</x:v>
      </x:c>
      <x:c r="R387" s="81" t="n">
        <x:v>90</x:v>
      </x:c>
      <x:c r="S387" s="81" t="n">
        <x:v>78</x:v>
      </x:c>
      <x:c r="T387" s="81" t="n">
        <x:v>1</x:v>
      </x:c>
      <x:c r="U387" s="81" t="n">
        <x:v>2</x:v>
      </x:c>
      <x:c r="V387" s="80"/>
      <x:c r="W387" s="81" t="n">
        <x:f>IF(COUNTA(P387:S387)=4,AVERAGE(P387:S387),"")</x:f>
        <x:v>82.75</x:v>
      </x:c>
      <x:c r="X387" s="81" t="n">
        <x:f>IF(V387&lt;&gt;"",V387,W387)</x:f>
        <x:v>82.75</x:v>
      </x:c>
      <x:c r="Y387" s="80" t="str">
        <x:v>파생 단순평균(참고)</x:v>
      </x:c>
      <x:c r="Z387" s="81" t="n">
        <x:v>80</x:v>
      </x:c>
      <x:c r="AA387" s="81" t="n">
        <x:f>IF(X387&lt;&gt;"",Z387-X387,"")</x:f>
        <x:v>-2.75</x:v>
      </x:c>
      <x:c r="AB387" s="80" t="str">
        <x:f>IF(AA387="","",IF(AA387&gt;=5,"안정",IF(AA387&gt;=1,"적정",IF(AA387&gt;=-2,"소신","상향"))))</x:f>
        <x:v>상향</x:v>
      </x:c>
      <x:c r="AC387" s="82" t="n">
        <x:v>100</x:v>
      </x:c>
      <x:c r="AD387" s="82" t="n">
        <x:v>0</x:v>
      </x:c>
      <x:c r="AE387" s="82" t="n">
        <x:v>0</x:v>
      </x:c>
      <x:c r="AF387" s="80" t="str">
        <x:v>B: 공식 과목별 70% 백분위 → 단순평균 파생</x:v>
      </x:c>
      <x:c r="AG387" s="80" t="str">
        <x:v>https://www.adiga.kr/ucp/uvt/uni/univDetailSelection.do?menuId=PCUVTINF2000&amp;searchSyr=2026&amp;unvCd=0000078</x:v>
      </x:c>
    </x:row>
    <x:row r="388">
      <x:c r="A388" s="80" t="n">
        <x:v>2025</x:v>
      </x:c>
      <x:c r="B388" s="80" t="str">
        <x:v>서울특별시</x:v>
      </x:c>
      <x:c r="C388" s="80" t="str">
        <x:v>사립</x:v>
      </x:c>
      <x:c r="D388" s="80" t="str">
        <x:v>국민대학교</x:v>
      </x:c>
      <x:c r="E388" s="80" t="str">
        <x:v>나</x:v>
      </x:c>
      <x:c r="F388" s="80" t="str">
        <x:v>일반전형</x:v>
      </x:c>
      <x:c r="G388" s="80" t="str">
        <x:v>경제학과</x:v>
      </x:c>
      <x:c r="H388" s="80" t="n">
        <x:v>6</x:v>
      </x:c>
      <x:c r="I388" s="80" t="n">
        <x:v>2</x:v>
      </x:c>
      <x:c r="J388" s="80" t="n">
        <x:v>8</x:v>
      </x:c>
      <x:c r="K388" s="81" t="n">
        <x:v>5.12</x:v>
      </x:c>
      <x:c r="L388" s="81" t="n">
        <x:v>13</x:v>
      </x:c>
      <x:c r="M388" s="81" t="n">
        <x:v>687.5</x:v>
      </x:c>
      <x:c r="N388" s="81" t="n">
        <x:v>687</x:v>
      </x:c>
      <x:c r="O388" s="81" t="n">
        <x:v>1000</x:v>
      </x:c>
      <x:c r="P388" s="81" t="n">
        <x:v>82</x:v>
      </x:c>
      <x:c r="Q388" s="81" t="n">
        <x:v>78</x:v>
      </x:c>
      <x:c r="R388" s="81" t="n">
        <x:v>97</x:v>
      </x:c>
      <x:c r="S388" s="81" t="n">
        <x:v>95</x:v>
      </x:c>
      <x:c r="T388" s="81" t="n">
        <x:v>2</x:v>
      </x:c>
      <x:c r="U388" s="81" t="n">
        <x:v>2</x:v>
      </x:c>
      <x:c r="V388" s="80"/>
      <x:c r="W388" s="81" t="n">
        <x:f>IF(COUNTA(P388:S388)=4,AVERAGE(P388:S388),"")</x:f>
        <x:v>88</x:v>
      </x:c>
      <x:c r="X388" s="81" t="n">
        <x:f>IF(V388&lt;&gt;"",V388,W388)</x:f>
        <x:v>88</x:v>
      </x:c>
      <x:c r="Y388" s="80" t="str">
        <x:v>파생 단순평균(참고)</x:v>
      </x:c>
      <x:c r="Z388" s="81" t="n">
        <x:v>80</x:v>
      </x:c>
      <x:c r="AA388" s="81" t="n">
        <x:f>IF(X388&lt;&gt;"",Z388-X388,"")</x:f>
        <x:v>-8</x:v>
      </x:c>
      <x:c r="AB388" s="80" t="str">
        <x:f>IF(AA388="","",IF(AA388&gt;=5,"안정",IF(AA388&gt;=1,"적정",IF(AA388&gt;=-2,"소신","상향"))))</x:f>
        <x:v>상향</x:v>
      </x:c>
      <x:c r="AC388" s="82" t="n">
        <x:v>62</x:v>
      </x:c>
      <x:c r="AD388" s="82" t="n">
        <x:v>38</x:v>
      </x:c>
      <x:c r="AE388" s="82" t="n">
        <x:v>0</x:v>
      </x:c>
      <x:c r="AF388" s="80" t="str">
        <x:v>B: 공식 과목별 70% 백분위 → 단순평균 파생</x:v>
      </x:c>
      <x:c r="AG388" s="80" t="str">
        <x:v>https://www.adiga.kr/ucp/uvt/uni/univDetailSelection.do?menuId=PCUVTINF2000&amp;searchSyr=2026&amp;unvCd=0000078</x:v>
      </x:c>
    </x:row>
    <x:row r="389">
      <x:c r="A389" s="80" t="n">
        <x:v>2025</x:v>
      </x:c>
      <x:c r="B389" s="80" t="str">
        <x:v>서울특별시</x:v>
      </x:c>
      <x:c r="C389" s="80" t="str">
        <x:v>사립</x:v>
      </x:c>
      <x:c r="D389" s="80" t="str">
        <x:v>국민대학교</x:v>
      </x:c>
      <x:c r="E389" s="80" t="str">
        <x:v>나</x:v>
      </x:c>
      <x:c r="F389" s="80" t="str">
        <x:v>일반전형</x:v>
      </x:c>
      <x:c r="G389" s="80" t="str">
        <x:v>국제통상학과</x:v>
      </x:c>
      <x:c r="H389" s="80" t="n">
        <x:v>10</x:v>
      </x:c>
      <x:c r="I389" s="80" t="n">
        <x:v>2</x:v>
      </x:c>
      <x:c r="J389" s="80" t="n">
        <x:v>12</x:v>
      </x:c>
      <x:c r="K389" s="81" t="n">
        <x:v>6.25</x:v>
      </x:c>
      <x:c r="L389" s="81" t="n">
        <x:v>22</x:v>
      </x:c>
      <x:c r="M389" s="81" t="n">
        <x:v>683</x:v>
      </x:c>
      <x:c r="N389" s="81" t="n">
        <x:v>682.5</x:v>
      </x:c>
      <x:c r="O389" s="81" t="n">
        <x:v>1000</x:v>
      </x:c>
      <x:c r="P389" s="81" t="n">
        <x:v>83</x:v>
      </x:c>
      <x:c r="Q389" s="81" t="n">
        <x:v>78</x:v>
      </x:c>
      <x:c r="R389" s="81" t="n">
        <x:v>88</x:v>
      </x:c>
      <x:c r="S389" s="81" t="n">
        <x:v>95</x:v>
      </x:c>
      <x:c r="T389" s="81" t="n">
        <x:v>2</x:v>
      </x:c>
      <x:c r="U389" s="81" t="n">
        <x:v>3</x:v>
      </x:c>
      <x:c r="V389" s="80"/>
      <x:c r="W389" s="81" t="n">
        <x:f>IF(COUNTA(P389:S389)=4,AVERAGE(P389:S389),"")</x:f>
        <x:v>86</x:v>
      </x:c>
      <x:c r="X389" s="81" t="n">
        <x:f>IF(V389&lt;&gt;"",V389,W389)</x:f>
        <x:v>86</x:v>
      </x:c>
      <x:c r="Y389" s="80" t="str">
        <x:v>파생 단순평균(참고)</x:v>
      </x:c>
      <x:c r="Z389" s="81" t="n">
        <x:v>80</x:v>
      </x:c>
      <x:c r="AA389" s="81" t="n">
        <x:f>IF(X389&lt;&gt;"",Z389-X389,"")</x:f>
        <x:v>-6</x:v>
      </x:c>
      <x:c r="AB389" s="80" t="str">
        <x:f>IF(AA389="","",IF(AA389&gt;=5,"안정",IF(AA389&gt;=1,"적정",IF(AA389&gt;=-2,"소신","상향"))))</x:f>
        <x:v>상향</x:v>
      </x:c>
      <x:c r="AC389" s="82" t="n">
        <x:v>83</x:v>
      </x:c>
      <x:c r="AD389" s="82" t="n">
        <x:v>17</x:v>
      </x:c>
      <x:c r="AE389" s="82" t="n">
        <x:v>0</x:v>
      </x:c>
      <x:c r="AF389" s="80" t="str">
        <x:v>B: 공식 과목별 70% 백분위 → 단순평균 파생</x:v>
      </x:c>
      <x:c r="AG389" s="80" t="str">
        <x:v>https://www.adiga.kr/ucp/uvt/uni/univDetailSelection.do?menuId=PCUVTINF2000&amp;searchSyr=2026&amp;unvCd=0000078</x:v>
      </x:c>
    </x:row>
    <x:row r="390">
      <x:c r="A390" s="80" t="n">
        <x:v>2025</x:v>
      </x:c>
      <x:c r="B390" s="80" t="str">
        <x:v>서울특별시</x:v>
      </x:c>
      <x:c r="C390" s="80" t="str">
        <x:v>사립</x:v>
      </x:c>
      <x:c r="D390" s="80" t="str">
        <x:v>국민대학교</x:v>
      </x:c>
      <x:c r="E390" s="80" t="str">
        <x:v>나</x:v>
      </x:c>
      <x:c r="F390" s="80" t="str">
        <x:v>일반전형</x:v>
      </x:c>
      <x:c r="G390" s="80" t="str">
        <x:v>전자화학재료전공</x:v>
      </x:c>
      <x:c r="H390" s="80" t="n">
        <x:v>5</x:v>
      </x:c>
      <x:c r="I390" s="80" t="n">
        <x:v>2</x:v>
      </x:c>
      <x:c r="J390" s="80" t="n">
        <x:v>7</x:v>
      </x:c>
      <x:c r="K390" s="81" t="n">
        <x:v>5.71</x:v>
      </x:c>
      <x:c r="L390" s="81" t="n">
        <x:v>6</x:v>
      </x:c>
      <x:c r="M390" s="81" t="n">
        <x:v>697.53</x:v>
      </x:c>
      <x:c r="N390" s="81" t="n">
        <x:v>694.98</x:v>
      </x:c>
      <x:c r="O390" s="81" t="n">
        <x:v>1000</x:v>
      </x:c>
      <x:c r="P390" s="81" t="n">
        <x:v>93</x:v>
      </x:c>
      <x:c r="Q390" s="81" t="n">
        <x:v>92</x:v>
      </x:c>
      <x:c r="R390" s="81" t="n">
        <x:v>77</x:v>
      </x:c>
      <x:c r="S390" s="81" t="n">
        <x:v>80</x:v>
      </x:c>
      <x:c r="T390" s="81" t="n">
        <x:v>3</x:v>
      </x:c>
      <x:c r="U390" s="81" t="n">
        <x:v>3</x:v>
      </x:c>
      <x:c r="V390" s="80"/>
      <x:c r="W390" s="81" t="n">
        <x:f>IF(COUNTA(P390:S390)=4,AVERAGE(P390:S390),"")</x:f>
        <x:v>85.5</x:v>
      </x:c>
      <x:c r="X390" s="81" t="n">
        <x:f>IF(V390&lt;&gt;"",V390,W390)</x:f>
        <x:v>85.5</x:v>
      </x:c>
      <x:c r="Y390" s="80" t="str">
        <x:v>파생 단순평균(참고)</x:v>
      </x:c>
      <x:c r="Z390" s="81" t="n">
        <x:v>80</x:v>
      </x:c>
      <x:c r="AA390" s="81" t="n">
        <x:f>IF(X390&lt;&gt;"",Z390-X390,"")</x:f>
        <x:v>-5.5</x:v>
      </x:c>
      <x:c r="AB390" s="80" t="str">
        <x:f>IF(AA390="","",IF(AA390&gt;=5,"안정",IF(AA390&gt;=1,"적정",IF(AA390&gt;=-2,"소신","상향"))))</x:f>
        <x:v>상향</x:v>
      </x:c>
      <x:c r="AC390" s="82" t="n">
        <x:v>0</x:v>
      </x:c>
      <x:c r="AD390" s="82" t="n">
        <x:v>86</x:v>
      </x:c>
      <x:c r="AE390" s="82" t="n">
        <x:v>14</x:v>
      </x:c>
      <x:c r="AF390" s="80" t="str">
        <x:v>B: 공식 과목별 70% 백분위 → 단순평균 파생</x:v>
      </x:c>
      <x:c r="AG390" s="80" t="str">
        <x:v>https://www.adiga.kr/ucp/uvt/uni/univDetailSelection.do?menuId=PCUVTINF2000&amp;searchSyr=2026&amp;unvCd=0000078</x:v>
      </x:c>
    </x:row>
    <x:row r="391">
      <x:c r="A391" s="80" t="n">
        <x:v>2025</x:v>
      </x:c>
      <x:c r="B391" s="80" t="str">
        <x:v>서울특별시</x:v>
      </x:c>
      <x:c r="C391" s="80" t="str">
        <x:v>사립</x:v>
      </x:c>
      <x:c r="D391" s="80" t="str">
        <x:v>국민대학교</x:v>
      </x:c>
      <x:c r="E391" s="80" t="str">
        <x:v>나</x:v>
      </x:c>
      <x:c r="F391" s="80" t="str">
        <x:v>일반전형</x:v>
      </x:c>
      <x:c r="G391" s="80" t="str">
        <x:v>기계공학부</x:v>
      </x:c>
      <x:c r="H391" s="80" t="n">
        <x:v>10</x:v>
      </x:c>
      <x:c r="I391" s="80" t="n">
        <x:v>5</x:v>
      </x:c>
      <x:c r="J391" s="80" t="n">
        <x:v>15</x:v>
      </x:c>
      <x:c r="K391" s="81" t="n">
        <x:v>5.27</x:v>
      </x:c>
      <x:c r="L391" s="81" t="n">
        <x:v>21</x:v>
      </x:c>
      <x:c r="M391" s="81" t="n">
        <x:v>685.5</x:v>
      </x:c>
      <x:c r="N391" s="81" t="n">
        <x:v>673.44</x:v>
      </x:c>
      <x:c r="O391" s="81" t="n">
        <x:v>1000</x:v>
      </x:c>
      <x:c r="P391" s="81" t="n">
        <x:v>61</x:v>
      </x:c>
      <x:c r="Q391" s="81" t="n">
        <x:v>83</x:v>
      </x:c>
      <x:c r="R391" s="81" t="n">
        <x:v>88</x:v>
      </x:c>
      <x:c r="S391" s="81" t="n">
        <x:v>83</x:v>
      </x:c>
      <x:c r="T391" s="81" t="n">
        <x:v>3</x:v>
      </x:c>
      <x:c r="U391" s="81" t="n">
        <x:v>2</x:v>
      </x:c>
      <x:c r="V391" s="80"/>
      <x:c r="W391" s="81" t="n">
        <x:f>IF(COUNTA(P391:S391)=4,AVERAGE(P391:S391),"")</x:f>
        <x:v>78.75</x:v>
      </x:c>
      <x:c r="X391" s="81" t="n">
        <x:f>IF(V391&lt;&gt;"",V391,W391)</x:f>
        <x:v>78.75</x:v>
      </x:c>
      <x:c r="Y391" s="80" t="str">
        <x:v>파생 단순평균(참고)</x:v>
      </x:c>
      <x:c r="Z391" s="81" t="n">
        <x:v>80</x:v>
      </x:c>
      <x:c r="AA391" s="81" t="n">
        <x:f>IF(X391&lt;&gt;"",Z391-X391,"")</x:f>
        <x:v>1.25</x:v>
      </x:c>
      <x:c r="AB391" s="80" t="str">
        <x:f>IF(AA391="","",IF(AA391&gt;=5,"안정",IF(AA391&gt;=1,"적정",IF(AA391&gt;=-2,"소신","상향"))))</x:f>
        <x:v>적정</x:v>
      </x:c>
      <x:c r="AC391" s="82" t="n">
        <x:v>7</x:v>
      </x:c>
      <x:c r="AD391" s="82" t="n">
        <x:v>93</x:v>
      </x:c>
      <x:c r="AE391" s="82" t="n">
        <x:v>0</x:v>
      </x:c>
      <x:c r="AF391" s="80" t="str">
        <x:v>B: 공식 과목별 70% 백분위 → 단순평균 파생</x:v>
      </x:c>
      <x:c r="AG391" s="80" t="str">
        <x:v>https://www.adiga.kr/ucp/uvt/uni/univDetailSelection.do?menuId=PCUVTINF2000&amp;searchSyr=2026&amp;unvCd=0000078</x:v>
      </x:c>
    </x:row>
    <x:row r="392">
      <x:c r="A392" s="80" t="n">
        <x:v>2025</x:v>
      </x:c>
      <x:c r="B392" s="80" t="str">
        <x:v>서울특별시</x:v>
      </x:c>
      <x:c r="C392" s="80" t="str">
        <x:v>사립</x:v>
      </x:c>
      <x:c r="D392" s="80" t="str">
        <x:v>국민대학교</x:v>
      </x:c>
      <x:c r="E392" s="80" t="str">
        <x:v>나</x:v>
      </x:c>
      <x:c r="F392" s="80" t="str">
        <x:v>일반전형</x:v>
      </x:c>
      <x:c r="G392" s="80" t="str">
        <x:v>지능형반도체융합전자전공</x:v>
      </x:c>
      <x:c r="H392" s="80" t="n">
        <x:v>13</x:v>
      </x:c>
      <x:c r="I392" s="80" t="n">
        <x:v>5</x:v>
      </x:c>
      <x:c r="J392" s="80" t="n">
        <x:v>18</x:v>
      </x:c>
      <x:c r="K392" s="81" t="n">
        <x:v>5.17</x:v>
      </x:c>
      <x:c r="L392" s="81" t="n">
        <x:v>20</x:v>
      </x:c>
      <x:c r="M392" s="81" t="n">
        <x:v>693.07</x:v>
      </x:c>
      <x:c r="N392" s="81" t="n">
        <x:v>689.06</x:v>
      </x:c>
      <x:c r="O392" s="81" t="n">
        <x:v>1000</x:v>
      </x:c>
      <x:c r="P392" s="81" t="n">
        <x:v>85</x:v>
      </x:c>
      <x:c r="Q392" s="81" t="n">
        <x:v>87</x:v>
      </x:c>
      <x:c r="R392" s="81" t="n">
        <x:v>98</x:v>
      </x:c>
      <x:c r="S392" s="81" t="n">
        <x:v>71</x:v>
      </x:c>
      <x:c r="T392" s="81" t="n">
        <x:v>3</x:v>
      </x:c>
      <x:c r="U392" s="81" t="n">
        <x:v>4</x:v>
      </x:c>
      <x:c r="V392" s="80"/>
      <x:c r="W392" s="81" t="n">
        <x:f>IF(COUNTA(P392:S392)=4,AVERAGE(P392:S392),"")</x:f>
        <x:v>85.25</x:v>
      </x:c>
      <x:c r="X392" s="81" t="n">
        <x:f>IF(V392&lt;&gt;"",V392,W392)</x:f>
        <x:v>85.25</x:v>
      </x:c>
      <x:c r="Y392" s="80" t="str">
        <x:v>파생 단순평균(참고)</x:v>
      </x:c>
      <x:c r="Z392" s="81" t="n">
        <x:v>80</x:v>
      </x:c>
      <x:c r="AA392" s="81" t="n">
        <x:f>IF(X392&lt;&gt;"",Z392-X392,"")</x:f>
        <x:v>-5.25</x:v>
      </x:c>
      <x:c r="AB392" s="80" t="str">
        <x:f>IF(AA392="","",IF(AA392&gt;=5,"안정",IF(AA392&gt;=1,"적정",IF(AA392&gt;=-2,"소신","상향"))))</x:f>
        <x:v>상향</x:v>
      </x:c>
      <x:c r="AC392" s="82" t="n">
        <x:v>6</x:v>
      </x:c>
      <x:c r="AD392" s="82" t="n">
        <x:v>94</x:v>
      </x:c>
      <x:c r="AE392" s="82" t="n">
        <x:v>0</x:v>
      </x:c>
      <x:c r="AF392" s="80" t="str">
        <x:v>B: 공식 과목별 70% 백분위 → 단순평균 파생</x:v>
      </x:c>
      <x:c r="AG392" s="80" t="str">
        <x:v>https://www.adiga.kr/ucp/uvt/uni/univDetailSelection.do?menuId=PCUVTINF2000&amp;searchSyr=2026&amp;unvCd=0000078</x:v>
      </x:c>
    </x:row>
    <x:row r="393">
      <x:c r="A393" s="80" t="n">
        <x:v>2025</x:v>
      </x:c>
      <x:c r="B393" s="80" t="str">
        <x:v>서울특별시</x:v>
      </x:c>
      <x:c r="C393" s="80" t="str">
        <x:v>사립</x:v>
      </x:c>
      <x:c r="D393" s="80" t="str">
        <x:v>국민대학교</x:v>
      </x:c>
      <x:c r="E393" s="80" t="str">
        <x:v>나</x:v>
      </x:c>
      <x:c r="F393" s="80" t="str">
        <x:v>일반전형</x:v>
      </x:c>
      <x:c r="G393" s="80" t="str">
        <x:v>지능전자공학전공</x:v>
      </x:c>
      <x:c r="H393" s="80" t="n">
        <x:v>7</x:v>
      </x:c>
      <x:c r="I393" s="80" t="n">
        <x:v>3</x:v>
      </x:c>
      <x:c r="J393" s="80" t="n">
        <x:v>10</x:v>
      </x:c>
      <x:c r="K393" s="81" t="n">
        <x:v>4.6</x:v>
      </x:c>
      <x:c r="L393" s="81" t="n">
        <x:v>15</x:v>
      </x:c>
      <x:c r="M393" s="81" t="n">
        <x:v>695.98</x:v>
      </x:c>
      <x:c r="N393" s="81" t="n">
        <x:v>694.53</x:v>
      </x:c>
      <x:c r="O393" s="81" t="n">
        <x:v>1000</x:v>
      </x:c>
      <x:c r="P393" s="81" t="n">
        <x:v>82</x:v>
      </x:c>
      <x:c r="Q393" s="81" t="n">
        <x:v>92</x:v>
      </x:c>
      <x:c r="R393" s="81" t="n">
        <x:v>85</x:v>
      </x:c>
      <x:c r="S393" s="81" t="n">
        <x:v>75</x:v>
      </x:c>
      <x:c r="T393" s="81" t="n">
        <x:v>2</x:v>
      </x:c>
      <x:c r="U393" s="81" t="n">
        <x:v>4</x:v>
      </x:c>
      <x:c r="V393" s="80"/>
      <x:c r="W393" s="81" t="n">
        <x:f>IF(COUNTA(P393:S393)=4,AVERAGE(P393:S393),"")</x:f>
        <x:v>83.5</x:v>
      </x:c>
      <x:c r="X393" s="81" t="n">
        <x:f>IF(V393&lt;&gt;"",V393,W393)</x:f>
        <x:v>83.5</x:v>
      </x:c>
      <x:c r="Y393" s="80" t="str">
        <x:v>파생 단순평균(참고)</x:v>
      </x:c>
      <x:c r="Z393" s="81" t="n">
        <x:v>80</x:v>
      </x:c>
      <x:c r="AA393" s="81" t="n">
        <x:f>IF(X393&lt;&gt;"",Z393-X393,"")</x:f>
        <x:v>-3.5</x:v>
      </x:c>
      <x:c r="AB393" s="80" t="str">
        <x:f>IF(AA393="","",IF(AA393&gt;=5,"안정",IF(AA393&gt;=1,"적정",IF(AA393&gt;=-2,"소신","상향"))))</x:f>
        <x:v>상향</x:v>
      </x:c>
      <x:c r="AC393" s="82" t="n">
        <x:v>0</x:v>
      </x:c>
      <x:c r="AD393" s="82" t="n">
        <x:v>89</x:v>
      </x:c>
      <x:c r="AE393" s="82" t="n">
        <x:v>11</x:v>
      </x:c>
      <x:c r="AF393" s="80" t="str">
        <x:v>B: 공식 과목별 70% 백분위 → 단순평균 파생</x:v>
      </x:c>
      <x:c r="AG393" s="80" t="str">
        <x:v>https://www.adiga.kr/ucp/uvt/uni/univDetailSelection.do?menuId=PCUVTINF2000&amp;searchSyr=2026&amp;unvCd=0000078</x:v>
      </x:c>
    </x:row>
    <x:row r="394">
      <x:c r="A394" s="80" t="n">
        <x:v>2025</x:v>
      </x:c>
      <x:c r="B394" s="80" t="str">
        <x:v>서울특별시</x:v>
      </x:c>
      <x:c r="C394" s="80" t="str">
        <x:v>사립</x:v>
      </x:c>
      <x:c r="D394" s="80" t="str">
        <x:v>국민대학교</x:v>
      </x:c>
      <x:c r="E394" s="80" t="str">
        <x:v>나</x:v>
      </x:c>
      <x:c r="F394" s="80" t="str">
        <x:v>일반전형</x:v>
      </x:c>
      <x:c r="G394" s="80" t="str">
        <x:v>소프트웨어학부</x:v>
      </x:c>
      <x:c r="H394" s="80" t="n">
        <x:v>15</x:v>
      </x:c>
      <x:c r="I394" s="80" t="n">
        <x:v>1</x:v>
      </x:c>
      <x:c r="J394" s="80" t="n">
        <x:v>16</x:v>
      </x:c>
      <x:c r="K394" s="81" t="n">
        <x:v>4.19</x:v>
      </x:c>
      <x:c r="L394" s="81" t="n">
        <x:v>22</x:v>
      </x:c>
      <x:c r="M394" s="81" t="n">
        <x:v>697.16</x:v>
      </x:c>
      <x:c r="N394" s="81" t="n">
        <x:v>694.78</x:v>
      </x:c>
      <x:c r="O394" s="81" t="n">
        <x:v>1000</x:v>
      </x:c>
      <x:c r="P394" s="81" t="n">
        <x:v>79</x:v>
      </x:c>
      <x:c r="Q394" s="81" t="n">
        <x:v>92</x:v>
      </x:c>
      <x:c r="R394" s="81" t="n">
        <x:v>88</x:v>
      </x:c>
      <x:c r="S394" s="81" t="n">
        <x:v>71</x:v>
      </x:c>
      <x:c r="T394" s="81" t="n">
        <x:v>1</x:v>
      </x:c>
      <x:c r="U394" s="81" t="n">
        <x:v>5</x:v>
      </x:c>
      <x:c r="V394" s="80"/>
      <x:c r="W394" s="81" t="n">
        <x:f>IF(COUNTA(P394:S394)=4,AVERAGE(P394:S394),"")</x:f>
        <x:v>82.5</x:v>
      </x:c>
      <x:c r="X394" s="81" t="n">
        <x:f>IF(V394&lt;&gt;"",V394,W394)</x:f>
        <x:v>82.5</x:v>
      </x:c>
      <x:c r="Y394" s="80" t="str">
        <x:v>파생 단순평균(참고)</x:v>
      </x:c>
      <x:c r="Z394" s="81" t="n">
        <x:v>80</x:v>
      </x:c>
      <x:c r="AA394" s="81" t="n">
        <x:f>IF(X394&lt;&gt;"",Z394-X394,"")</x:f>
        <x:v>-2.5</x:v>
      </x:c>
      <x:c r="AB394" s="80" t="str">
        <x:f>IF(AA394="","",IF(AA394&gt;=5,"안정",IF(AA394&gt;=1,"적정",IF(AA394&gt;=-2,"소신","상향"))))</x:f>
        <x:v>상향</x:v>
      </x:c>
      <x:c r="AC394" s="82" t="n">
        <x:v>0</x:v>
      </x:c>
      <x:c r="AD394" s="82" t="n">
        <x:v>87</x:v>
      </x:c>
      <x:c r="AE394" s="82" t="n">
        <x:v>13</x:v>
      </x:c>
      <x:c r="AF394" s="80" t="str">
        <x:v>B: 공식 과목별 70% 백분위 → 단순평균 파생</x:v>
      </x:c>
      <x:c r="AG394" s="80" t="str">
        <x:v>https://www.adiga.kr/ucp/uvt/uni/univDetailSelection.do?menuId=PCUVTINF2000&amp;searchSyr=2026&amp;unvCd=0000078</x:v>
      </x:c>
    </x:row>
    <x:row r="395">
      <x:c r="A395" s="80" t="n">
        <x:v>2025</x:v>
      </x:c>
      <x:c r="B395" s="80" t="str">
        <x:v>서울특별시</x:v>
      </x:c>
      <x:c r="C395" s="80" t="str">
        <x:v>사립</x:v>
      </x:c>
      <x:c r="D395" s="80" t="str">
        <x:v>국민대학교</x:v>
      </x:c>
      <x:c r="E395" s="80" t="str">
        <x:v>나</x:v>
      </x:c>
      <x:c r="F395" s="80" t="str">
        <x:v>일반전형</x:v>
      </x:c>
      <x:c r="G395" s="80" t="str">
        <x:v>미래모빌리티학과</x:v>
      </x:c>
      <x:c r="H395" s="80" t="n">
        <x:v>8</x:v>
      </x:c>
      <x:c r="I395" s="80" t="n">
        <x:v>2</x:v>
      </x:c>
      <x:c r="J395" s="80" t="n">
        <x:v>10</x:v>
      </x:c>
      <x:c r="K395" s="81" t="n">
        <x:v>5.5</x:v>
      </x:c>
      <x:c r="L395" s="81" t="n">
        <x:v>4</x:v>
      </x:c>
      <x:c r="M395" s="81" t="n">
        <x:v>698.62</x:v>
      </x:c>
      <x:c r="N395" s="81" t="n">
        <x:v>697.89</x:v>
      </x:c>
      <x:c r="O395" s="81" t="n">
        <x:v>1000</x:v>
      </x:c>
      <x:c r="P395" s="81" t="n">
        <x:v>67</x:v>
      </x:c>
      <x:c r="Q395" s="81" t="n">
        <x:v>98</x:v>
      </x:c>
      <x:c r="R395" s="81" t="n">
        <x:v>79</x:v>
      </x:c>
      <x:c r="S395" s="81" t="n">
        <x:v>81</x:v>
      </x:c>
      <x:c r="T395" s="81" t="n">
        <x:v>2</x:v>
      </x:c>
      <x:c r="U395" s="81" t="n">
        <x:v>1</x:v>
      </x:c>
      <x:c r="V395" s="80"/>
      <x:c r="W395" s="81" t="n">
        <x:f>IF(COUNTA(P395:S395)=4,AVERAGE(P395:S395),"")</x:f>
        <x:v>81.25</x:v>
      </x:c>
      <x:c r="X395" s="81" t="n">
        <x:f>IF(V395&lt;&gt;"",V395,W395)</x:f>
        <x:v>81.25</x:v>
      </x:c>
      <x:c r="Y395" s="80" t="str">
        <x:v>파생 단순평균(참고)</x:v>
      </x:c>
      <x:c r="Z395" s="81" t="n">
        <x:v>80</x:v>
      </x:c>
      <x:c r="AA395" s="81" t="n">
        <x:f>IF(X395&lt;&gt;"",Z395-X395,"")</x:f>
        <x:v>-1.25</x:v>
      </x:c>
      <x:c r="AB395" s="80" t="str">
        <x:f>IF(AA395="","",IF(AA395&gt;=5,"안정",IF(AA395&gt;=1,"적정",IF(AA395&gt;=-2,"소신","상향"))))</x:f>
        <x:v>소신</x:v>
      </x:c>
      <x:c r="AC395" s="82" t="n">
        <x:v>0</x:v>
      </x:c>
      <x:c r="AD395" s="82" t="n">
        <x:v>100</x:v>
      </x:c>
      <x:c r="AE395" s="82" t="n">
        <x:v>0</x:v>
      </x:c>
      <x:c r="AF395" s="80" t="str">
        <x:v>B: 공식 과목별 70% 백분위 → 단순평균 파생</x:v>
      </x:c>
      <x:c r="AG395" s="80" t="str">
        <x:v>https://www.adiga.kr/ucp/uvt/uni/univDetailSelection.do?menuId=PCUVTINF2000&amp;searchSyr=2026&amp;unvCd=0000078</x:v>
      </x:c>
    </x:row>
    <x:row r="396">
      <x:c r="A396" s="80" t="n">
        <x:v>2025</x:v>
      </x:c>
      <x:c r="B396" s="80" t="str">
        <x:v>서울특별시</x:v>
      </x:c>
      <x:c r="C396" s="80" t="str">
        <x:v>사립</x:v>
      </x:c>
      <x:c r="D396" s="80" t="str">
        <x:v>국민대학교</x:v>
      </x:c>
      <x:c r="E396" s="80" t="str">
        <x:v>나</x:v>
      </x:c>
      <x:c r="F396" s="80" t="str">
        <x:v>일반전형</x:v>
      </x:c>
      <x:c r="G396" s="80" t="str">
        <x:v>미래융합전공(인문)</x:v>
      </x:c>
      <x:c r="H396" s="80" t="n">
        <x:v>166</x:v>
      </x:c>
      <x:c r="I396" s="80" t="n">
        <x:v>0</x:v>
      </x:c>
      <x:c r="J396" s="80" t="n">
        <x:v>166</x:v>
      </x:c>
      <x:c r="K396" s="81" t="n">
        <x:v>4.24</x:v>
      </x:c>
      <x:c r="L396" s="81" t="n">
        <x:v>146</x:v>
      </x:c>
      <x:c r="M396" s="81" t="n">
        <x:v>685.5</x:v>
      </x:c>
      <x:c r="N396" s="81" t="n">
        <x:v>683.5</x:v>
      </x:c>
      <x:c r="O396" s="81" t="n">
        <x:v>1000</x:v>
      </x:c>
      <x:c r="P396" s="81" t="n">
        <x:v>86</x:v>
      </x:c>
      <x:c r="Q396" s="81" t="n">
        <x:v>87</x:v>
      </x:c>
      <x:c r="R396" s="81" t="n">
        <x:v>83</x:v>
      </x:c>
      <x:c r="S396" s="81" t="n">
        <x:v>95</x:v>
      </x:c>
      <x:c r="T396" s="81" t="n">
        <x:v>3</x:v>
      </x:c>
      <x:c r="U396" s="81" t="n">
        <x:v>3</x:v>
      </x:c>
      <x:c r="V396" s="80"/>
      <x:c r="W396" s="81" t="n">
        <x:f>IF(COUNTA(P396:S396)=4,AVERAGE(P396:S396),"")</x:f>
        <x:v>87.75</x:v>
      </x:c>
      <x:c r="X396" s="81" t="n">
        <x:f>IF(V396&lt;&gt;"",V396,W396)</x:f>
        <x:v>87.75</x:v>
      </x:c>
      <x:c r="Y396" s="80" t="str">
        <x:v>파생 단순평균(참고)</x:v>
      </x:c>
      <x:c r="Z396" s="81" t="n">
        <x:v>80</x:v>
      </x:c>
      <x:c r="AA396" s="81" t="n">
        <x:f>IF(X396&lt;&gt;"",Z396-X396,"")</x:f>
        <x:v>-7.75</x:v>
      </x:c>
      <x:c r="AB396" s="80" t="str">
        <x:f>IF(AA396="","",IF(AA396&gt;=5,"안정",IF(AA396&gt;=1,"적정",IF(AA396&gt;=-2,"소신","상향"))))</x:f>
        <x:v>상향</x:v>
      </x:c>
      <x:c r="AC396" s="82" t="n">
        <x:v>34</x:v>
      </x:c>
      <x:c r="AD396" s="82" t="n">
        <x:v>61</x:v>
      </x:c>
      <x:c r="AE396" s="82" t="n">
        <x:v>5</x:v>
      </x:c>
      <x:c r="AF396" s="80" t="str">
        <x:v>B: 공식 과목별 70% 백분위 → 단순평균 파생</x:v>
      </x:c>
      <x:c r="AG396" s="80" t="str">
        <x:v>https://www.adiga.kr/ucp/uvt/uni/univDetailSelection.do?menuId=PCUVTINF2000&amp;searchSyr=2026&amp;unvCd=0000078</x:v>
      </x:c>
    </x:row>
    <x:row r="397">
      <x:c r="A397" s="80" t="n">
        <x:v>2025</x:v>
      </x:c>
      <x:c r="B397" s="80" t="str">
        <x:v>서울특별시</x:v>
      </x:c>
      <x:c r="C397" s="80" t="str">
        <x:v>사립</x:v>
      </x:c>
      <x:c r="D397" s="80" t="str">
        <x:v>국민대학교</x:v>
      </x:c>
      <x:c r="E397" s="80" t="str">
        <x:v>나</x:v>
      </x:c>
      <x:c r="F397" s="80" t="str">
        <x:v>일반전형</x:v>
      </x:c>
      <x:c r="G397" s="80" t="str">
        <x:v>미래융합전공(자연)</x:v>
      </x:c>
      <x:c r="H397" s="80" t="n">
        <x:v>197</x:v>
      </x:c>
      <x:c r="I397" s="80" t="n">
        <x:v>3</x:v>
      </x:c>
      <x:c r="J397" s="80" t="n">
        <x:v>200</x:v>
      </x:c>
      <x:c r="K397" s="81" t="n">
        <x:v>4.39</x:v>
      </x:c>
      <x:c r="L397" s="81" t="n">
        <x:v>124</x:v>
      </x:c>
      <x:c r="M397" s="81" t="n">
        <x:v>692.98</x:v>
      </x:c>
      <x:c r="N397" s="81" t="n">
        <x:v>691.98</x:v>
      </x:c>
      <x:c r="O397" s="81" t="n">
        <x:v>1000</x:v>
      </x:c>
      <x:c r="P397" s="81" t="n">
        <x:v>80</x:v>
      </x:c>
      <x:c r="Q397" s="81" t="n">
        <x:v>92</x:v>
      </x:c>
      <x:c r="R397" s="81" t="n">
        <x:v>79</x:v>
      </x:c>
      <x:c r="S397" s="81" t="n">
        <x:v>75</x:v>
      </x:c>
      <x:c r="T397" s="81" t="n">
        <x:v>2</x:v>
      </x:c>
      <x:c r="U397" s="81" t="n">
        <x:v>2</x:v>
      </x:c>
      <x:c r="V397" s="80"/>
      <x:c r="W397" s="81" t="n">
        <x:f>IF(COUNTA(P397:S397)=4,AVERAGE(P397:S397),"")</x:f>
        <x:v>81.5</x:v>
      </x:c>
      <x:c r="X397" s="81" t="n">
        <x:f>IF(V397&lt;&gt;"",V397,W397)</x:f>
        <x:v>81.5</x:v>
      </x:c>
      <x:c r="Y397" s="80" t="str">
        <x:v>파생 단순평균(참고)</x:v>
      </x:c>
      <x:c r="Z397" s="81" t="n">
        <x:v>80</x:v>
      </x:c>
      <x:c r="AA397" s="81" t="n">
        <x:f>IF(X397&lt;&gt;"",Z397-X397,"")</x:f>
        <x:v>-1.5</x:v>
      </x:c>
      <x:c r="AB397" s="80" t="str">
        <x:f>IF(AA397="","",IF(AA397&gt;=5,"안정",IF(AA397&gt;=1,"적정",IF(AA397&gt;=-2,"소신","상향"))))</x:f>
        <x:v>소신</x:v>
      </x:c>
      <x:c r="AC397" s="82" t="n">
        <x:v>1</x:v>
      </x:c>
      <x:c r="AD397" s="82" t="n">
        <x:v>95</x:v>
      </x:c>
      <x:c r="AE397" s="82" t="n">
        <x:v>4</x:v>
      </x:c>
      <x:c r="AF397" s="80" t="str">
        <x:v>B: 공식 과목별 70% 백분위 → 단순평균 파생</x:v>
      </x:c>
      <x:c r="AG397" s="80" t="str">
        <x:v>https://www.adiga.kr/ucp/uvt/uni/univDetailSelection.do?menuId=PCUVTINF2000&amp;searchSyr=2026&amp;unvCd=0000078</x:v>
      </x:c>
    </x:row>
    <x:row r="398">
      <x:c r="A398" s="80" t="n">
        <x:v>2025</x:v>
      </x:c>
      <x:c r="B398" s="80" t="str">
        <x:v>서울특별시</x:v>
      </x:c>
      <x:c r="C398" s="80" t="str">
        <x:v>사립</x:v>
      </x:c>
      <x:c r="D398" s="80" t="str">
        <x:v>국민대학교</x:v>
      </x:c>
      <x:c r="E398" s="80" t="str">
        <x:v>다</x:v>
      </x:c>
      <x:c r="F398" s="80" t="str">
        <x:v>일반전형</x:v>
      </x:c>
      <x:c r="G398" s="80" t="str">
        <x:v>국어국문학전공</x:v>
      </x:c>
      <x:c r="H398" s="80" t="n">
        <x:v>5</x:v>
      </x:c>
      <x:c r="I398" s="80" t="n">
        <x:v>0</x:v>
      </x:c>
      <x:c r="J398" s="80" t="n">
        <x:v>5</x:v>
      </x:c>
      <x:c r="K398" s="81" t="n">
        <x:v>13.2</x:v>
      </x:c>
      <x:c r="L398" s="81" t="n">
        <x:v>24</x:v>
      </x:c>
      <x:c r="M398" s="81" t="n">
        <x:v>681.5</x:v>
      </x:c>
      <x:c r="N398" s="81" t="n">
        <x:v>681</x:v>
      </x:c>
      <x:c r="O398" s="81" t="n">
        <x:v>1000</x:v>
      </x:c>
      <x:c r="P398" s="81" t="n">
        <x:v>93</x:v>
      </x:c>
      <x:c r="Q398" s="81" t="n">
        <x:v>78</x:v>
      </x:c>
      <x:c r="R398" s="81" t="n">
        <x:v>87</x:v>
      </x:c>
      <x:c r="S398" s="81" t="n">
        <x:v>64</x:v>
      </x:c>
      <x:c r="T398" s="81" t="n">
        <x:v>2</x:v>
      </x:c>
      <x:c r="U398" s="81" t="n">
        <x:v>1</x:v>
      </x:c>
      <x:c r="V398" s="80"/>
      <x:c r="W398" s="81" t="n">
        <x:f>IF(COUNTA(P398:S398)=4,AVERAGE(P398:S398),"")</x:f>
        <x:v>80.5</x:v>
      </x:c>
      <x:c r="X398" s="81" t="n">
        <x:f>IF(V398&lt;&gt;"",V398,W398)</x:f>
        <x:v>80.5</x:v>
      </x:c>
      <x:c r="Y398" s="80" t="str">
        <x:v>파생 단순평균(참고)</x:v>
      </x:c>
      <x:c r="Z398" s="81" t="n">
        <x:v>80</x:v>
      </x:c>
      <x:c r="AA398" s="81" t="n">
        <x:f>IF(X398&lt;&gt;"",Z398-X398,"")</x:f>
        <x:v>-0.5</x:v>
      </x:c>
      <x:c r="AB398" s="80" t="str">
        <x:f>IF(AA398="","",IF(AA398&gt;=5,"안정",IF(AA398&gt;=1,"적정",IF(AA398&gt;=-2,"소신","상향"))))</x:f>
        <x:v>소신</x:v>
      </x:c>
      <x:c r="AC398" s="82" t="n">
        <x:v>40</x:v>
      </x:c>
      <x:c r="AD398" s="82" t="n">
        <x:v>60</x:v>
      </x:c>
      <x:c r="AE398" s="82" t="n">
        <x:v>0</x:v>
      </x:c>
      <x:c r="AF398" s="80" t="str">
        <x:v>B: 공식 과목별 70% 백분위 → 단순평균 파생</x:v>
      </x:c>
      <x:c r="AG398" s="80" t="str">
        <x:v>https://www.adiga.kr/ucp/uvt/uni/univDetailSelection.do?menuId=PCUVTINF2000&amp;searchSyr=2026&amp;unvCd=0000078</x:v>
      </x:c>
    </x:row>
    <x:row r="399">
      <x:c r="A399" s="80" t="n">
        <x:v>2025</x:v>
      </x:c>
      <x:c r="B399" s="80" t="str">
        <x:v>서울특별시</x:v>
      </x:c>
      <x:c r="C399" s="80" t="str">
        <x:v>사립</x:v>
      </x:c>
      <x:c r="D399" s="80" t="str">
        <x:v>국민대학교</x:v>
      </x:c>
      <x:c r="E399" s="80" t="str">
        <x:v>다</x:v>
      </x:c>
      <x:c r="F399" s="80" t="str">
        <x:v>일반전형</x:v>
      </x:c>
      <x:c r="G399" s="80" t="str">
        <x:v>영어영문학부</x:v>
      </x:c>
      <x:c r="H399" s="80" t="n">
        <x:v>4</x:v>
      </x:c>
      <x:c r="I399" s="80" t="n">
        <x:v>0</x:v>
      </x:c>
      <x:c r="J399" s="80" t="n">
        <x:v>4</x:v>
      </x:c>
      <x:c r="K399" s="81" t="n">
        <x:v>21.25</x:v>
      </x:c>
      <x:c r="L399" s="81" t="n">
        <x:v>11</x:v>
      </x:c>
      <x:c r="M399" s="81" t="n">
        <x:v>683</x:v>
      </x:c>
      <x:c r="N399" s="81" t="n">
        <x:v>683</x:v>
      </x:c>
      <x:c r="O399" s="81" t="n">
        <x:v>1000</x:v>
      </x:c>
      <x:c r="P399" s="81" t="n">
        <x:v>88</x:v>
      </x:c>
      <x:c r="Q399" s="81" t="n">
        <x:v>74</x:v>
      </x:c>
      <x:c r="R399" s="81" t="n">
        <x:v>87</x:v>
      </x:c>
      <x:c r="S399" s="81" t="n">
        <x:v>78</x:v>
      </x:c>
      <x:c r="T399" s="81" t="n">
        <x:v>1</x:v>
      </x:c>
      <x:c r="U399" s="81" t="n">
        <x:v>1</x:v>
      </x:c>
      <x:c r="V399" s="80"/>
      <x:c r="W399" s="81" t="n">
        <x:f>IF(COUNTA(P399:S399)=4,AVERAGE(P399:S399),"")</x:f>
        <x:v>81.75</x:v>
      </x:c>
      <x:c r="X399" s="81" t="n">
        <x:f>IF(V399&lt;&gt;"",V399,W399)</x:f>
        <x:v>81.75</x:v>
      </x:c>
      <x:c r="Y399" s="80" t="str">
        <x:v>파생 단순평균(참고)</x:v>
      </x:c>
      <x:c r="Z399" s="81" t="n">
        <x:v>80</x:v>
      </x:c>
      <x:c r="AA399" s="81" t="n">
        <x:f>IF(X399&lt;&gt;"",Z399-X399,"")</x:f>
        <x:v>-1.75</x:v>
      </x:c>
      <x:c r="AB399" s="80" t="str">
        <x:f>IF(AA399="","",IF(AA399&gt;=5,"안정",IF(AA399&gt;=1,"적정",IF(AA399&gt;=-2,"소신","상향"))))</x:f>
        <x:v>소신</x:v>
      </x:c>
      <x:c r="AC399" s="82" t="n">
        <x:v>0</x:v>
      </x:c>
      <x:c r="AD399" s="82" t="n">
        <x:v>50</x:v>
      </x:c>
      <x:c r="AE399" s="82" t="n">
        <x:v>50</x:v>
      </x:c>
      <x:c r="AF399" s="80" t="str">
        <x:v>B: 공식 과목별 70% 백분위 → 단순평균 파생</x:v>
      </x:c>
      <x:c r="AG399" s="80" t="str">
        <x:v>https://www.adiga.kr/ucp/uvt/uni/univDetailSelection.do?menuId=PCUVTINF2000&amp;searchSyr=2026&amp;unvCd=0000078</x:v>
      </x:c>
    </x:row>
    <x:row r="400">
      <x:c r="A400" s="80" t="n">
        <x:v>2025</x:v>
      </x:c>
      <x:c r="B400" s="80" t="str">
        <x:v>서울특별시</x:v>
      </x:c>
      <x:c r="C400" s="80" t="str">
        <x:v>사립</x:v>
      </x:c>
      <x:c r="D400" s="80" t="str">
        <x:v>국민대학교</x:v>
      </x:c>
      <x:c r="E400" s="80" t="str">
        <x:v>다</x:v>
      </x:c>
      <x:c r="F400" s="80" t="str">
        <x:v>일반전형</x:v>
      </x:c>
      <x:c r="G400" s="80" t="str">
        <x:v>중국어문전공</x:v>
      </x:c>
      <x:c r="H400" s="80" t="n">
        <x:v>5</x:v>
      </x:c>
      <x:c r="I400" s="80" t="n">
        <x:v>0</x:v>
      </x:c>
      <x:c r="J400" s="80" t="n">
        <x:v>5</x:v>
      </x:c>
      <x:c r="K400" s="81" t="n">
        <x:v>15.4</x:v>
      </x:c>
      <x:c r="L400" s="81" t="n">
        <x:v>4</x:v>
      </x:c>
      <x:c r="M400" s="81" t="n">
        <x:v>682.5</x:v>
      </x:c>
      <x:c r="N400" s="81" t="n">
        <x:v>682.5</x:v>
      </x:c>
      <x:c r="O400" s="81" t="n">
        <x:v>1000</x:v>
      </x:c>
      <x:c r="P400" s="81" t="n">
        <x:v>89</x:v>
      </x:c>
      <x:c r="Q400" s="81" t="n">
        <x:v>87</x:v>
      </x:c>
      <x:c r="R400" s="81" t="n">
        <x:v>81</x:v>
      </x:c>
      <x:c r="S400" s="81" t="n">
        <x:v>71</x:v>
      </x:c>
      <x:c r="T400" s="81" t="n">
        <x:v>2</x:v>
      </x:c>
      <x:c r="U400" s="81" t="n">
        <x:v>1</x:v>
      </x:c>
      <x:c r="V400" s="80"/>
      <x:c r="W400" s="81" t="n">
        <x:f>IF(COUNTA(P400:S400)=4,AVERAGE(P400:S400),"")</x:f>
        <x:v>82</x:v>
      </x:c>
      <x:c r="X400" s="81" t="n">
        <x:f>IF(V400&lt;&gt;"",V400,W400)</x:f>
        <x:v>82</x:v>
      </x:c>
      <x:c r="Y400" s="80" t="str">
        <x:v>파생 단순평균(참고)</x:v>
      </x:c>
      <x:c r="Z400" s="81" t="n">
        <x:v>80</x:v>
      </x:c>
      <x:c r="AA400" s="81" t="n">
        <x:f>IF(X400&lt;&gt;"",Z400-X400,"")</x:f>
        <x:v>-2</x:v>
      </x:c>
      <x:c r="AB400" s="80" t="str">
        <x:f>IF(AA400="","",IF(AA400&gt;=5,"안정",IF(AA400&gt;=1,"적정",IF(AA400&gt;=-2,"소신","상향"))))</x:f>
        <x:v>소신</x:v>
      </x:c>
      <x:c r="AC400" s="82" t="n">
        <x:v>80</x:v>
      </x:c>
      <x:c r="AD400" s="82" t="n">
        <x:v>20</x:v>
      </x:c>
      <x:c r="AE400" s="82" t="n">
        <x:v>0</x:v>
      </x:c>
      <x:c r="AF400" s="80" t="str">
        <x:v>B: 공식 과목별 70% 백분위 → 단순평균 파생</x:v>
      </x:c>
      <x:c r="AG400" s="80" t="str">
        <x:v>https://www.adiga.kr/ucp/uvt/uni/univDetailSelection.do?menuId=PCUVTINF2000&amp;searchSyr=2026&amp;unvCd=0000078</x:v>
      </x:c>
    </x:row>
    <x:row r="401">
      <x:c r="A401" s="80" t="n">
        <x:v>2025</x:v>
      </x:c>
      <x:c r="B401" s="80" t="str">
        <x:v>서울특별시</x:v>
      </x:c>
      <x:c r="C401" s="80" t="str">
        <x:v>사립</x:v>
      </x:c>
      <x:c r="D401" s="80" t="str">
        <x:v>국민대학교</x:v>
      </x:c>
      <x:c r="E401" s="80" t="str">
        <x:v>다</x:v>
      </x:c>
      <x:c r="F401" s="80" t="str">
        <x:v>일반전형</x:v>
      </x:c>
      <x:c r="G401" s="80" t="str">
        <x:v>중국정경전공</x:v>
      </x:c>
      <x:c r="H401" s="80" t="n">
        <x:v>4</x:v>
      </x:c>
      <x:c r="I401" s="80" t="n">
        <x:v>0</x:v>
      </x:c>
      <x:c r="J401" s="80" t="n">
        <x:v>4</x:v>
      </x:c>
      <x:c r="K401" s="81" t="n">
        <x:v>11.25</x:v>
      </x:c>
      <x:c r="L401" s="81" t="n">
        <x:v>8</x:v>
      </x:c>
      <x:c r="M401" s="81" t="n">
        <x:v>680.5</x:v>
      </x:c>
      <x:c r="N401" s="81" t="n">
        <x:v>680.5</x:v>
      </x:c>
      <x:c r="O401" s="81" t="n">
        <x:v>1000</x:v>
      </x:c>
      <x:c r="P401" s="81" t="n">
        <x:v>97</x:v>
      </x:c>
      <x:c r="Q401" s="81" t="n">
        <x:v>81</x:v>
      </x:c>
      <x:c r="R401" s="81" t="n">
        <x:v>50</x:v>
      </x:c>
      <x:c r="S401" s="81" t="n">
        <x:v>55</x:v>
      </x:c>
      <x:c r="T401" s="81" t="n">
        <x:v>1</x:v>
      </x:c>
      <x:c r="U401" s="81" t="n">
        <x:v>3</x:v>
      </x:c>
      <x:c r="V401" s="80"/>
      <x:c r="W401" s="81" t="n">
        <x:f>IF(COUNTA(P401:S401)=4,AVERAGE(P401:S401),"")</x:f>
        <x:v>70.75</x:v>
      </x:c>
      <x:c r="X401" s="81" t="n">
        <x:f>IF(V401&lt;&gt;"",V401,W401)</x:f>
        <x:v>70.75</x:v>
      </x:c>
      <x:c r="Y401" s="80" t="str">
        <x:v>파생 단순평균(참고)</x:v>
      </x:c>
      <x:c r="Z401" s="81" t="n">
        <x:v>80</x:v>
      </x:c>
      <x:c r="AA401" s="81" t="n">
        <x:f>IF(X401&lt;&gt;"",Z401-X401,"")</x:f>
        <x:v>9.25</x:v>
      </x:c>
      <x:c r="AB401" s="80" t="str">
        <x:f>IF(AA401="","",IF(AA401&gt;=5,"안정",IF(AA401&gt;=1,"적정",IF(AA401&gt;=-2,"소신","상향"))))</x:f>
        <x:v>안정</x:v>
      </x:c>
      <x:c r="AC401" s="82" t="n">
        <x:v>75</x:v>
      </x:c>
      <x:c r="AD401" s="82" t="n">
        <x:v>25</x:v>
      </x:c>
      <x:c r="AE401" s="82" t="n">
        <x:v>0</x:v>
      </x:c>
      <x:c r="AF401" s="80" t="str">
        <x:v>B: 공식 과목별 70% 백분위 → 단순평균 파생</x:v>
      </x:c>
      <x:c r="AG401" s="80" t="str">
        <x:v>https://www.adiga.kr/ucp/uvt/uni/univDetailSelection.do?menuId=PCUVTINF2000&amp;searchSyr=2026&amp;unvCd=0000078</x:v>
      </x:c>
    </x:row>
    <x:row r="402">
      <x:c r="A402" s="80" t="n">
        <x:v>2025</x:v>
      </x:c>
      <x:c r="B402" s="80" t="str">
        <x:v>서울특별시</x:v>
      </x:c>
      <x:c r="C402" s="80" t="str">
        <x:v>사립</x:v>
      </x:c>
      <x:c r="D402" s="80" t="str">
        <x:v>국민대학교</x:v>
      </x:c>
      <x:c r="E402" s="80" t="str">
        <x:v>다</x:v>
      </x:c>
      <x:c r="F402" s="80" t="str">
        <x:v>일반전형</x:v>
      </x:c>
      <x:c r="G402" s="80" t="str">
        <x:v>한국역사학과</x:v>
      </x:c>
      <x:c r="H402" s="80" t="n">
        <x:v>7</x:v>
      </x:c>
      <x:c r="I402" s="80" t="n">
        <x:v>2</x:v>
      </x:c>
      <x:c r="J402" s="80" t="n">
        <x:v>9</x:v>
      </x:c>
      <x:c r="K402" s="81" t="n">
        <x:v>13.33</x:v>
      </x:c>
      <x:c r="L402" s="81" t="n">
        <x:v>24</x:v>
      </x:c>
      <x:c r="M402" s="81" t="n">
        <x:v>681.5</x:v>
      </x:c>
      <x:c r="N402" s="81" t="n">
        <x:v>680</x:v>
      </x:c>
      <x:c r="O402" s="81" t="n">
        <x:v>1000</x:v>
      </x:c>
      <x:c r="P402" s="81" t="n">
        <x:v>89</x:v>
      </x:c>
      <x:c r="Q402" s="81" t="n">
        <x:v>81</x:v>
      </x:c>
      <x:c r="R402" s="81" t="n">
        <x:v>85</x:v>
      </x:c>
      <x:c r="S402" s="81" t="n">
        <x:v>85</x:v>
      </x:c>
      <x:c r="T402" s="81" t="n">
        <x:v>3</x:v>
      </x:c>
      <x:c r="U402" s="81" t="n">
        <x:v>1</x:v>
      </x:c>
      <x:c r="V402" s="80"/>
      <x:c r="W402" s="81" t="n">
        <x:f>IF(COUNTA(P402:S402)=4,AVERAGE(P402:S402),"")</x:f>
        <x:v>85</x:v>
      </x:c>
      <x:c r="X402" s="81" t="n">
        <x:f>IF(V402&lt;&gt;"",V402,W402)</x:f>
        <x:v>85</x:v>
      </x:c>
      <x:c r="Y402" s="80" t="str">
        <x:v>파생 단순평균(참고)</x:v>
      </x:c>
      <x:c r="Z402" s="81" t="n">
        <x:v>80</x:v>
      </x:c>
      <x:c r="AA402" s="81" t="n">
        <x:f>IF(X402&lt;&gt;"",Z402-X402,"")</x:f>
        <x:v>-5</x:v>
      </x:c>
      <x:c r="AB402" s="80" t="str">
        <x:f>IF(AA402="","",IF(AA402&gt;=5,"안정",IF(AA402&gt;=1,"적정",IF(AA402&gt;=-2,"소신","상향"))))</x:f>
        <x:v>상향</x:v>
      </x:c>
      <x:c r="AC402" s="82" t="n">
        <x:v>44</x:v>
      </x:c>
      <x:c r="AD402" s="82" t="n">
        <x:v>56</x:v>
      </x:c>
      <x:c r="AE402" s="82" t="n">
        <x:v>0</x:v>
      </x:c>
      <x:c r="AF402" s="80" t="str">
        <x:v>B: 공식 과목별 70% 백분위 → 단순평균 파생</x:v>
      </x:c>
      <x:c r="AG402" s="80" t="str">
        <x:v>https://www.adiga.kr/ucp/uvt/uni/univDetailSelection.do?menuId=PCUVTINF2000&amp;searchSyr=2026&amp;unvCd=0000078</x:v>
      </x:c>
    </x:row>
    <x:row r="403">
      <x:c r="A403" s="80" t="n">
        <x:v>2025</x:v>
      </x:c>
      <x:c r="B403" s="80" t="str">
        <x:v>서울특별시</x:v>
      </x:c>
      <x:c r="C403" s="80" t="str">
        <x:v>사립</x:v>
      </x:c>
      <x:c r="D403" s="80" t="str">
        <x:v>국민대학교</x:v>
      </x:c>
      <x:c r="E403" s="80" t="str">
        <x:v>다</x:v>
      </x:c>
      <x:c r="F403" s="80" t="str">
        <x:v>일반전형</x:v>
      </x:c>
      <x:c r="G403" s="80" t="str">
        <x:v>법학부</x:v>
      </x:c>
      <x:c r="H403" s="80" t="n">
        <x:v>18</x:v>
      </x:c>
      <x:c r="I403" s="80" t="n">
        <x:v>2</x:v>
      </x:c>
      <x:c r="J403" s="80" t="n">
        <x:v>20</x:v>
      </x:c>
      <x:c r="K403" s="81" t="n">
        <x:v>11.25</x:v>
      </x:c>
      <x:c r="L403" s="81" t="n">
        <x:v>50</x:v>
      </x:c>
      <x:c r="M403" s="81" t="n">
        <x:v>685</x:v>
      </x:c>
      <x:c r="N403" s="81" t="n">
        <x:v>683.5</x:v>
      </x:c>
      <x:c r="O403" s="81" t="n">
        <x:v>1000</x:v>
      </x:c>
      <x:c r="P403" s="81" t="n">
        <x:v>79</x:v>
      </x:c>
      <x:c r="Q403" s="81" t="n">
        <x:v>89</x:v>
      </x:c>
      <x:c r="R403" s="81" t="n">
        <x:v>75</x:v>
      </x:c>
      <x:c r="S403" s="81" t="n">
        <x:v>98</x:v>
      </x:c>
      <x:c r="T403" s="81" t="n">
        <x:v>2</x:v>
      </x:c>
      <x:c r="U403" s="81" t="n">
        <x:v>1</x:v>
      </x:c>
      <x:c r="V403" s="80"/>
      <x:c r="W403" s="81" t="n">
        <x:f>IF(COUNTA(P403:S403)=4,AVERAGE(P403:S403),"")</x:f>
        <x:v>85.25</x:v>
      </x:c>
      <x:c r="X403" s="81" t="n">
        <x:f>IF(V403&lt;&gt;"",V403,W403)</x:f>
        <x:v>85.25</x:v>
      </x:c>
      <x:c r="Y403" s="80" t="str">
        <x:v>파생 단순평균(참고)</x:v>
      </x:c>
      <x:c r="Z403" s="81" t="n">
        <x:v>80</x:v>
      </x:c>
      <x:c r="AA403" s="81" t="n">
        <x:f>IF(X403&lt;&gt;"",Z403-X403,"")</x:f>
        <x:v>-5.25</x:v>
      </x:c>
      <x:c r="AB403" s="80" t="str">
        <x:f>IF(AA403="","",IF(AA403&gt;=5,"안정",IF(AA403&gt;=1,"적정",IF(AA403&gt;=-2,"소신","상향"))))</x:f>
        <x:v>상향</x:v>
      </x:c>
      <x:c r="AC403" s="82" t="n">
        <x:v>60</x:v>
      </x:c>
      <x:c r="AD403" s="82" t="n">
        <x:v>40</x:v>
      </x:c>
      <x:c r="AE403" s="82" t="n">
        <x:v>0</x:v>
      </x:c>
      <x:c r="AF403" s="80" t="str">
        <x:v>B: 공식 과목별 70% 백분위 → 단순평균 파생</x:v>
      </x:c>
      <x:c r="AG403" s="80" t="str">
        <x:v>https://www.adiga.kr/ucp/uvt/uni/univDetailSelection.do?menuId=PCUVTINF2000&amp;searchSyr=2026&amp;unvCd=0000078</x:v>
      </x:c>
    </x:row>
    <x:row r="404">
      <x:c r="A404" s="80" t="n">
        <x:v>2025</x:v>
      </x:c>
      <x:c r="B404" s="80" t="str">
        <x:v>서울특별시</x:v>
      </x:c>
      <x:c r="C404" s="80" t="str">
        <x:v>사립</x:v>
      </x:c>
      <x:c r="D404" s="80" t="str">
        <x:v>국민대학교</x:v>
      </x:c>
      <x:c r="E404" s="80" t="str">
        <x:v>다</x:v>
      </x:c>
      <x:c r="F404" s="80" t="str">
        <x:v>일반전형</x:v>
      </x:c>
      <x:c r="G404" s="80" t="str">
        <x:v>AI 빅데이터융합경영학과(인문)</x:v>
      </x:c>
      <x:c r="H404" s="80" t="n">
        <x:v>9</x:v>
      </x:c>
      <x:c r="I404" s="80" t="n">
        <x:v>0</x:v>
      </x:c>
      <x:c r="J404" s="80" t="n">
        <x:v>9</x:v>
      </x:c>
      <x:c r="K404" s="81" t="n">
        <x:v>11.11</x:v>
      </x:c>
      <x:c r="L404" s="81" t="n">
        <x:v>22</x:v>
      </x:c>
      <x:c r="M404" s="81" t="n">
        <x:v>689</x:v>
      </x:c>
      <x:c r="N404" s="81" t="n">
        <x:v>688.5</x:v>
      </x:c>
      <x:c r="O404" s="81" t="n">
        <x:v>1000</x:v>
      </x:c>
      <x:c r="P404" s="81" t="n">
        <x:v>93</x:v>
      </x:c>
      <x:c r="Q404" s="81" t="n">
        <x:v>81</x:v>
      </x:c>
      <x:c r="R404" s="81" t="n">
        <x:v>81</x:v>
      </x:c>
      <x:c r="S404" s="81" t="n">
        <x:v>88</x:v>
      </x:c>
      <x:c r="T404" s="81" t="n">
        <x:v>2</x:v>
      </x:c>
      <x:c r="U404" s="81" t="n">
        <x:v>1</x:v>
      </x:c>
      <x:c r="V404" s="80"/>
      <x:c r="W404" s="81" t="n">
        <x:f>IF(COUNTA(P404:S404)=4,AVERAGE(P404:S404),"")</x:f>
        <x:v>85.75</x:v>
      </x:c>
      <x:c r="X404" s="81" t="n">
        <x:f>IF(V404&lt;&gt;"",V404,W404)</x:f>
        <x:v>85.75</x:v>
      </x:c>
      <x:c r="Y404" s="80" t="str">
        <x:v>파생 단순평균(참고)</x:v>
      </x:c>
      <x:c r="Z404" s="81" t="n">
        <x:v>80</x:v>
      </x:c>
      <x:c r="AA404" s="81" t="n">
        <x:f>IF(X404&lt;&gt;"",Z404-X404,"")</x:f>
        <x:v>-5.75</x:v>
      </x:c>
      <x:c r="AB404" s="80" t="str">
        <x:f>IF(AA404="","",IF(AA404&gt;=5,"안정",IF(AA404&gt;=1,"적정",IF(AA404&gt;=-2,"소신","상향"))))</x:f>
        <x:v>상향</x:v>
      </x:c>
      <x:c r="AC404" s="82" t="n">
        <x:v>67</x:v>
      </x:c>
      <x:c r="AD404" s="82" t="n">
        <x:v>33</x:v>
      </x:c>
      <x:c r="AE404" s="82" t="n">
        <x:v>0</x:v>
      </x:c>
      <x:c r="AF404" s="80" t="str">
        <x:v>B: 공식 과목별 70% 백분위 → 단순평균 파생</x:v>
      </x:c>
      <x:c r="AG404" s="80" t="str">
        <x:v>https://www.adiga.kr/ucp/uvt/uni/univDetailSelection.do?menuId=PCUVTINF2000&amp;searchSyr=2026&amp;unvCd=0000078</x:v>
      </x:c>
    </x:row>
    <x:row r="405">
      <x:c r="A405" s="80" t="n">
        <x:v>2025</x:v>
      </x:c>
      <x:c r="B405" s="80" t="str">
        <x:v>서울특별시</x:v>
      </x:c>
      <x:c r="C405" s="80" t="str">
        <x:v>사립</x:v>
      </x:c>
      <x:c r="D405" s="80" t="str">
        <x:v>국민대학교</x:v>
      </x:c>
      <x:c r="E405" s="80" t="str">
        <x:v>다</x:v>
      </x:c>
      <x:c r="F405" s="80" t="str">
        <x:v>일반전형</x:v>
      </x:c>
      <x:c r="G405" s="80" t="str">
        <x:v>KMU International Business School</x:v>
      </x:c>
      <x:c r="H405" s="80" t="n">
        <x:v>10</x:v>
      </x:c>
      <x:c r="I405" s="80" t="n">
        <x:v>3</x:v>
      </x:c>
      <x:c r="J405" s="80" t="n">
        <x:v>13</x:v>
      </x:c>
      <x:c r="K405" s="81" t="n">
        <x:v>7.23</x:v>
      </x:c>
      <x:c r="L405" s="81" t="n">
        <x:v>33</x:v>
      </x:c>
      <x:c r="M405" s="81" t="n">
        <x:v>685</x:v>
      </x:c>
      <x:c r="N405" s="81" t="n">
        <x:v>681</x:v>
      </x:c>
      <x:c r="O405" s="81" t="n">
        <x:v>1000</x:v>
      </x:c>
      <x:c r="P405" s="81" t="n">
        <x:v>92</x:v>
      </x:c>
      <x:c r="Q405" s="81" t="n">
        <x:v>81</x:v>
      </x:c>
      <x:c r="R405" s="81" t="n">
        <x:v>81</x:v>
      </x:c>
      <x:c r="S405" s="81" t="n">
        <x:v>88</x:v>
      </x:c>
      <x:c r="T405" s="81" t="n">
        <x:v>3</x:v>
      </x:c>
      <x:c r="U405" s="81" t="n">
        <x:v>1</x:v>
      </x:c>
      <x:c r="V405" s="80"/>
      <x:c r="W405" s="81" t="n">
        <x:f>IF(COUNTA(P405:S405)=4,AVERAGE(P405:S405),"")</x:f>
        <x:v>85.5</x:v>
      </x:c>
      <x:c r="X405" s="81" t="n">
        <x:f>IF(V405&lt;&gt;"",V405,W405)</x:f>
        <x:v>85.5</x:v>
      </x:c>
      <x:c r="Y405" s="80" t="str">
        <x:v>파생 단순평균(참고)</x:v>
      </x:c>
      <x:c r="Z405" s="81" t="n">
        <x:v>80</x:v>
      </x:c>
      <x:c r="AA405" s="81" t="n">
        <x:f>IF(X405&lt;&gt;"",Z405-X405,"")</x:f>
        <x:v>-5.5</x:v>
      </x:c>
      <x:c r="AB405" s="80" t="str">
        <x:f>IF(AA405="","",IF(AA405&gt;=5,"안정",IF(AA405&gt;=1,"적정",IF(AA405&gt;=-2,"소신","상향"))))</x:f>
        <x:v>상향</x:v>
      </x:c>
      <x:c r="AC405" s="82" t="n">
        <x:v>23</x:v>
      </x:c>
      <x:c r="AD405" s="82" t="n">
        <x:v>77</x:v>
      </x:c>
      <x:c r="AE405" s="82" t="n">
        <x:v>0</x:v>
      </x:c>
      <x:c r="AF405" s="80" t="str">
        <x:v>B: 공식 과목별 70% 백분위 → 단순평균 파생</x:v>
      </x:c>
      <x:c r="AG405" s="80" t="str">
        <x:v>https://www.adiga.kr/ucp/uvt/uni/univDetailSelection.do?menuId=PCUVTINF2000&amp;searchSyr=2026&amp;unvCd=0000078</x:v>
      </x:c>
    </x:row>
    <x:row r="406">
      <x:c r="A406" s="80" t="n">
        <x:v>2025</x:v>
      </x:c>
      <x:c r="B406" s="80" t="str">
        <x:v>서울특별시</x:v>
      </x:c>
      <x:c r="C406" s="80" t="str">
        <x:v>사립</x:v>
      </x:c>
      <x:c r="D406" s="80" t="str">
        <x:v>국민대학교</x:v>
      </x:c>
      <x:c r="E406" s="80" t="str">
        <x:v>다</x:v>
      </x:c>
      <x:c r="F406" s="80" t="str">
        <x:v>일반전형</x:v>
      </x:c>
      <x:c r="G406" s="80" t="str">
        <x:v>AI 빅데이터융합경영학과(자연)</x:v>
      </x:c>
      <x:c r="H406" s="80" t="n">
        <x:v>5</x:v>
      </x:c>
      <x:c r="I406" s="80" t="n">
        <x:v>1</x:v>
      </x:c>
      <x:c r="J406" s="80" t="n">
        <x:v>6</x:v>
      </x:c>
      <x:c r="K406" s="81" t="n">
        <x:v>10.5</x:v>
      </x:c>
      <x:c r="L406" s="81" t="n">
        <x:v>8</x:v>
      </x:c>
      <x:c r="M406" s="81" t="n">
        <x:v>697.99</x:v>
      </x:c>
      <x:c r="N406" s="81" t="n">
        <x:v>694.97</x:v>
      </x:c>
      <x:c r="O406" s="81" t="n">
        <x:v>1000</x:v>
      </x:c>
      <x:c r="P406" s="81" t="n">
        <x:v>70</x:v>
      </x:c>
      <x:c r="Q406" s="81" t="n">
        <x:v>74</x:v>
      </x:c>
      <x:c r="R406" s="81" t="n">
        <x:v>100</x:v>
      </x:c>
      <x:c r="S406" s="81" t="n">
        <x:v>83</x:v>
      </x:c>
      <x:c r="T406" s="81" t="n">
        <x:v>2</x:v>
      </x:c>
      <x:c r="U406" s="81" t="n">
        <x:v>3</x:v>
      </x:c>
      <x:c r="V406" s="80"/>
      <x:c r="W406" s="81" t="n">
        <x:f>IF(COUNTA(P406:S406)=4,AVERAGE(P406:S406),"")</x:f>
        <x:v>81.75</x:v>
      </x:c>
      <x:c r="X406" s="81" t="n">
        <x:f>IF(V406&lt;&gt;"",V406,W406)</x:f>
        <x:v>81.75</x:v>
      </x:c>
      <x:c r="Y406" s="80" t="str">
        <x:v>파생 단순평균(참고)</x:v>
      </x:c>
      <x:c r="Z406" s="81" t="n">
        <x:v>80</x:v>
      </x:c>
      <x:c r="AA406" s="81" t="n">
        <x:f>IF(X406&lt;&gt;"",Z406-X406,"")</x:f>
        <x:v>-1.75</x:v>
      </x:c>
      <x:c r="AB406" s="80" t="str">
        <x:f>IF(AA406="","",IF(AA406&gt;=5,"안정",IF(AA406&gt;=1,"적정",IF(AA406&gt;=-2,"소신","상향"))))</x:f>
        <x:v>소신</x:v>
      </x:c>
      <x:c r="AC406" s="82" t="n">
        <x:v>0</x:v>
      </x:c>
      <x:c r="AD406" s="82" t="n">
        <x:v>80</x:v>
      </x:c>
      <x:c r="AE406" s="82" t="n">
        <x:v>20</x:v>
      </x:c>
      <x:c r="AF406" s="80" t="str">
        <x:v>B: 공식 과목별 70% 백분위 → 단순평균 파생</x:v>
      </x:c>
      <x:c r="AG406" s="80" t="str">
        <x:v>https://www.adiga.kr/ucp/uvt/uni/univDetailSelection.do?menuId=PCUVTINF2000&amp;searchSyr=2026&amp;unvCd=0000078</x:v>
      </x:c>
    </x:row>
    <x:row r="407">
      <x:c r="A407" s="80" t="n">
        <x:v>2025</x:v>
      </x:c>
      <x:c r="B407" s="80" t="str">
        <x:v>서울특별시</x:v>
      </x:c>
      <x:c r="C407" s="80" t="str">
        <x:v>사립</x:v>
      </x:c>
      <x:c r="D407" s="80" t="str">
        <x:v>국민대학교</x:v>
      </x:c>
      <x:c r="E407" s="80" t="str">
        <x:v>다</x:v>
      </x:c>
      <x:c r="F407" s="80" t="str">
        <x:v>일반전형</x:v>
      </x:c>
      <x:c r="G407" s="80" t="str">
        <x:v>임산생명공학과</x:v>
      </x:c>
      <x:c r="H407" s="80" t="n">
        <x:v>2</x:v>
      </x:c>
      <x:c r="I407" s="80" t="n">
        <x:v>2</x:v>
      </x:c>
      <x:c r="J407" s="80" t="n">
        <x:v>4</x:v>
      </x:c>
      <x:c r="K407" s="81" t="n">
        <x:v>14.5</x:v>
      </x:c>
      <x:c r="L407" s="81" t="n">
        <x:v>13</x:v>
      </x:c>
      <x:c r="M407" s="81" t="n">
        <x:v>688.67</x:v>
      </x:c>
      <x:c r="N407" s="81" t="n">
        <x:v>688.67</x:v>
      </x:c>
      <x:c r="O407" s="81" t="n">
        <x:v>1000</x:v>
      </x:c>
      <x:c r="P407" s="81" t="n">
        <x:v>80</x:v>
      </x:c>
      <x:c r="Q407" s="81" t="n">
        <x:v>89</x:v>
      </x:c>
      <x:c r="R407" s="81" t="n">
        <x:v>94</x:v>
      </x:c>
      <x:c r="S407" s="81" t="n">
        <x:v>77</x:v>
      </x:c>
      <x:c r="T407" s="81" t="n">
        <x:v>3</x:v>
      </x:c>
      <x:c r="U407" s="81" t="n">
        <x:v>6</x:v>
      </x:c>
      <x:c r="V407" s="80"/>
      <x:c r="W407" s="81" t="n">
        <x:f>IF(COUNTA(P407:S407)=4,AVERAGE(P407:S407),"")</x:f>
        <x:v>85</x:v>
      </x:c>
      <x:c r="X407" s="81" t="n">
        <x:f>IF(V407&lt;&gt;"",V407,W407)</x:f>
        <x:v>85</x:v>
      </x:c>
      <x:c r="Y407" s="80" t="str">
        <x:v>파생 단순평균(참고)</x:v>
      </x:c>
      <x:c r="Z407" s="81" t="n">
        <x:v>80</x:v>
      </x:c>
      <x:c r="AA407" s="81" t="n">
        <x:f>IF(X407&lt;&gt;"",Z407-X407,"")</x:f>
        <x:v>-5</x:v>
      </x:c>
      <x:c r="AB407" s="80" t="str">
        <x:f>IF(AA407="","",IF(AA407&gt;=5,"안정",IF(AA407&gt;=1,"적정",IF(AA407&gt;=-2,"소신","상향"))))</x:f>
        <x:v>상향</x:v>
      </x:c>
      <x:c r="AC407" s="82" t="n">
        <x:v>25</x:v>
      </x:c>
      <x:c r="AD407" s="82" t="n">
        <x:v>75</x:v>
      </x:c>
      <x:c r="AE407" s="82" t="n">
        <x:v>0</x:v>
      </x:c>
      <x:c r="AF407" s="80" t="str">
        <x:v>B: 공식 과목별 70% 백분위 → 단순평균 파생</x:v>
      </x:c>
      <x:c r="AG407" s="80" t="str">
        <x:v>https://www.adiga.kr/ucp/uvt/uni/univDetailSelection.do?menuId=PCUVTINF2000&amp;searchSyr=2026&amp;unvCd=0000078</x:v>
      </x:c>
    </x:row>
    <x:row r="408">
      <x:c r="A408" s="80" t="n">
        <x:v>2025</x:v>
      </x:c>
      <x:c r="B408" s="80" t="str">
        <x:v>서울특별시</x:v>
      </x:c>
      <x:c r="C408" s="80" t="str">
        <x:v>사립</x:v>
      </x:c>
      <x:c r="D408" s="80" t="str">
        <x:v>국민대학교</x:v>
      </x:c>
      <x:c r="E408" s="80" t="str">
        <x:v>다</x:v>
      </x:c>
      <x:c r="F408" s="80" t="str">
        <x:v>일반전형</x:v>
      </x:c>
      <x:c r="G408" s="80" t="str">
        <x:v>나노전자물리학과</x:v>
      </x:c>
      <x:c r="H408" s="80" t="n">
        <x:v>4</x:v>
      </x:c>
      <x:c r="I408" s="80" t="n">
        <x:v>2</x:v>
      </x:c>
      <x:c r="J408" s="80" t="n">
        <x:v>6</x:v>
      </x:c>
      <x:c r="K408" s="81" t="n">
        <x:v>10.17</x:v>
      </x:c>
      <x:c r="L408" s="81" t="n">
        <x:v>14</x:v>
      </x:c>
      <x:c r="M408" s="81" t="n">
        <x:v>689.26</x:v>
      </x:c>
      <x:c r="N408" s="81" t="n">
        <x:v>688.98</x:v>
      </x:c>
      <x:c r="O408" s="81" t="n">
        <x:v>1000</x:v>
      </x:c>
      <x:c r="P408" s="81" t="n">
        <x:v>75</x:v>
      </x:c>
      <x:c r="Q408" s="81" t="n">
        <x:v>92</x:v>
      </x:c>
      <x:c r="R408" s="81" t="n">
        <x:v>79</x:v>
      </x:c>
      <x:c r="S408" s="81" t="n">
        <x:v>76</x:v>
      </x:c>
      <x:c r="T408" s="81" t="n">
        <x:v>2</x:v>
      </x:c>
      <x:c r="U408" s="81" t="n">
        <x:v>1</x:v>
      </x:c>
      <x:c r="V408" s="80"/>
      <x:c r="W408" s="81" t="n">
        <x:f>IF(COUNTA(P408:S408)=4,AVERAGE(P408:S408),"")</x:f>
        <x:v>80.5</x:v>
      </x:c>
      <x:c r="X408" s="81" t="n">
        <x:f>IF(V408&lt;&gt;"",V408,W408)</x:f>
        <x:v>80.5</x:v>
      </x:c>
      <x:c r="Y408" s="80" t="str">
        <x:v>파생 단순평균(참고)</x:v>
      </x:c>
      <x:c r="Z408" s="81" t="n">
        <x:v>80</x:v>
      </x:c>
      <x:c r="AA408" s="81" t="n">
        <x:f>IF(X408&lt;&gt;"",Z408-X408,"")</x:f>
        <x:v>-0.5</x:v>
      </x:c>
      <x:c r="AB408" s="80" t="str">
        <x:f>IF(AA408="","",IF(AA408&gt;=5,"안정",IF(AA408&gt;=1,"적정",IF(AA408&gt;=-2,"소신","상향"))))</x:f>
        <x:v>소신</x:v>
      </x:c>
      <x:c r="AC408" s="82" t="n">
        <x:v>0</x:v>
      </x:c>
      <x:c r="AD408" s="82" t="n">
        <x:v>83</x:v>
      </x:c>
      <x:c r="AE408" s="82" t="n">
        <x:v>17</x:v>
      </x:c>
      <x:c r="AF408" s="80" t="str">
        <x:v>B: 공식 과목별 70% 백분위 → 단순평균 파생</x:v>
      </x:c>
      <x:c r="AG408" s="80" t="str">
        <x:v>https://www.adiga.kr/ucp/uvt/uni/univDetailSelection.do?menuId=PCUVTINF2000&amp;searchSyr=2026&amp;unvCd=0000078</x:v>
      </x:c>
    </x:row>
    <x:row r="409">
      <x:c r="A409" s="80" t="n">
        <x:v>2025</x:v>
      </x:c>
      <x:c r="B409" s="80" t="str">
        <x:v>서울특별시</x:v>
      </x:c>
      <x:c r="C409" s="80" t="str">
        <x:v>공립</x:v>
      </x:c>
      <x:c r="D409" s="80" t="str">
        <x:v>서울시립대학교</x:v>
      </x:c>
      <x:c r="E409" s="80" t="str">
        <x:v>가</x:v>
      </x:c>
      <x:c r="F409" s="80" t="str">
        <x:v>일반전형</x:v>
      </x:c>
      <x:c r="G409" s="80" t="str">
        <x:v>도시행정학과</x:v>
      </x:c>
      <x:c r="H409" s="80" t="n">
        <x:v>16</x:v>
      </x:c>
      <x:c r="I409" s="80" t="n">
        <x:v>0</x:v>
      </x:c>
      <x:c r="J409" s="80" t="n">
        <x:v>16</x:v>
      </x:c>
      <x:c r="K409" s="81" t="n">
        <x:v>4.13</x:v>
      </x:c>
      <x:c r="L409" s="81" t="n">
        <x:v>10</x:v>
      </x:c>
      <x:c r="M409" s="81" t="n">
        <x:v>925.26</x:v>
      </x:c>
      <x:c r="N409" s="81" t="n">
        <x:v>923.35</x:v>
      </x:c>
      <x:c r="O409" s="81" t="n">
        <x:v>1000</x:v>
      </x:c>
      <x:c r="P409" s="81" t="n">
        <x:v>94</x:v>
      </x:c>
      <x:c r="Q409" s="81" t="n">
        <x:v>89</x:v>
      </x:c>
      <x:c r="R409" s="81" t="n">
        <x:v>94</x:v>
      </x:c>
      <x:c r="S409" s="81" t="n">
        <x:v>85</x:v>
      </x:c>
      <x:c r="T409" s="81" t="n">
        <x:v>2</x:v>
      </x:c>
      <x:c r="U409" s="81" t="n">
        <x:v>1</x:v>
      </x:c>
      <x:c r="V409" s="80"/>
      <x:c r="W409" s="81" t="n">
        <x:f>IF(COUNTA(P409:S409)=4,AVERAGE(P409:S409),"")</x:f>
        <x:v>90.5</x:v>
      </x:c>
      <x:c r="X409" s="81" t="n">
        <x:f>IF(V409&lt;&gt;"",V409,W409)</x:f>
        <x:v>90.5</x:v>
      </x:c>
      <x:c r="Y409" s="80" t="str">
        <x:v>파생 단순평균(참고)</x:v>
      </x:c>
      <x:c r="Z409" s="81" t="n">
        <x:v>80</x:v>
      </x:c>
      <x:c r="AA409" s="81" t="n">
        <x:f>IF(X409&lt;&gt;"",Z409-X409,"")</x:f>
        <x:v>-10.5</x:v>
      </x:c>
      <x:c r="AB409" s="80" t="str">
        <x:f>IF(AA409="","",IF(AA409&gt;=5,"안정",IF(AA409&gt;=1,"적정",IF(AA409&gt;=-2,"소신","상향"))))</x:f>
        <x:v>상향</x:v>
      </x:c>
      <x:c r="AC409" s="82" t="n">
        <x:v>69</x:v>
      </x:c>
      <x:c r="AD409" s="82" t="n">
        <x:v>25</x:v>
      </x:c>
      <x:c r="AE409" s="82" t="n">
        <x:v>6</x:v>
      </x:c>
      <x:c r="AF409" s="80" t="str">
        <x:v>B: 공식 과목별 70% 백분위 → 단순평균 파생</x:v>
      </x:c>
      <x:c r="AG409" s="80" t="str">
        <x:v>https://www.adiga.kr/ucp/uvt/uni/univDetailSelection.do?menuId=PCUVTINF2000&amp;searchSyr=2026&amp;unvCd=0000040</x:v>
      </x:c>
    </x:row>
    <x:row r="410">
      <x:c r="A410" s="80" t="n">
        <x:v>2025</x:v>
      </x:c>
      <x:c r="B410" s="80" t="str">
        <x:v>서울특별시</x:v>
      </x:c>
      <x:c r="C410" s="80" t="str">
        <x:v>공립</x:v>
      </x:c>
      <x:c r="D410" s="80" t="str">
        <x:v>서울시립대학교</x:v>
      </x:c>
      <x:c r="E410" s="80" t="str">
        <x:v>가</x:v>
      </x:c>
      <x:c r="F410" s="80" t="str">
        <x:v>일반전형</x:v>
      </x:c>
      <x:c r="G410" s="80" t="str">
        <x:v>인공지능학과</x:v>
      </x:c>
      <x:c r="H410" s="80" t="n">
        <x:v>8</x:v>
      </x:c>
      <x:c r="I410" s="80" t="n">
        <x:v>0</x:v>
      </x:c>
      <x:c r="J410" s="80" t="n">
        <x:v>8</x:v>
      </x:c>
      <x:c r="K410" s="81" t="n">
        <x:v>5.5</x:v>
      </x:c>
      <x:c r="L410" s="81" t="n">
        <x:v>7</x:v>
      </x:c>
      <x:c r="M410" s="81" t="n">
        <x:v>939.89</x:v>
      </x:c>
      <x:c r="N410" s="81" t="n">
        <x:v>938.7</x:v>
      </x:c>
      <x:c r="O410" s="81" t="n">
        <x:v>1000</x:v>
      </x:c>
      <x:c r="P410" s="81" t="n">
        <x:v>79</x:v>
      </x:c>
      <x:c r="Q410" s="81" t="n">
        <x:v>97</x:v>
      </x:c>
      <x:c r="R410" s="81" t="n">
        <x:v>94</x:v>
      </x:c>
      <x:c r="S410" s="81" t="n">
        <x:v>96</x:v>
      </x:c>
      <x:c r="T410" s="81" t="n">
        <x:v>3</x:v>
      </x:c>
      <x:c r="U410" s="81" t="n">
        <x:v>1</x:v>
      </x:c>
      <x:c r="V410" s="80"/>
      <x:c r="W410" s="81" t="n">
        <x:f>IF(COUNTA(P410:S410)=4,AVERAGE(P410:S410),"")</x:f>
        <x:v>91.5</x:v>
      </x:c>
      <x:c r="X410" s="81" t="n">
        <x:f>IF(V410&lt;&gt;"",V410,W410)</x:f>
        <x:v>91.5</x:v>
      </x:c>
      <x:c r="Y410" s="80" t="str">
        <x:v>파생 단순평균(참고)</x:v>
      </x:c>
      <x:c r="Z410" s="81" t="n">
        <x:v>80</x:v>
      </x:c>
      <x:c r="AA410" s="81" t="n">
        <x:f>IF(X410&lt;&gt;"",Z410-X410,"")</x:f>
        <x:v>-11.5</x:v>
      </x:c>
      <x:c r="AB410" s="80" t="str">
        <x:f>IF(AA410="","",IF(AA410&gt;=5,"안정",IF(AA410&gt;=1,"적정",IF(AA410&gt;=-2,"소신","상향"))))</x:f>
        <x:v>상향</x:v>
      </x:c>
      <x:c r="AC410" s="82" t="n">
        <x:v>0</x:v>
      </x:c>
      <x:c r="AD410" s="82" t="n">
        <x:v>88</x:v>
      </x:c>
      <x:c r="AE410" s="82" t="n">
        <x:v>13</x:v>
      </x:c>
      <x:c r="AF410" s="80" t="str">
        <x:v>B: 공식 과목별 70% 백분위 → 단순평균 파생</x:v>
      </x:c>
      <x:c r="AG410" s="80" t="str">
        <x:v>https://www.adiga.kr/ucp/uvt/uni/univDetailSelection.do?menuId=PCUVTINF2000&amp;searchSyr=2026&amp;unvCd=0000040</x:v>
      </x:c>
    </x:row>
    <x:row r="411">
      <x:c r="A411" s="80" t="n">
        <x:v>2025</x:v>
      </x:c>
      <x:c r="B411" s="80" t="str">
        <x:v>서울특별시</x:v>
      </x:c>
      <x:c r="C411" s="80" t="str">
        <x:v>공립</x:v>
      </x:c>
      <x:c r="D411" s="80" t="str">
        <x:v>서울시립대학교</x:v>
      </x:c>
      <x:c r="E411" s="80" t="str">
        <x:v>가</x:v>
      </x:c>
      <x:c r="F411" s="80" t="str">
        <x:v>일반전형</x:v>
      </x:c>
      <x:c r="G411" s="80" t="str">
        <x:v>자유전공학부(인문)</x:v>
      </x:c>
      <x:c r="H411" s="80" t="n">
        <x:v>16</x:v>
      </x:c>
      <x:c r="I411" s="80" t="n">
        <x:v>0</x:v>
      </x:c>
      <x:c r="J411" s="80" t="n">
        <x:v>16</x:v>
      </x:c>
      <x:c r="K411" s="81" t="n">
        <x:v>5.44</x:v>
      </x:c>
      <x:c r="L411" s="81" t="n">
        <x:v>21</x:v>
      </x:c>
      <x:c r="M411" s="81" t="n">
        <x:v>931.11</x:v>
      </x:c>
      <x:c r="N411" s="81" t="n">
        <x:v>930.04</x:v>
      </x:c>
      <x:c r="O411" s="81" t="n">
        <x:v>1000</x:v>
      </x:c>
      <x:c r="P411" s="81" t="n">
        <x:v>91</x:v>
      </x:c>
      <x:c r="Q411" s="81" t="n">
        <x:v>98</x:v>
      </x:c>
      <x:c r="R411" s="81" t="n">
        <x:v>72</x:v>
      </x:c>
      <x:c r="S411" s="81" t="n">
        <x:v>68</x:v>
      </x:c>
      <x:c r="T411" s="81" t="n">
        <x:v>1</x:v>
      </x:c>
      <x:c r="U411" s="81" t="n">
        <x:v>1</x:v>
      </x:c>
      <x:c r="V411" s="80"/>
      <x:c r="W411" s="81" t="n">
        <x:f>IF(COUNTA(P411:S411)=4,AVERAGE(P411:S411),"")</x:f>
        <x:v>82.25</x:v>
      </x:c>
      <x:c r="X411" s="81" t="n">
        <x:f>IF(V411&lt;&gt;"",V411,W411)</x:f>
        <x:v>82.25</x:v>
      </x:c>
      <x:c r="Y411" s="80" t="str">
        <x:v>파생 단순평균(참고)</x:v>
      </x:c>
      <x:c r="Z411" s="81" t="n">
        <x:v>80</x:v>
      </x:c>
      <x:c r="AA411" s="81" t="n">
        <x:f>IF(X411&lt;&gt;"",Z411-X411,"")</x:f>
        <x:v>-2.25</x:v>
      </x:c>
      <x:c r="AB411" s="80" t="str">
        <x:f>IF(AA411="","",IF(AA411&gt;=5,"안정",IF(AA411&gt;=1,"적정",IF(AA411&gt;=-2,"소신","상향"))))</x:f>
        <x:v>상향</x:v>
      </x:c>
      <x:c r="AC411" s="82" t="n">
        <x:v>0</x:v>
      </x:c>
      <x:c r="AD411" s="82" t="n">
        <x:v>88</x:v>
      </x:c>
      <x:c r="AE411" s="82" t="n">
        <x:v>13</x:v>
      </x:c>
      <x:c r="AF411" s="80" t="str">
        <x:v>B: 공식 과목별 70% 백분위 → 단순평균 파생</x:v>
      </x:c>
      <x:c r="AG411" s="80" t="str">
        <x:v>https://www.adiga.kr/ucp/uvt/uni/univDetailSelection.do?menuId=PCUVTINF2000&amp;searchSyr=2026&amp;unvCd=0000040</x:v>
      </x:c>
    </x:row>
    <x:row r="412">
      <x:c r="A412" s="80" t="n">
        <x:v>2025</x:v>
      </x:c>
      <x:c r="B412" s="80" t="str">
        <x:v>서울특별시</x:v>
      </x:c>
      <x:c r="C412" s="80" t="str">
        <x:v>공립</x:v>
      </x:c>
      <x:c r="D412" s="80" t="str">
        <x:v>서울시립대학교</x:v>
      </x:c>
      <x:c r="E412" s="80" t="str">
        <x:v>가</x:v>
      </x:c>
      <x:c r="F412" s="80" t="str">
        <x:v>일반전형</x:v>
      </x:c>
      <x:c r="G412" s="80" t="str">
        <x:v>자유전공학부(자연)</x:v>
      </x:c>
      <x:c r="H412" s="80" t="n">
        <x:v>16</x:v>
      </x:c>
      <x:c r="I412" s="80" t="n">
        <x:v>0</x:v>
      </x:c>
      <x:c r="J412" s="80" t="n">
        <x:v>16</x:v>
      </x:c>
      <x:c r="K412" s="81" t="n">
        <x:v>5.25</x:v>
      </x:c>
      <x:c r="L412" s="81" t="n">
        <x:v>18</x:v>
      </x:c>
      <x:c r="M412" s="81" t="n">
        <x:v>941.35</x:v>
      </x:c>
      <x:c r="N412" s="81" t="n">
        <x:v>940.42</x:v>
      </x:c>
      <x:c r="O412" s="81" t="n">
        <x:v>1000</x:v>
      </x:c>
      <x:c r="P412" s="81" t="n">
        <x:v>86</x:v>
      </x:c>
      <x:c r="Q412" s="81" t="n">
        <x:v>95</x:v>
      </x:c>
      <x:c r="R412" s="81" t="n">
        <x:v>94</x:v>
      </x:c>
      <x:c r="S412" s="81" t="n">
        <x:v>99</x:v>
      </x:c>
      <x:c r="T412" s="81" t="n">
        <x:v>5</x:v>
      </x:c>
      <x:c r="U412" s="81" t="n">
        <x:v>1</x:v>
      </x:c>
      <x:c r="V412" s="80"/>
      <x:c r="W412" s="81" t="n">
        <x:f>IF(COUNTA(P412:S412)=4,AVERAGE(P412:S412),"")</x:f>
        <x:v>93.5</x:v>
      </x:c>
      <x:c r="X412" s="81" t="n">
        <x:f>IF(V412&lt;&gt;"",V412,W412)</x:f>
        <x:v>93.5</x:v>
      </x:c>
      <x:c r="Y412" s="80" t="str">
        <x:v>파생 단순평균(참고)</x:v>
      </x:c>
      <x:c r="Z412" s="81" t="n">
        <x:v>80</x:v>
      </x:c>
      <x:c r="AA412" s="81" t="n">
        <x:f>IF(X412&lt;&gt;"",Z412-X412,"")</x:f>
        <x:v>-13.5</x:v>
      </x:c>
      <x:c r="AB412" s="80" t="str">
        <x:f>IF(AA412="","",IF(AA412&gt;=5,"안정",IF(AA412&gt;=1,"적정",IF(AA412&gt;=-2,"소신","상향"))))</x:f>
        <x:v>상향</x:v>
      </x:c>
      <x:c r="AC412" s="82" t="n">
        <x:v>0</x:v>
      </x:c>
      <x:c r="AD412" s="82" t="n">
        <x:v>88</x:v>
      </x:c>
      <x:c r="AE412" s="82" t="n">
        <x:v>13</x:v>
      </x:c>
      <x:c r="AF412" s="80" t="str">
        <x:v>B: 공식 과목별 70% 백분위 → 단순평균 파생</x:v>
      </x:c>
      <x:c r="AG412" s="80" t="str">
        <x:v>https://www.adiga.kr/ucp/uvt/uni/univDetailSelection.do?menuId=PCUVTINF2000&amp;searchSyr=2026&amp;unvCd=0000040</x:v>
      </x:c>
    </x:row>
    <x:row r="413">
      <x:c r="A413" s="80" t="n">
        <x:v>2025</x:v>
      </x:c>
      <x:c r="B413" s="80" t="str">
        <x:v>서울특별시</x:v>
      </x:c>
      <x:c r="C413" s="80" t="str">
        <x:v>공립</x:v>
      </x:c>
      <x:c r="D413" s="80" t="str">
        <x:v>서울시립대학교</x:v>
      </x:c>
      <x:c r="E413" s="80" t="str">
        <x:v>가</x:v>
      </x:c>
      <x:c r="F413" s="80" t="str">
        <x:v>일반전형</x:v>
      </x:c>
      <x:c r="G413" s="80" t="str">
        <x:v>첨단융합학부 지능형반도체전공</x:v>
      </x:c>
      <x:c r="H413" s="80" t="n">
        <x:v>10</x:v>
      </x:c>
      <x:c r="I413" s="80" t="n">
        <x:v>0</x:v>
      </x:c>
      <x:c r="J413" s="80" t="n">
        <x:v>10</x:v>
      </x:c>
      <x:c r="K413" s="81" t="n">
        <x:v>5.6</x:v>
      </x:c>
      <x:c r="L413" s="81" t="n">
        <x:v>11</x:v>
      </x:c>
      <x:c r="M413" s="81" t="n">
        <x:v>937.62</x:v>
      </x:c>
      <x:c r="N413" s="81" t="n">
        <x:v>936.7</x:v>
      </x:c>
      <x:c r="O413" s="81" t="n">
        <x:v>1000</x:v>
      </x:c>
      <x:c r="P413" s="81" t="n">
        <x:v>86</x:v>
      </x:c>
      <x:c r="Q413" s="81" t="n">
        <x:v>97</x:v>
      </x:c>
      <x:c r="R413" s="81" t="n">
        <x:v>84</x:v>
      </x:c>
      <x:c r="S413" s="81" t="n">
        <x:v>96</x:v>
      </x:c>
      <x:c r="T413" s="81" t="n">
        <x:v>3</x:v>
      </x:c>
      <x:c r="U413" s="81" t="n">
        <x:v>1</x:v>
      </x:c>
      <x:c r="V413" s="80"/>
      <x:c r="W413" s="81" t="n">
        <x:f>IF(COUNTA(P413:S413)=4,AVERAGE(P413:S413),"")</x:f>
        <x:v>90.75</x:v>
      </x:c>
      <x:c r="X413" s="81" t="n">
        <x:f>IF(V413&lt;&gt;"",V413,W413)</x:f>
        <x:v>90.75</x:v>
      </x:c>
      <x:c r="Y413" s="80" t="str">
        <x:v>파생 단순평균(참고)</x:v>
      </x:c>
      <x:c r="Z413" s="81" t="n">
        <x:v>80</x:v>
      </x:c>
      <x:c r="AA413" s="81" t="n">
        <x:f>IF(X413&lt;&gt;"",Z413-X413,"")</x:f>
        <x:v>-10.75</x:v>
      </x:c>
      <x:c r="AB413" s="80" t="str">
        <x:f>IF(AA413="","",IF(AA413&gt;=5,"안정",IF(AA413&gt;=1,"적정",IF(AA413&gt;=-2,"소신","상향"))))</x:f>
        <x:v>상향</x:v>
      </x:c>
      <x:c r="AC413" s="82" t="n">
        <x:v>0</x:v>
      </x:c>
      <x:c r="AD413" s="82" t="n">
        <x:v>100</x:v>
      </x:c>
      <x:c r="AE413" s="82" t="n">
        <x:v>0</x:v>
      </x:c>
      <x:c r="AF413" s="80" t="str">
        <x:v>B: 공식 과목별 70% 백분위 → 단순평균 파생</x:v>
      </x:c>
      <x:c r="AG413" s="80" t="str">
        <x:v>https://www.adiga.kr/ucp/uvt/uni/univDetailSelection.do?menuId=PCUVTINF2000&amp;searchSyr=2026&amp;unvCd=0000040</x:v>
      </x:c>
    </x:row>
    <x:row r="414">
      <x:c r="A414" s="80" t="n">
        <x:v>2025</x:v>
      </x:c>
      <x:c r="B414" s="80" t="str">
        <x:v>서울특별시</x:v>
      </x:c>
      <x:c r="C414" s="80" t="str">
        <x:v>공립</x:v>
      </x:c>
      <x:c r="D414" s="80" t="str">
        <x:v>서울시립대학교</x:v>
      </x:c>
      <x:c r="E414" s="80" t="str">
        <x:v>나</x:v>
      </x:c>
      <x:c r="F414" s="80" t="str">
        <x:v>일반전형</x:v>
      </x:c>
      <x:c r="G414" s="80" t="str">
        <x:v>행정학과</x:v>
      </x:c>
      <x:c r="H414" s="80" t="n">
        <x:v>28</x:v>
      </x:c>
      <x:c r="I414" s="80" t="n">
        <x:v>0</x:v>
      </x:c>
      <x:c r="J414" s="80" t="n">
        <x:v>28</x:v>
      </x:c>
      <x:c r="K414" s="81" t="n">
        <x:v>3.57</x:v>
      </x:c>
      <x:c r="L414" s="81" t="n">
        <x:v>42</x:v>
      </x:c>
      <x:c r="M414" s="81" t="n">
        <x:v>922.45</x:v>
      </x:c>
      <x:c r="N414" s="81" t="n">
        <x:v>918.87</x:v>
      </x:c>
      <x:c r="O414" s="81" t="n">
        <x:v>1000</x:v>
      </x:c>
      <x:c r="P414" s="81" t="n">
        <x:v>96</x:v>
      </x:c>
      <x:c r="Q414" s="81" t="n">
        <x:v>90</x:v>
      </x:c>
      <x:c r="R414" s="81" t="n">
        <x:v>85</x:v>
      </x:c>
      <x:c r="S414" s="81" t="n">
        <x:v>91</x:v>
      </x:c>
      <x:c r="T414" s="81" t="n">
        <x:v>3</x:v>
      </x:c>
      <x:c r="U414" s="81" t="n">
        <x:v>3</x:v>
      </x:c>
      <x:c r="V414" s="80"/>
      <x:c r="W414" s="81" t="n">
        <x:f>IF(COUNTA(P414:S414)=4,AVERAGE(P414:S414),"")</x:f>
        <x:v>90.5</x:v>
      </x:c>
      <x:c r="X414" s="81" t="n">
        <x:f>IF(V414&lt;&gt;"",V414,W414)</x:f>
        <x:v>90.5</x:v>
      </x:c>
      <x:c r="Y414" s="80" t="str">
        <x:v>파생 단순평균(참고)</x:v>
      </x:c>
      <x:c r="Z414" s="81" t="n">
        <x:v>80</x:v>
      </x:c>
      <x:c r="AA414" s="81" t="n">
        <x:f>IF(X414&lt;&gt;"",Z414-X414,"")</x:f>
        <x:v>-10.5</x:v>
      </x:c>
      <x:c r="AB414" s="80" t="str">
        <x:f>IF(AA414="","",IF(AA414&gt;=5,"안정",IF(AA414&gt;=1,"적정",IF(AA414&gt;=-2,"소신","상향"))))</x:f>
        <x:v>상향</x:v>
      </x:c>
      <x:c r="AC414" s="82" t="n">
        <x:v>61</x:v>
      </x:c>
      <x:c r="AD414" s="82" t="n">
        <x:v>36</x:v>
      </x:c>
      <x:c r="AE414" s="82" t="n">
        <x:v>4</x:v>
      </x:c>
      <x:c r="AF414" s="80" t="str">
        <x:v>B: 공식 과목별 70% 백분위 → 단순평균 파생</x:v>
      </x:c>
      <x:c r="AG414" s="80" t="str">
        <x:v>https://www.adiga.kr/ucp/uvt/uni/univDetailSelection.do?menuId=PCUVTINF2000&amp;searchSyr=2026&amp;unvCd=0000040</x:v>
      </x:c>
    </x:row>
    <x:row r="415">
      <x:c r="A415" s="80" t="n">
        <x:v>2025</x:v>
      </x:c>
      <x:c r="B415" s="80" t="str">
        <x:v>서울특별시</x:v>
      </x:c>
      <x:c r="C415" s="80" t="str">
        <x:v>공립</x:v>
      </x:c>
      <x:c r="D415" s="80" t="str">
        <x:v>서울시립대학교</x:v>
      </x:c>
      <x:c r="E415" s="80" t="str">
        <x:v>나</x:v>
      </x:c>
      <x:c r="F415" s="80" t="str">
        <x:v>일반전형</x:v>
      </x:c>
      <x:c r="G415" s="80" t="str">
        <x:v>국제관계학과</x:v>
      </x:c>
      <x:c r="H415" s="80" t="n">
        <x:v>9</x:v>
      </x:c>
      <x:c r="I415" s="80" t="n">
        <x:v>0</x:v>
      </x:c>
      <x:c r="J415" s="80" t="n">
        <x:v>9</x:v>
      </x:c>
      <x:c r="K415" s="81" t="n">
        <x:v>5.11</x:v>
      </x:c>
      <x:c r="L415" s="81" t="n">
        <x:v>13</x:v>
      </x:c>
      <x:c r="M415" s="81" t="n">
        <x:v>923.21</x:v>
      </x:c>
      <x:c r="N415" s="81" t="n">
        <x:v>922.91</x:v>
      </x:c>
      <x:c r="O415" s="81" t="n">
        <x:v>1000</x:v>
      </x:c>
      <x:c r="P415" s="81" t="n">
        <x:v>93</x:v>
      </x:c>
      <x:c r="Q415" s="81" t="n">
        <x:v>89</x:v>
      </x:c>
      <x:c r="R415" s="81" t="n">
        <x:v>88</x:v>
      </x:c>
      <x:c r="S415" s="81" t="n">
        <x:v>95</x:v>
      </x:c>
      <x:c r="T415" s="81" t="n">
        <x:v>2</x:v>
      </x:c>
      <x:c r="U415" s="81" t="n">
        <x:v>1</x:v>
      </x:c>
      <x:c r="V415" s="80"/>
      <x:c r="W415" s="81" t="n">
        <x:f>IF(COUNTA(P415:S415)=4,AVERAGE(P415:S415),"")</x:f>
        <x:v>91.25</x:v>
      </x:c>
      <x:c r="X415" s="81" t="n">
        <x:f>IF(V415&lt;&gt;"",V415,W415)</x:f>
        <x:v>91.25</x:v>
      </x:c>
      <x:c r="Y415" s="80" t="str">
        <x:v>파생 단순평균(참고)</x:v>
      </x:c>
      <x:c r="Z415" s="81" t="n">
        <x:v>80</x:v>
      </x:c>
      <x:c r="AA415" s="81" t="n">
        <x:f>IF(X415&lt;&gt;"",Z415-X415,"")</x:f>
        <x:v>-11.25</x:v>
      </x:c>
      <x:c r="AB415" s="80" t="str">
        <x:f>IF(AA415="","",IF(AA415&gt;=5,"안정",IF(AA415&gt;=1,"적정",IF(AA415&gt;=-2,"소신","상향"))))</x:f>
        <x:v>상향</x:v>
      </x:c>
      <x:c r="AC415" s="82" t="n">
        <x:v>67</x:v>
      </x:c>
      <x:c r="AD415" s="82" t="n">
        <x:v>33</x:v>
      </x:c>
      <x:c r="AE415" s="82" t="n">
        <x:v>0</x:v>
      </x:c>
      <x:c r="AF415" s="80" t="str">
        <x:v>B: 공식 과목별 70% 백분위 → 단순평균 파생</x:v>
      </x:c>
      <x:c r="AG415" s="80" t="str">
        <x:v>https://www.adiga.kr/ucp/uvt/uni/univDetailSelection.do?menuId=PCUVTINF2000&amp;searchSyr=2026&amp;unvCd=0000040</x:v>
      </x:c>
    </x:row>
    <x:row r="416">
      <x:c r="A416" s="80" t="n">
        <x:v>2025</x:v>
      </x:c>
      <x:c r="B416" s="80" t="str">
        <x:v>서울특별시</x:v>
      </x:c>
      <x:c r="C416" s="80" t="str">
        <x:v>공립</x:v>
      </x:c>
      <x:c r="D416" s="80" t="str">
        <x:v>서울시립대학교</x:v>
      </x:c>
      <x:c r="E416" s="80" t="str">
        <x:v>나</x:v>
      </x:c>
      <x:c r="F416" s="80" t="str">
        <x:v>일반전형</x:v>
      </x:c>
      <x:c r="G416" s="80" t="str">
        <x:v>경제학부</x:v>
      </x:c>
      <x:c r="H416" s="80" t="n">
        <x:v>32</x:v>
      </x:c>
      <x:c r="I416" s="80" t="n">
        <x:v>0</x:v>
      </x:c>
      <x:c r="J416" s="80" t="n">
        <x:v>32</x:v>
      </x:c>
      <x:c r="K416" s="81" t="n">
        <x:v>3.84</x:v>
      </x:c>
      <x:c r="L416" s="81" t="n">
        <x:v>32</x:v>
      </x:c>
      <x:c r="M416" s="81" t="n">
        <x:v>923.56</x:v>
      </x:c>
      <x:c r="N416" s="81" t="n">
        <x:v>922.08</x:v>
      </x:c>
      <x:c r="O416" s="81" t="n">
        <x:v>1000</x:v>
      </x:c>
      <x:c r="P416" s="81" t="n">
        <x:v>94</x:v>
      </x:c>
      <x:c r="Q416" s="81" t="n">
        <x:v>95</x:v>
      </x:c>
      <x:c r="R416" s="81" t="n">
        <x:v>72</x:v>
      </x:c>
      <x:c r="S416" s="81" t="n">
        <x:v>75</x:v>
      </x:c>
      <x:c r="T416" s="81" t="n">
        <x:v>1</x:v>
      </x:c>
      <x:c r="U416" s="81" t="n">
        <x:v>1</x:v>
      </x:c>
      <x:c r="V416" s="80"/>
      <x:c r="W416" s="81" t="n">
        <x:f>IF(COUNTA(P416:S416)=4,AVERAGE(P416:S416),"")</x:f>
        <x:v>84</x:v>
      </x:c>
      <x:c r="X416" s="81" t="n">
        <x:f>IF(V416&lt;&gt;"",V416,W416)</x:f>
        <x:v>84</x:v>
      </x:c>
      <x:c r="Y416" s="80" t="str">
        <x:v>파생 단순평균(참고)</x:v>
      </x:c>
      <x:c r="Z416" s="81" t="n">
        <x:v>80</x:v>
      </x:c>
      <x:c r="AA416" s="81" t="n">
        <x:f>IF(X416&lt;&gt;"",Z416-X416,"")</x:f>
        <x:v>-4</x:v>
      </x:c>
      <x:c r="AB416" s="80" t="str">
        <x:f>IF(AA416="","",IF(AA416&gt;=5,"안정",IF(AA416&gt;=1,"적정",IF(AA416&gt;=-2,"소신","상향"))))</x:f>
        <x:v>상향</x:v>
      </x:c>
      <x:c r="AC416" s="82" t="n">
        <x:v>17</x:v>
      </x:c>
      <x:c r="AD416" s="82" t="n">
        <x:v>73</x:v>
      </x:c>
      <x:c r="AE416" s="82" t="n">
        <x:v>10</x:v>
      </x:c>
      <x:c r="AF416" s="80" t="str">
        <x:v>B: 공식 과목별 70% 백분위 → 단순평균 파생</x:v>
      </x:c>
      <x:c r="AG416" s="80" t="str">
        <x:v>https://www.adiga.kr/ucp/uvt/uni/univDetailSelection.do?menuId=PCUVTINF2000&amp;searchSyr=2026&amp;unvCd=0000040</x:v>
      </x:c>
    </x:row>
    <x:row r="417">
      <x:c r="A417" s="80" t="n">
        <x:v>2025</x:v>
      </x:c>
      <x:c r="B417" s="80" t="str">
        <x:v>서울특별시</x:v>
      </x:c>
      <x:c r="C417" s="80" t="str">
        <x:v>공립</x:v>
      </x:c>
      <x:c r="D417" s="80" t="str">
        <x:v>서울시립대학교</x:v>
      </x:c>
      <x:c r="E417" s="80" t="str">
        <x:v>나</x:v>
      </x:c>
      <x:c r="F417" s="80" t="str">
        <x:v>일반전형</x:v>
      </x:c>
      <x:c r="G417" s="80" t="str">
        <x:v>사회복지학과</x:v>
      </x:c>
      <x:c r="H417" s="80" t="n">
        <x:v>13</x:v>
      </x:c>
      <x:c r="I417" s="80" t="n">
        <x:v>0</x:v>
      </x:c>
      <x:c r="J417" s="80" t="n">
        <x:v>13</x:v>
      </x:c>
      <x:c r="K417" s="81" t="n">
        <x:v>3.62</x:v>
      </x:c>
      <x:c r="L417" s="81" t="n">
        <x:v>21</x:v>
      </x:c>
      <x:c r="M417" s="81" t="n">
        <x:v>919.05</x:v>
      </x:c>
      <x:c r="N417" s="81" t="n">
        <x:v>904.94</x:v>
      </x:c>
      <x:c r="O417" s="81" t="n">
        <x:v>1000</x:v>
      </x:c>
      <x:c r="P417" s="81" t="n">
        <x:v>99</x:v>
      </x:c>
      <x:c r="Q417" s="81" t="n">
        <x:v>66</x:v>
      </x:c>
      <x:c r="R417" s="81" t="n">
        <x:v>92</x:v>
      </x:c>
      <x:c r="S417" s="81" t="n">
        <x:v>88</x:v>
      </x:c>
      <x:c r="T417" s="81" t="n">
        <x:v>5</x:v>
      </x:c>
      <x:c r="U417" s="81" t="n">
        <x:v>1</x:v>
      </x:c>
      <x:c r="V417" s="80"/>
      <x:c r="W417" s="81" t="n">
        <x:f>IF(COUNTA(P417:S417)=4,AVERAGE(P417:S417),"")</x:f>
        <x:v>86.25</x:v>
      </x:c>
      <x:c r="X417" s="81" t="n">
        <x:f>IF(V417&lt;&gt;"",V417,W417)</x:f>
        <x:v>86.25</x:v>
      </x:c>
      <x:c r="Y417" s="80" t="str">
        <x:v>파생 단순평균(참고)</x:v>
      </x:c>
      <x:c r="Z417" s="81" t="n">
        <x:v>80</x:v>
      </x:c>
      <x:c r="AA417" s="81" t="n">
        <x:f>IF(X417&lt;&gt;"",Z417-X417,"")</x:f>
        <x:v>-6.25</x:v>
      </x:c>
      <x:c r="AB417" s="80" t="str">
        <x:f>IF(AA417="","",IF(AA417&gt;=5,"안정",IF(AA417&gt;=1,"적정",IF(AA417&gt;=-2,"소신","상향"))))</x:f>
        <x:v>상향</x:v>
      </x:c>
      <x:c r="AC417" s="82" t="n">
        <x:v>77</x:v>
      </x:c>
      <x:c r="AD417" s="82" t="n">
        <x:v>23</x:v>
      </x:c>
      <x:c r="AE417" s="82" t="n">
        <x:v>0</x:v>
      </x:c>
      <x:c r="AF417" s="80" t="str">
        <x:v>B: 공식 과목별 70% 백분위 → 단순평균 파생</x:v>
      </x:c>
      <x:c r="AG417" s="80" t="str">
        <x:v>https://www.adiga.kr/ucp/uvt/uni/univDetailSelection.do?menuId=PCUVTINF2000&amp;searchSyr=2026&amp;unvCd=0000040</x:v>
      </x:c>
    </x:row>
    <x:row r="418">
      <x:c r="A418" s="80" t="n">
        <x:v>2025</x:v>
      </x:c>
      <x:c r="B418" s="80" t="str">
        <x:v>서울특별시</x:v>
      </x:c>
      <x:c r="C418" s="80" t="str">
        <x:v>공립</x:v>
      </x:c>
      <x:c r="D418" s="80" t="str">
        <x:v>서울시립대학교</x:v>
      </x:c>
      <x:c r="E418" s="80" t="str">
        <x:v>나</x:v>
      </x:c>
      <x:c r="F418" s="80" t="str">
        <x:v>일반전형</x:v>
      </x:c>
      <x:c r="G418" s="80" t="str">
        <x:v>세무학과</x:v>
      </x:c>
      <x:c r="H418" s="80" t="n">
        <x:v>29</x:v>
      </x:c>
      <x:c r="I418" s="80" t="n">
        <x:v>0</x:v>
      </x:c>
      <x:c r="J418" s="80" t="n">
        <x:v>29</x:v>
      </x:c>
      <x:c r="K418" s="81" t="n">
        <x:v>2.86</x:v>
      </x:c>
      <x:c r="L418" s="81" t="n">
        <x:v>24</x:v>
      </x:c>
      <x:c r="M418" s="81" t="n">
        <x:v>930.32</x:v>
      </x:c>
      <x:c r="N418" s="81" t="n">
        <x:v>929.42</x:v>
      </x:c>
      <x:c r="O418" s="81" t="n">
        <x:v>1000</x:v>
      </x:c>
      <x:c r="P418" s="81" t="n">
        <x:v>99</x:v>
      </x:c>
      <x:c r="Q418" s="81" t="n">
        <x:v>92</x:v>
      </x:c>
      <x:c r="R418" s="81" t="n">
        <x:v>90</x:v>
      </x:c>
      <x:c r="S418" s="81" t="n">
        <x:v>67</x:v>
      </x:c>
      <x:c r="T418" s="81" t="n">
        <x:v>2</x:v>
      </x:c>
      <x:c r="U418" s="81" t="n">
        <x:v>2</x:v>
      </x:c>
      <x:c r="V418" s="80"/>
      <x:c r="W418" s="81" t="n">
        <x:f>IF(COUNTA(P418:S418)=4,AVERAGE(P418:S418),"")</x:f>
        <x:v>87</x:v>
      </x:c>
      <x:c r="X418" s="81" t="n">
        <x:f>IF(V418&lt;&gt;"",V418,W418)</x:f>
        <x:v>87</x:v>
      </x:c>
      <x:c r="Y418" s="80" t="str">
        <x:v>파생 단순평균(참고)</x:v>
      </x:c>
      <x:c r="Z418" s="81" t="n">
        <x:v>80</x:v>
      </x:c>
      <x:c r="AA418" s="81" t="n">
        <x:f>IF(X418&lt;&gt;"",Z418-X418,"")</x:f>
        <x:v>-7</x:v>
      </x:c>
      <x:c r="AB418" s="80" t="str">
        <x:f>IF(AA418="","",IF(AA418&gt;=5,"안정",IF(AA418&gt;=1,"적정",IF(AA418&gt;=-2,"소신","상향"))))</x:f>
        <x:v>상향</x:v>
      </x:c>
      <x:c r="AC418" s="82" t="n">
        <x:v>30</x:v>
      </x:c>
      <x:c r="AD418" s="82" t="n">
        <x:v>70</x:v>
      </x:c>
      <x:c r="AE418" s="82" t="n">
        <x:v>0</x:v>
      </x:c>
      <x:c r="AF418" s="80" t="str">
        <x:v>B: 공식 과목별 70% 백분위 → 단순평균 파생</x:v>
      </x:c>
      <x:c r="AG418" s="80" t="str">
        <x:v>https://www.adiga.kr/ucp/uvt/uni/univDetailSelection.do?menuId=PCUVTINF2000&amp;searchSyr=2026&amp;unvCd=0000040</x:v>
      </x:c>
    </x:row>
    <x:row r="419">
      <x:c r="A419" s="80" t="n">
        <x:v>2025</x:v>
      </x:c>
      <x:c r="B419" s="80" t="str">
        <x:v>서울특별시</x:v>
      </x:c>
      <x:c r="C419" s="80" t="str">
        <x:v>공립</x:v>
      </x:c>
      <x:c r="D419" s="80" t="str">
        <x:v>서울시립대학교</x:v>
      </x:c>
      <x:c r="E419" s="80" t="str">
        <x:v>나</x:v>
      </x:c>
      <x:c r="F419" s="80" t="str">
        <x:v>일반전형</x:v>
      </x:c>
      <x:c r="G419" s="80" t="str">
        <x:v>경영학부</x:v>
      </x:c>
      <x:c r="H419" s="80" t="n">
        <x:v>78</x:v>
      </x:c>
      <x:c r="I419" s="80" t="n">
        <x:v>1</x:v>
      </x:c>
      <x:c r="J419" s="80" t="n">
        <x:v>79</x:v>
      </x:c>
      <x:c r="K419" s="81" t="n">
        <x:v>3.29</x:v>
      </x:c>
      <x:c r="L419" s="81" t="n">
        <x:v>65</x:v>
      </x:c>
      <x:c r="M419" s="81" t="n">
        <x:v>923.52</x:v>
      </x:c>
      <x:c r="N419" s="81" t="n">
        <x:v>922.67</x:v>
      </x:c>
      <x:c r="O419" s="81" t="n">
        <x:v>1000</x:v>
      </x:c>
      <x:c r="P419" s="81" t="n">
        <x:v>98</x:v>
      </x:c>
      <x:c r="Q419" s="81" t="n">
        <x:v>92</x:v>
      </x:c>
      <x:c r="R419" s="81" t="n">
        <x:v>77</x:v>
      </x:c>
      <x:c r="S419" s="81" t="n">
        <x:v>80</x:v>
      </x:c>
      <x:c r="T419" s="81" t="n">
        <x:v>3</x:v>
      </x:c>
      <x:c r="U419" s="81" t="n">
        <x:v>1</x:v>
      </x:c>
      <x:c r="V419" s="80"/>
      <x:c r="W419" s="81" t="n">
        <x:f>IF(COUNTA(P419:S419)=4,AVERAGE(P419:S419),"")</x:f>
        <x:v>86.75</x:v>
      </x:c>
      <x:c r="X419" s="81" t="n">
        <x:f>IF(V419&lt;&gt;"",V419,W419)</x:f>
        <x:v>86.75</x:v>
      </x:c>
      <x:c r="Y419" s="80" t="str">
        <x:v>파생 단순평균(참고)</x:v>
      </x:c>
      <x:c r="Z419" s="81" t="n">
        <x:v>80</x:v>
      </x:c>
      <x:c r="AA419" s="81" t="n">
        <x:f>IF(X419&lt;&gt;"",Z419-X419,"")</x:f>
        <x:v>-6.75</x:v>
      </x:c>
      <x:c r="AB419" s="80" t="str">
        <x:f>IF(AA419="","",IF(AA419&gt;=5,"안정",IF(AA419&gt;=1,"적정",IF(AA419&gt;=-2,"소신","상향"))))</x:f>
        <x:v>상향</x:v>
      </x:c>
      <x:c r="AC419" s="82" t="n">
        <x:v>7</x:v>
      </x:c>
      <x:c r="AD419" s="82" t="n">
        <x:v>91</x:v>
      </x:c>
      <x:c r="AE419" s="82" t="n">
        <x:v>3</x:v>
      </x:c>
      <x:c r="AF419" s="80" t="str">
        <x:v>B: 공식 과목별 70% 백분위 → 단순평균 파생</x:v>
      </x:c>
      <x:c r="AG419" s="80" t="str">
        <x:v>https://www.adiga.kr/ucp/uvt/uni/univDetailSelection.do?menuId=PCUVTINF2000&amp;searchSyr=2026&amp;unvCd=0000040</x:v>
      </x:c>
    </x:row>
    <x:row r="420">
      <x:c r="A420" s="80" t="n">
        <x:v>2025</x:v>
      </x:c>
      <x:c r="B420" s="80" t="str">
        <x:v>서울특별시</x:v>
      </x:c>
      <x:c r="C420" s="80" t="str">
        <x:v>공립</x:v>
      </x:c>
      <x:c r="D420" s="80" t="str">
        <x:v>서울시립대학교</x:v>
      </x:c>
      <x:c r="E420" s="80" t="str">
        <x:v>나</x:v>
      </x:c>
      <x:c r="F420" s="80" t="str">
        <x:v>일반전형</x:v>
      </x:c>
      <x:c r="G420" s="80" t="str">
        <x:v>영어영문학과</x:v>
      </x:c>
      <x:c r="H420" s="80" t="n">
        <x:v>10</x:v>
      </x:c>
      <x:c r="I420" s="80" t="n">
        <x:v>2</x:v>
      </x:c>
      <x:c r="J420" s="80" t="n">
        <x:v>12</x:v>
      </x:c>
      <x:c r="K420" s="81" t="n">
        <x:v>5.33</x:v>
      </x:c>
      <x:c r="L420" s="81" t="n">
        <x:v>15</x:v>
      </x:c>
      <x:c r="M420" s="81" t="n">
        <x:v>927.77</x:v>
      </x:c>
      <x:c r="N420" s="81" t="n">
        <x:v>925.32</x:v>
      </x:c>
      <x:c r="O420" s="81" t="n">
        <x:v>1000</x:v>
      </x:c>
      <x:c r="P420" s="81" t="n">
        <x:v>94</x:v>
      </x:c>
      <x:c r="Q420" s="81" t="n">
        <x:v>81</x:v>
      </x:c>
      <x:c r="R420" s="81" t="n">
        <x:v>83</x:v>
      </x:c>
      <x:c r="S420" s="81" t="n">
        <x:v>98</x:v>
      </x:c>
      <x:c r="T420" s="81" t="n">
        <x:v>2</x:v>
      </x:c>
      <x:c r="U420" s="81" t="n">
        <x:v>2</x:v>
      </x:c>
      <x:c r="V420" s="80"/>
      <x:c r="W420" s="81" t="n">
        <x:f>IF(COUNTA(P420:S420)=4,AVERAGE(P420:S420),"")</x:f>
        <x:v>89</x:v>
      </x:c>
      <x:c r="X420" s="81" t="n">
        <x:f>IF(V420&lt;&gt;"",V420,W420)</x:f>
        <x:v>89</x:v>
      </x:c>
      <x:c r="Y420" s="80" t="str">
        <x:v>파생 단순평균(참고)</x:v>
      </x:c>
      <x:c r="Z420" s="81" t="n">
        <x:v>80</x:v>
      </x:c>
      <x:c r="AA420" s="81" t="n">
        <x:f>IF(X420&lt;&gt;"",Z420-X420,"")</x:f>
        <x:v>-9</x:v>
      </x:c>
      <x:c r="AB420" s="80" t="str">
        <x:f>IF(AA420="","",IF(AA420&gt;=5,"안정",IF(AA420&gt;=1,"적정",IF(AA420&gt;=-2,"소신","상향"))))</x:f>
        <x:v>상향</x:v>
      </x:c>
      <x:c r="AC420" s="82" t="n">
        <x:v>50</x:v>
      </x:c>
      <x:c r="AD420" s="82" t="n">
        <x:v>50</x:v>
      </x:c>
      <x:c r="AE420" s="82" t="n">
        <x:v>0</x:v>
      </x:c>
      <x:c r="AF420" s="80" t="str">
        <x:v>B: 공식 과목별 70% 백분위 → 단순평균 파생</x:v>
      </x:c>
      <x:c r="AG420" s="80" t="str">
        <x:v>https://www.adiga.kr/ucp/uvt/uni/univDetailSelection.do?menuId=PCUVTINF2000&amp;searchSyr=2026&amp;unvCd=0000040</x:v>
      </x:c>
    </x:row>
    <x:row r="421">
      <x:c r="A421" s="80" t="n">
        <x:v>2025</x:v>
      </x:c>
      <x:c r="B421" s="80" t="str">
        <x:v>서울특별시</x:v>
      </x:c>
      <x:c r="C421" s="80" t="str">
        <x:v>공립</x:v>
      </x:c>
      <x:c r="D421" s="80" t="str">
        <x:v>서울시립대학교</x:v>
      </x:c>
      <x:c r="E421" s="80" t="str">
        <x:v>나</x:v>
      </x:c>
      <x:c r="F421" s="80" t="str">
        <x:v>일반전형</x:v>
      </x:c>
      <x:c r="G421" s="80" t="str">
        <x:v>국어국문학과</x:v>
      </x:c>
      <x:c r="H421" s="80" t="n">
        <x:v>9</x:v>
      </x:c>
      <x:c r="I421" s="80" t="n">
        <x:v>0</x:v>
      </x:c>
      <x:c r="J421" s="80" t="n">
        <x:v>9</x:v>
      </x:c>
      <x:c r="K421" s="81" t="n">
        <x:v>6.11</x:v>
      </x:c>
      <x:c r="L421" s="81" t="n">
        <x:v>12</x:v>
      </x:c>
      <x:c r="M421" s="81" t="n">
        <x:v>928.38</x:v>
      </x:c>
      <x:c r="N421" s="81" t="n">
        <x:v>927.27</x:v>
      </x:c>
      <x:c r="O421" s="81" t="n">
        <x:v>1000</x:v>
      </x:c>
      <x:c r="P421" s="81" t="n">
        <x:v>99</x:v>
      </x:c>
      <x:c r="Q421" s="81" t="n">
        <x:v>74</x:v>
      </x:c>
      <x:c r="R421" s="81" t="n">
        <x:v>88</x:v>
      </x:c>
      <x:c r="S421" s="81" t="n">
        <x:v>85</x:v>
      </x:c>
      <x:c r="T421" s="81" t="n">
        <x:v>3</x:v>
      </x:c>
      <x:c r="U421" s="81" t="n">
        <x:v>2</x:v>
      </x:c>
      <x:c r="V421" s="80"/>
      <x:c r="W421" s="81" t="n">
        <x:f>IF(COUNTA(P421:S421)=4,AVERAGE(P421:S421),"")</x:f>
        <x:v>86.5</x:v>
      </x:c>
      <x:c r="X421" s="81" t="n">
        <x:f>IF(V421&lt;&gt;"",V421,W421)</x:f>
        <x:v>86.5</x:v>
      </x:c>
      <x:c r="Y421" s="80" t="str">
        <x:v>파생 단순평균(참고)</x:v>
      </x:c>
      <x:c r="Z421" s="81" t="n">
        <x:v>80</x:v>
      </x:c>
      <x:c r="AA421" s="81" t="n">
        <x:f>IF(X421&lt;&gt;"",Z421-X421,"")</x:f>
        <x:v>-6.5</x:v>
      </x:c>
      <x:c r="AB421" s="80" t="str">
        <x:f>IF(AA421="","",IF(AA421&gt;=5,"안정",IF(AA421&gt;=1,"적정",IF(AA421&gt;=-2,"소신","상향"))))</x:f>
        <x:v>상향</x:v>
      </x:c>
      <x:c r="AC421" s="82" t="n">
        <x:v>38</x:v>
      </x:c>
      <x:c r="AD421" s="82" t="n">
        <x:v>63</x:v>
      </x:c>
      <x:c r="AE421" s="82" t="n">
        <x:v>0</x:v>
      </x:c>
      <x:c r="AF421" s="80" t="str">
        <x:v>B: 공식 과목별 70% 백분위 → 단순평균 파생</x:v>
      </x:c>
      <x:c r="AG421" s="80" t="str">
        <x:v>https://www.adiga.kr/ucp/uvt/uni/univDetailSelection.do?menuId=PCUVTINF2000&amp;searchSyr=2026&amp;unvCd=0000040</x:v>
      </x:c>
    </x:row>
    <x:row r="422">
      <x:c r="A422" s="80" t="n">
        <x:v>2025</x:v>
      </x:c>
      <x:c r="B422" s="80" t="str">
        <x:v>서울특별시</x:v>
      </x:c>
      <x:c r="C422" s="80" t="str">
        <x:v>공립</x:v>
      </x:c>
      <x:c r="D422" s="80" t="str">
        <x:v>서울시립대학교</x:v>
      </x:c>
      <x:c r="E422" s="80" t="str">
        <x:v>나</x:v>
      </x:c>
      <x:c r="F422" s="80" t="str">
        <x:v>일반전형</x:v>
      </x:c>
      <x:c r="G422" s="80" t="str">
        <x:v>국사학과</x:v>
      </x:c>
      <x:c r="H422" s="80" t="n">
        <x:v>8</x:v>
      </x:c>
      <x:c r="I422" s="80" t="n">
        <x:v>0</x:v>
      </x:c>
      <x:c r="J422" s="80" t="n">
        <x:v>8</x:v>
      </x:c>
      <x:c r="K422" s="81" t="n">
        <x:v>6</x:v>
      </x:c>
      <x:c r="L422" s="81" t="n">
        <x:v>6</x:v>
      </x:c>
      <x:c r="M422" s="81" t="n">
        <x:v>926.62</x:v>
      </x:c>
      <x:c r="N422" s="81" t="n">
        <x:v>926.11</x:v>
      </x:c>
      <x:c r="O422" s="81" t="n">
        <x:v>1000</x:v>
      </x:c>
      <x:c r="P422" s="81" t="n">
        <x:v>99</x:v>
      </x:c>
      <x:c r="Q422" s="81" t="n">
        <x:v>78</x:v>
      </x:c>
      <x:c r="R422" s="81" t="n">
        <x:v>100</x:v>
      </x:c>
      <x:c r="S422" s="81" t="n">
        <x:v>89</x:v>
      </x:c>
      <x:c r="T422" s="81" t="n">
        <x:v>5</x:v>
      </x:c>
      <x:c r="U422" s="81" t="n">
        <x:v>1</x:v>
      </x:c>
      <x:c r="V422" s="80"/>
      <x:c r="W422" s="81" t="n">
        <x:f>IF(COUNTA(P422:S422)=4,AVERAGE(P422:S422),"")</x:f>
        <x:v>91.5</x:v>
      </x:c>
      <x:c r="X422" s="81" t="n">
        <x:f>IF(V422&lt;&gt;"",V422,W422)</x:f>
        <x:v>91.5</x:v>
      </x:c>
      <x:c r="Y422" s="80" t="str">
        <x:v>파생 단순평균(참고)</x:v>
      </x:c>
      <x:c r="Z422" s="81" t="n">
        <x:v>80</x:v>
      </x:c>
      <x:c r="AA422" s="81" t="n">
        <x:f>IF(X422&lt;&gt;"",Z422-X422,"")</x:f>
        <x:v>-11.5</x:v>
      </x:c>
      <x:c r="AB422" s="80" t="str">
        <x:f>IF(AA422="","",IF(AA422&gt;=5,"안정",IF(AA422&gt;=1,"적정",IF(AA422&gt;=-2,"소신","상향"))))</x:f>
        <x:v>상향</x:v>
      </x:c>
      <x:c r="AC422" s="82" t="n">
        <x:v>50</x:v>
      </x:c>
      <x:c r="AD422" s="82" t="n">
        <x:v>50</x:v>
      </x:c>
      <x:c r="AE422" s="82" t="n">
        <x:v>0</x:v>
      </x:c>
      <x:c r="AF422" s="80" t="str">
        <x:v>B: 공식 과목별 70% 백분위 → 단순평균 파생</x:v>
      </x:c>
      <x:c r="AG422" s="80" t="str">
        <x:v>https://www.adiga.kr/ucp/uvt/uni/univDetailSelection.do?menuId=PCUVTINF2000&amp;searchSyr=2026&amp;unvCd=0000040</x:v>
      </x:c>
    </x:row>
    <x:row r="423">
      <x:c r="A423" s="80" t="n">
        <x:v>2025</x:v>
      </x:c>
      <x:c r="B423" s="80" t="str">
        <x:v>서울특별시</x:v>
      </x:c>
      <x:c r="C423" s="80" t="str">
        <x:v>공립</x:v>
      </x:c>
      <x:c r="D423" s="80" t="str">
        <x:v>서울시립대학교</x:v>
      </x:c>
      <x:c r="E423" s="80" t="str">
        <x:v>나</x:v>
      </x:c>
      <x:c r="F423" s="80" t="str">
        <x:v>일반전형</x:v>
      </x:c>
      <x:c r="G423" s="80" t="str">
        <x:v>철학과</x:v>
      </x:c>
      <x:c r="H423" s="80" t="n">
        <x:v>9</x:v>
      </x:c>
      <x:c r="I423" s="80" t="n">
        <x:v>0</x:v>
      </x:c>
      <x:c r="J423" s="80" t="n">
        <x:v>9</x:v>
      </x:c>
      <x:c r="K423" s="81" t="n">
        <x:v>6.44</x:v>
      </x:c>
      <x:c r="L423" s="81" t="n">
        <x:v>12</x:v>
      </x:c>
      <x:c r="M423" s="81" t="n">
        <x:v>928.61</x:v>
      </x:c>
      <x:c r="N423" s="81" t="n">
        <x:v>926.8</x:v>
      </x:c>
      <x:c r="O423" s="81" t="n">
        <x:v>1000</x:v>
      </x:c>
      <x:c r="P423" s="81" t="n">
        <x:v>93</x:v>
      </x:c>
      <x:c r="Q423" s="81" t="n">
        <x:v>92</x:v>
      </x:c>
      <x:c r="R423" s="81" t="n">
        <x:v>95</x:v>
      </x:c>
      <x:c r="S423" s="81" t="n">
        <x:v>71</x:v>
      </x:c>
      <x:c r="T423" s="81" t="n">
        <x:v>2</x:v>
      </x:c>
      <x:c r="U423" s="81" t="n">
        <x:v>1</x:v>
      </x:c>
      <x:c r="V423" s="80"/>
      <x:c r="W423" s="81" t="n">
        <x:f>IF(COUNTA(P423:S423)=4,AVERAGE(P423:S423),"")</x:f>
        <x:v>87.75</x:v>
      </x:c>
      <x:c r="X423" s="81" t="n">
        <x:f>IF(V423&lt;&gt;"",V423,W423)</x:f>
        <x:v>87.75</x:v>
      </x:c>
      <x:c r="Y423" s="80" t="str">
        <x:v>파생 단순평균(참고)</x:v>
      </x:c>
      <x:c r="Z423" s="81" t="n">
        <x:v>80</x:v>
      </x:c>
      <x:c r="AA423" s="81" t="n">
        <x:f>IF(X423&lt;&gt;"",Z423-X423,"")</x:f>
        <x:v>-7.75</x:v>
      </x:c>
      <x:c r="AB423" s="80" t="str">
        <x:f>IF(AA423="","",IF(AA423&gt;=5,"안정",IF(AA423&gt;=1,"적정",IF(AA423&gt;=-2,"소신","상향"))))</x:f>
        <x:v>상향</x:v>
      </x:c>
      <x:c r="AC423" s="82" t="n">
        <x:v>38</x:v>
      </x:c>
      <x:c r="AD423" s="82" t="n">
        <x:v>50</x:v>
      </x:c>
      <x:c r="AE423" s="82" t="n">
        <x:v>13</x:v>
      </x:c>
      <x:c r="AF423" s="80" t="str">
        <x:v>B: 공식 과목별 70% 백분위 → 단순평균 파생</x:v>
      </x:c>
      <x:c r="AG423" s="80" t="str">
        <x:v>https://www.adiga.kr/ucp/uvt/uni/univDetailSelection.do?menuId=PCUVTINF2000&amp;searchSyr=2026&amp;unvCd=0000040</x:v>
      </x:c>
    </x:row>
    <x:row r="424">
      <x:c r="A424" s="80" t="n">
        <x:v>2025</x:v>
      </x:c>
      <x:c r="B424" s="80" t="str">
        <x:v>서울특별시</x:v>
      </x:c>
      <x:c r="C424" s="80" t="str">
        <x:v>공립</x:v>
      </x:c>
      <x:c r="D424" s="80" t="str">
        <x:v>서울시립대학교</x:v>
      </x:c>
      <x:c r="E424" s="80" t="str">
        <x:v>나</x:v>
      </x:c>
      <x:c r="F424" s="80" t="str">
        <x:v>일반전형</x:v>
      </x:c>
      <x:c r="G424" s="80" t="str">
        <x:v>중국어문화학과</x:v>
      </x:c>
      <x:c r="H424" s="80" t="n">
        <x:v>8</x:v>
      </x:c>
      <x:c r="I424" s="80" t="n">
        <x:v>1</x:v>
      </x:c>
      <x:c r="J424" s="80" t="n">
        <x:v>9</x:v>
      </x:c>
      <x:c r="K424" s="81" t="n">
        <x:v>4</x:v>
      </x:c>
      <x:c r="L424" s="81" t="n">
        <x:v>2</x:v>
      </x:c>
      <x:c r="M424" s="81" t="n">
        <x:v>927.28</x:v>
      </x:c>
      <x:c r="N424" s="81" t="n">
        <x:v>926.59</x:v>
      </x:c>
      <x:c r="O424" s="81" t="n">
        <x:v>1000</x:v>
      </x:c>
      <x:c r="P424" s="81" t="n">
        <x:v>100</x:v>
      </x:c>
      <x:c r="Q424" s="81" t="n">
        <x:v>63</x:v>
      </x:c>
      <x:c r="R424" s="81" t="n">
        <x:v>59</x:v>
      </x:c>
      <x:c r="S424" s="81" t="n">
        <x:v>95</x:v>
      </x:c>
      <x:c r="T424" s="81" t="n">
        <x:v>2</x:v>
      </x:c>
      <x:c r="U424" s="81" t="n">
        <x:v>2</x:v>
      </x:c>
      <x:c r="V424" s="80"/>
      <x:c r="W424" s="81" t="n">
        <x:f>IF(COUNTA(P424:S424)=4,AVERAGE(P424:S424),"")</x:f>
        <x:v>79.25</x:v>
      </x:c>
      <x:c r="X424" s="81" t="n">
        <x:f>IF(V424&lt;&gt;"",V424,W424)</x:f>
        <x:v>79.25</x:v>
      </x:c>
      <x:c r="Y424" s="80" t="str">
        <x:v>파생 단순평균(참고)</x:v>
      </x:c>
      <x:c r="Z424" s="81" t="n">
        <x:v>80</x:v>
      </x:c>
      <x:c r="AA424" s="81" t="n">
        <x:f>IF(X424&lt;&gt;"",Z424-X424,"")</x:f>
        <x:v>0.75</x:v>
      </x:c>
      <x:c r="AB424" s="80" t="str">
        <x:f>IF(AA424="","",IF(AA424&gt;=5,"안정",IF(AA424&gt;=1,"적정",IF(AA424&gt;=-2,"소신","상향"))))</x:f>
        <x:v>소신</x:v>
      </x:c>
      <x:c r="AC424" s="82" t="n">
        <x:v>44</x:v>
      </x:c>
      <x:c r="AD424" s="82" t="n">
        <x:v>56</x:v>
      </x:c>
      <x:c r="AE424" s="82" t="n">
        <x:v>0</x:v>
      </x:c>
      <x:c r="AF424" s="80" t="str">
        <x:v>B: 공식 과목별 70% 백분위 → 단순평균 파생</x:v>
      </x:c>
      <x:c r="AG424" s="80" t="str">
        <x:v>https://www.adiga.kr/ucp/uvt/uni/univDetailSelection.do?menuId=PCUVTINF2000&amp;searchSyr=2026&amp;unvCd=0000040</x:v>
      </x:c>
    </x:row>
    <x:row r="425">
      <x:c r="A425" s="80" t="n">
        <x:v>2025</x:v>
      </x:c>
      <x:c r="B425" s="80" t="str">
        <x:v>서울특별시</x:v>
      </x:c>
      <x:c r="C425" s="80" t="str">
        <x:v>공립</x:v>
      </x:c>
      <x:c r="D425" s="80" t="str">
        <x:v>서울시립대학교</x:v>
      </x:c>
      <x:c r="E425" s="80" t="str">
        <x:v>나</x:v>
      </x:c>
      <x:c r="F425" s="80" t="str">
        <x:v>일반전형</x:v>
      </x:c>
      <x:c r="G425" s="80" t="str">
        <x:v>도시사회학과</x:v>
      </x:c>
      <x:c r="H425" s="80" t="n">
        <x:v>12</x:v>
      </x:c>
      <x:c r="I425" s="80" t="n">
        <x:v>0</x:v>
      </x:c>
      <x:c r="J425" s="80" t="n">
        <x:v>12</x:v>
      </x:c>
      <x:c r="K425" s="81" t="n">
        <x:v>4.08</x:v>
      </x:c>
      <x:c r="L425" s="81" t="n">
        <x:v>13</x:v>
      </x:c>
      <x:c r="M425" s="81" t="n">
        <x:v>922.75</x:v>
      </x:c>
      <x:c r="N425" s="81" t="n">
        <x:v>920.62</x:v>
      </x:c>
      <x:c r="O425" s="81" t="n">
        <x:v>1000</x:v>
      </x:c>
      <x:c r="P425" s="81" t="n">
        <x:v>97</x:v>
      </x:c>
      <x:c r="Q425" s="81" t="n">
        <x:v>63</x:v>
      </x:c>
      <x:c r="R425" s="81" t="n">
        <x:v>100</x:v>
      </x:c>
      <x:c r="S425" s="81" t="n">
        <x:v>93</x:v>
      </x:c>
      <x:c r="T425" s="81" t="n">
        <x:v>1</x:v>
      </x:c>
      <x:c r="U425" s="81" t="n">
        <x:v>1</x:v>
      </x:c>
      <x:c r="V425" s="80"/>
      <x:c r="W425" s="81" t="n">
        <x:f>IF(COUNTA(P425:S425)=4,AVERAGE(P425:S425),"")</x:f>
        <x:v>88.25</x:v>
      </x:c>
      <x:c r="X425" s="81" t="n">
        <x:f>IF(V425&lt;&gt;"",V425,W425)</x:f>
        <x:v>88.25</x:v>
      </x:c>
      <x:c r="Y425" s="80" t="str">
        <x:v>파생 단순평균(참고)</x:v>
      </x:c>
      <x:c r="Z425" s="81" t="n">
        <x:v>80</x:v>
      </x:c>
      <x:c r="AA425" s="81" t="n">
        <x:f>IF(X425&lt;&gt;"",Z425-X425,"")</x:f>
        <x:v>-8.25</x:v>
      </x:c>
      <x:c r="AB425" s="80" t="str">
        <x:f>IF(AA425="","",IF(AA425&gt;=5,"안정",IF(AA425&gt;=1,"적정",IF(AA425&gt;=-2,"소신","상향"))))</x:f>
        <x:v>상향</x:v>
      </x:c>
      <x:c r="AC425" s="82" t="n">
        <x:v>83</x:v>
      </x:c>
      <x:c r="AD425" s="82" t="n">
        <x:v>17</x:v>
      </x:c>
      <x:c r="AE425" s="82" t="n">
        <x:v>0</x:v>
      </x:c>
      <x:c r="AF425" s="80" t="str">
        <x:v>B: 공식 과목별 70% 백분위 → 단순평균 파생</x:v>
      </x:c>
      <x:c r="AG425" s="80" t="str">
        <x:v>https://www.adiga.kr/ucp/uvt/uni/univDetailSelection.do?menuId=PCUVTINF2000&amp;searchSyr=2026&amp;unvCd=0000040</x:v>
      </x:c>
    </x:row>
    <x:row r="426">
      <x:c r="A426" s="80" t="n">
        <x:v>2025</x:v>
      </x:c>
      <x:c r="B426" s="80" t="str">
        <x:v>서울특별시</x:v>
      </x:c>
      <x:c r="C426" s="80" t="str">
        <x:v>공립</x:v>
      </x:c>
      <x:c r="D426" s="80" t="str">
        <x:v>서울시립대학교</x:v>
      </x:c>
      <x:c r="E426" s="80" t="str">
        <x:v>나</x:v>
      </x:c>
      <x:c r="F426" s="80" t="str">
        <x:v>일반전형</x:v>
      </x:c>
      <x:c r="G426" s="80" t="str">
        <x:v>전자전기컴퓨터공학부</x:v>
      </x:c>
      <x:c r="H426" s="80" t="n">
        <x:v>58</x:v>
      </x:c>
      <x:c r="I426" s="80" t="n">
        <x:v>0</x:v>
      </x:c>
      <x:c r="J426" s="80" t="n">
        <x:v>58</x:v>
      </x:c>
      <x:c r="K426" s="81" t="n">
        <x:v>3.9</x:v>
      </x:c>
      <x:c r="L426" s="81" t="n">
        <x:v>89</x:v>
      </x:c>
      <x:c r="M426" s="81" t="n">
        <x:v>940.74</x:v>
      </x:c>
      <x:c r="N426" s="81" t="n">
        <x:v>938.43</x:v>
      </x:c>
      <x:c r="O426" s="81" t="n">
        <x:v>1000</x:v>
      </x:c>
      <x:c r="P426" s="81" t="n">
        <x:v>82</x:v>
      </x:c>
      <x:c r="Q426" s="81" t="n">
        <x:v>98</x:v>
      </x:c>
      <x:c r="R426" s="81" t="n">
        <x:v>88</x:v>
      </x:c>
      <x:c r="S426" s="81" t="n">
        <x:v>91</x:v>
      </x:c>
      <x:c r="T426" s="81" t="n">
        <x:v>3</x:v>
      </x:c>
      <x:c r="U426" s="81" t="n">
        <x:v>2</x:v>
      </x:c>
      <x:c r="V426" s="80"/>
      <x:c r="W426" s="81" t="n">
        <x:f>IF(COUNTA(P426:S426)=4,AVERAGE(P426:S426),"")</x:f>
        <x:v>89.75</x:v>
      </x:c>
      <x:c r="X426" s="81" t="n">
        <x:f>IF(V426&lt;&gt;"",V426,W426)</x:f>
        <x:v>89.75</x:v>
      </x:c>
      <x:c r="Y426" s="80" t="str">
        <x:v>파생 단순평균(참고)</x:v>
      </x:c>
      <x:c r="Z426" s="81" t="n">
        <x:v>80</x:v>
      </x:c>
      <x:c r="AA426" s="81" t="n">
        <x:f>IF(X426&lt;&gt;"",Z426-X426,"")</x:f>
        <x:v>-9.75</x:v>
      </x:c>
      <x:c r="AB426" s="80" t="str">
        <x:f>IF(AA426="","",IF(AA426&gt;=5,"안정",IF(AA426&gt;=1,"적정",IF(AA426&gt;=-2,"소신","상향"))))</x:f>
        <x:v>상향</x:v>
      </x:c>
      <x:c r="AC426" s="82" t="n">
        <x:v>0</x:v>
      </x:c>
      <x:c r="AD426" s="82" t="n">
        <x:v>100</x:v>
      </x:c>
      <x:c r="AE426" s="82" t="n">
        <x:v>0</x:v>
      </x:c>
      <x:c r="AF426" s="80" t="str">
        <x:v>B: 공식 과목별 70% 백분위 → 단순평균 파생</x:v>
      </x:c>
      <x:c r="AG426" s="80" t="str">
        <x:v>https://www.adiga.kr/ucp/uvt/uni/univDetailSelection.do?menuId=PCUVTINF2000&amp;searchSyr=2026&amp;unvCd=0000040</x:v>
      </x:c>
    </x:row>
    <x:row r="427">
      <x:c r="A427" s="80" t="n">
        <x:v>2025</x:v>
      </x:c>
      <x:c r="B427" s="80" t="str">
        <x:v>서울특별시</x:v>
      </x:c>
      <x:c r="C427" s="80" t="str">
        <x:v>공립</x:v>
      </x:c>
      <x:c r="D427" s="80" t="str">
        <x:v>서울시립대학교</x:v>
      </x:c>
      <x:c r="E427" s="80" t="str">
        <x:v>나</x:v>
      </x:c>
      <x:c r="F427" s="80" t="str">
        <x:v>일반전형</x:v>
      </x:c>
      <x:c r="G427" s="80" t="str">
        <x:v>화학공학과</x:v>
      </x:c>
      <x:c r="H427" s="80" t="n">
        <x:v>17</x:v>
      </x:c>
      <x:c r="I427" s="80" t="n">
        <x:v>1</x:v>
      </x:c>
      <x:c r="J427" s="80" t="n">
        <x:v>18</x:v>
      </x:c>
      <x:c r="K427" s="81" t="n">
        <x:v>4.61</x:v>
      </x:c>
      <x:c r="L427" s="81" t="n">
        <x:v>22</x:v>
      </x:c>
      <x:c r="M427" s="81" t="n">
        <x:v>937.37</x:v>
      </x:c>
      <x:c r="N427" s="81" t="n">
        <x:v>936.33</x:v>
      </x:c>
      <x:c r="O427" s="81" t="n">
        <x:v>1000</x:v>
      </x:c>
      <x:c r="P427" s="81" t="n">
        <x:v>77</x:v>
      </x:c>
      <x:c r="Q427" s="81" t="n">
        <x:v>95</x:v>
      </x:c>
      <x:c r="R427" s="81" t="n">
        <x:v>94</x:v>
      </x:c>
      <x:c r="S427" s="81" t="n">
        <x:v>98</x:v>
      </x:c>
      <x:c r="T427" s="81" t="n">
        <x:v>2</x:v>
      </x:c>
      <x:c r="U427" s="81" t="n">
        <x:v>3</x:v>
      </x:c>
      <x:c r="V427" s="80"/>
      <x:c r="W427" s="81" t="n">
        <x:f>IF(COUNTA(P427:S427)=4,AVERAGE(P427:S427),"")</x:f>
        <x:v>91</x:v>
      </x:c>
      <x:c r="X427" s="81" t="n">
        <x:f>IF(V427&lt;&gt;"",V427,W427)</x:f>
        <x:v>91</x:v>
      </x:c>
      <x:c r="Y427" s="80" t="str">
        <x:v>파생 단순평균(참고)</x:v>
      </x:c>
      <x:c r="Z427" s="81" t="n">
        <x:v>80</x:v>
      </x:c>
      <x:c r="AA427" s="81" t="n">
        <x:f>IF(X427&lt;&gt;"",Z427-X427,"")</x:f>
        <x:v>-11</x:v>
      </x:c>
      <x:c r="AB427" s="80" t="str">
        <x:f>IF(AA427="","",IF(AA427&gt;=5,"안정",IF(AA427&gt;=1,"적정",IF(AA427&gt;=-2,"소신","상향"))))</x:f>
        <x:v>상향</x:v>
      </x:c>
      <x:c r="AC427" s="82" t="n">
        <x:v>0</x:v>
      </x:c>
      <x:c r="AD427" s="82" t="n">
        <x:v>94</x:v>
      </x:c>
      <x:c r="AE427" s="82" t="n">
        <x:v>6</x:v>
      </x:c>
      <x:c r="AF427" s="80" t="str">
        <x:v>B: 공식 과목별 70% 백분위 → 단순평균 파생</x:v>
      </x:c>
      <x:c r="AG427" s="80" t="str">
        <x:v>https://www.adiga.kr/ucp/uvt/uni/univDetailSelection.do?menuId=PCUVTINF2000&amp;searchSyr=2026&amp;unvCd=0000040</x:v>
      </x:c>
    </x:row>
    <x:row r="428">
      <x:c r="A428" s="80" t="n">
        <x:v>2025</x:v>
      </x:c>
      <x:c r="B428" s="80" t="str">
        <x:v>서울특별시</x:v>
      </x:c>
      <x:c r="C428" s="80" t="str">
        <x:v>공립</x:v>
      </x:c>
      <x:c r="D428" s="80" t="str">
        <x:v>서울시립대학교</x:v>
      </x:c>
      <x:c r="E428" s="80" t="str">
        <x:v>나</x:v>
      </x:c>
      <x:c r="F428" s="80" t="str">
        <x:v>일반전형</x:v>
      </x:c>
      <x:c r="G428" s="80" t="str">
        <x:v>기계정보공학과</x:v>
      </x:c>
      <x:c r="H428" s="80" t="n">
        <x:v>14</x:v>
      </x:c>
      <x:c r="I428" s="80" t="n">
        <x:v>1</x:v>
      </x:c>
      <x:c r="J428" s="80" t="n">
        <x:v>15</x:v>
      </x:c>
      <x:c r="K428" s="81" t="n">
        <x:v>5.07</x:v>
      </x:c>
      <x:c r="L428" s="81" t="n">
        <x:v>36</x:v>
      </x:c>
      <x:c r="M428" s="81" t="n">
        <x:v>937.37</x:v>
      </x:c>
      <x:c r="N428" s="81" t="n">
        <x:v>935.71</x:v>
      </x:c>
      <x:c r="O428" s="81" t="n">
        <x:v>1000</x:v>
      </x:c>
      <x:c r="P428" s="81" t="n">
        <x:v>88</x:v>
      </x:c>
      <x:c r="Q428" s="81" t="n">
        <x:v>98</x:v>
      </x:c>
      <x:c r="R428" s="81" t="n">
        <x:v>83</x:v>
      </x:c>
      <x:c r="S428" s="81" t="n">
        <x:v>84</x:v>
      </x:c>
      <x:c r="T428" s="81" t="n">
        <x:v>2</x:v>
      </x:c>
      <x:c r="U428" s="81" t="n">
        <x:v>5</x:v>
      </x:c>
      <x:c r="V428" s="80"/>
      <x:c r="W428" s="81" t="n">
        <x:f>IF(COUNTA(P428:S428)=4,AVERAGE(P428:S428),"")</x:f>
        <x:v>88.25</x:v>
      </x:c>
      <x:c r="X428" s="81" t="n">
        <x:f>IF(V428&lt;&gt;"",V428,W428)</x:f>
        <x:v>88.25</x:v>
      </x:c>
      <x:c r="Y428" s="80" t="str">
        <x:v>파생 단순평균(참고)</x:v>
      </x:c>
      <x:c r="Z428" s="81" t="n">
        <x:v>80</x:v>
      </x:c>
      <x:c r="AA428" s="81" t="n">
        <x:f>IF(X428&lt;&gt;"",Z428-X428,"")</x:f>
        <x:v>-8.25</x:v>
      </x:c>
      <x:c r="AB428" s="80" t="str">
        <x:f>IF(AA428="","",IF(AA428&gt;=5,"안정",IF(AA428&gt;=1,"적정",IF(AA428&gt;=-2,"소신","상향"))))</x:f>
        <x:v>상향</x:v>
      </x:c>
      <x:c r="AC428" s="82" t="n">
        <x:v>0</x:v>
      </x:c>
      <x:c r="AD428" s="82" t="n">
        <x:v>93</x:v>
      </x:c>
      <x:c r="AE428" s="82" t="n">
        <x:v>7</x:v>
      </x:c>
      <x:c r="AF428" s="80" t="str">
        <x:v>B: 공식 과목별 70% 백분위 → 단순평균 파생</x:v>
      </x:c>
      <x:c r="AG428" s="80" t="str">
        <x:v>https://www.adiga.kr/ucp/uvt/uni/univDetailSelection.do?menuId=PCUVTINF2000&amp;searchSyr=2026&amp;unvCd=0000040</x:v>
      </x:c>
    </x:row>
    <x:row r="429">
      <x:c r="A429" s="80" t="n">
        <x:v>2025</x:v>
      </x:c>
      <x:c r="B429" s="80" t="str">
        <x:v>서울특별시</x:v>
      </x:c>
      <x:c r="C429" s="80" t="str">
        <x:v>공립</x:v>
      </x:c>
      <x:c r="D429" s="80" t="str">
        <x:v>서울시립대학교</x:v>
      </x:c>
      <x:c r="E429" s="80" t="str">
        <x:v>나</x:v>
      </x:c>
      <x:c r="F429" s="80" t="str">
        <x:v>일반전형</x:v>
      </x:c>
      <x:c r="G429" s="80" t="str">
        <x:v>신소재공학과</x:v>
      </x:c>
      <x:c r="H429" s="80" t="n">
        <x:v>17</x:v>
      </x:c>
      <x:c r="I429" s="80" t="n">
        <x:v>0</x:v>
      </x:c>
      <x:c r="J429" s="80" t="n">
        <x:v>17</x:v>
      </x:c>
      <x:c r="K429" s="81" t="n">
        <x:v>3.94</x:v>
      </x:c>
      <x:c r="L429" s="81" t="n">
        <x:v>19</x:v>
      </x:c>
      <x:c r="M429" s="81" t="n">
        <x:v>938.32</x:v>
      </x:c>
      <x:c r="N429" s="81" t="n">
        <x:v>937</x:v>
      </x:c>
      <x:c r="O429" s="81" t="n">
        <x:v>1000</x:v>
      </x:c>
      <x:c r="P429" s="81" t="n">
        <x:v>65</x:v>
      </x:c>
      <x:c r="Q429" s="81" t="n">
        <x:v>99</x:v>
      </x:c>
      <x:c r="R429" s="81" t="n">
        <x:v>94</x:v>
      </x:c>
      <x:c r="S429" s="81" t="n">
        <x:v>85</x:v>
      </x:c>
      <x:c r="T429" s="81" t="n">
        <x:v>2</x:v>
      </x:c>
      <x:c r="U429" s="81" t="n">
        <x:v>4</x:v>
      </x:c>
      <x:c r="V429" s="80"/>
      <x:c r="W429" s="81" t="n">
        <x:f>IF(COUNTA(P429:S429)=4,AVERAGE(P429:S429),"")</x:f>
        <x:v>85.75</x:v>
      </x:c>
      <x:c r="X429" s="81" t="n">
        <x:f>IF(V429&lt;&gt;"",V429,W429)</x:f>
        <x:v>85.75</x:v>
      </x:c>
      <x:c r="Y429" s="80" t="str">
        <x:v>파생 단순평균(참고)</x:v>
      </x:c>
      <x:c r="Z429" s="81" t="n">
        <x:v>80</x:v>
      </x:c>
      <x:c r="AA429" s="81" t="n">
        <x:f>IF(X429&lt;&gt;"",Z429-X429,"")</x:f>
        <x:v>-5.75</x:v>
      </x:c>
      <x:c r="AB429" s="80" t="str">
        <x:f>IF(AA429="","",IF(AA429&gt;=5,"안정",IF(AA429&gt;=1,"적정",IF(AA429&gt;=-2,"소신","상향"))))</x:f>
        <x:v>상향</x:v>
      </x:c>
      <x:c r="AC429" s="82" t="n">
        <x:v>0</x:v>
      </x:c>
      <x:c r="AD429" s="82" t="n">
        <x:v>94</x:v>
      </x:c>
      <x:c r="AE429" s="82" t="n">
        <x:v>6</x:v>
      </x:c>
      <x:c r="AF429" s="80" t="str">
        <x:v>B: 공식 과목별 70% 백분위 → 단순평균 파생</x:v>
      </x:c>
      <x:c r="AG429" s="80" t="str">
        <x:v>https://www.adiga.kr/ucp/uvt/uni/univDetailSelection.do?menuId=PCUVTINF2000&amp;searchSyr=2026&amp;unvCd=0000040</x:v>
      </x:c>
    </x:row>
    <x:row r="430">
      <x:c r="A430" s="80" t="n">
        <x:v>2025</x:v>
      </x:c>
      <x:c r="B430" s="80" t="str">
        <x:v>서울특별시</x:v>
      </x:c>
      <x:c r="C430" s="80" t="str">
        <x:v>공립</x:v>
      </x:c>
      <x:c r="D430" s="80" t="str">
        <x:v>서울시립대학교</x:v>
      </x:c>
      <x:c r="E430" s="80" t="str">
        <x:v>나</x:v>
      </x:c>
      <x:c r="F430" s="80" t="str">
        <x:v>일반전형</x:v>
      </x:c>
      <x:c r="G430" s="80" t="str">
        <x:v>토목공학과</x:v>
      </x:c>
      <x:c r="H430" s="80" t="n">
        <x:v>14</x:v>
      </x:c>
      <x:c r="I430" s="80" t="n">
        <x:v>0</x:v>
      </x:c>
      <x:c r="J430" s="80" t="n">
        <x:v>14</x:v>
      </x:c>
      <x:c r="K430" s="81" t="n">
        <x:v>4.57</x:v>
      </x:c>
      <x:c r="L430" s="81" t="n">
        <x:v>3</x:v>
      </x:c>
      <x:c r="M430" s="81" t="n">
        <x:v>930.18</x:v>
      </x:c>
      <x:c r="N430" s="81" t="n">
        <x:v>929.61</x:v>
      </x:c>
      <x:c r="O430" s="81" t="n">
        <x:v>1000</x:v>
      </x:c>
      <x:c r="P430" s="81" t="n">
        <x:v>91</x:v>
      </x:c>
      <x:c r="Q430" s="81" t="n">
        <x:v>92</x:v>
      </x:c>
      <x:c r="R430" s="81" t="n">
        <x:v>99</x:v>
      </x:c>
      <x:c r="S430" s="81" t="n">
        <x:v>84</x:v>
      </x:c>
      <x:c r="T430" s="81" t="n">
        <x:v>2</x:v>
      </x:c>
      <x:c r="U430" s="81" t="n">
        <x:v>6</x:v>
      </x:c>
      <x:c r="V430" s="80"/>
      <x:c r="W430" s="81" t="n">
        <x:f>IF(COUNTA(P430:S430)=4,AVERAGE(P430:S430),"")</x:f>
        <x:v>91.5</x:v>
      </x:c>
      <x:c r="X430" s="81" t="n">
        <x:f>IF(V430&lt;&gt;"",V430,W430)</x:f>
        <x:v>91.5</x:v>
      </x:c>
      <x:c r="Y430" s="80" t="str">
        <x:v>파생 단순평균(참고)</x:v>
      </x:c>
      <x:c r="Z430" s="81" t="n">
        <x:v>80</x:v>
      </x:c>
      <x:c r="AA430" s="81" t="n">
        <x:f>IF(X430&lt;&gt;"",Z430-X430,"")</x:f>
        <x:v>-11.5</x:v>
      </x:c>
      <x:c r="AB430" s="80" t="str">
        <x:f>IF(AA430="","",IF(AA430&gt;=5,"안정",IF(AA430&gt;=1,"적정",IF(AA430&gt;=-2,"소신","상향"))))</x:f>
        <x:v>상향</x:v>
      </x:c>
      <x:c r="AC430" s="82" t="n">
        <x:v>0</x:v>
      </x:c>
      <x:c r="AD430" s="82" t="n">
        <x:v>100</x:v>
      </x:c>
      <x:c r="AE430" s="82" t="n">
        <x:v>0</x:v>
      </x:c>
      <x:c r="AF430" s="80" t="str">
        <x:v>B: 공식 과목별 70% 백분위 → 단순평균 파생</x:v>
      </x:c>
      <x:c r="AG430" s="80" t="str">
        <x:v>https://www.adiga.kr/ucp/uvt/uni/univDetailSelection.do?menuId=PCUVTINF2000&amp;searchSyr=2026&amp;unvCd=0000040</x:v>
      </x:c>
    </x:row>
    <x:row r="431">
      <x:c r="A431" s="80" t="n">
        <x:v>2025</x:v>
      </x:c>
      <x:c r="B431" s="80" t="str">
        <x:v>서울특별시</x:v>
      </x:c>
      <x:c r="C431" s="80" t="str">
        <x:v>공립</x:v>
      </x:c>
      <x:c r="D431" s="80" t="str">
        <x:v>서울시립대학교</x:v>
      </x:c>
      <x:c r="E431" s="80" t="str">
        <x:v>나</x:v>
      </x:c>
      <x:c r="F431" s="80" t="str">
        <x:v>일반전형</x:v>
      </x:c>
      <x:c r="G431" s="80" t="str">
        <x:v>컴퓨터과학부</x:v>
      </x:c>
      <x:c r="H431" s="80" t="n">
        <x:v>21</x:v>
      </x:c>
      <x:c r="I431" s="80" t="n">
        <x:v>2</x:v>
      </x:c>
      <x:c r="J431" s="80" t="n">
        <x:v>23</x:v>
      </x:c>
      <x:c r="K431" s="81" t="n">
        <x:v>4.43</x:v>
      </x:c>
      <x:c r="L431" s="81" t="n">
        <x:v>27</x:v>
      </x:c>
      <x:c r="M431" s="81" t="n">
        <x:v>936.83</x:v>
      </x:c>
      <x:c r="N431" s="81" t="n">
        <x:v>935.34</x:v>
      </x:c>
      <x:c r="O431" s="81" t="n">
        <x:v>1000</x:v>
      </x:c>
      <x:c r="P431" s="81" t="n">
        <x:v>88</x:v>
      </x:c>
      <x:c r="Q431" s="81" t="n">
        <x:v>97</x:v>
      </x:c>
      <x:c r="R431" s="81" t="n">
        <x:v>83</x:v>
      </x:c>
      <x:c r="S431" s="81" t="n">
        <x:v>91</x:v>
      </x:c>
      <x:c r="T431" s="81" t="n">
        <x:v>2</x:v>
      </x:c>
      <x:c r="U431" s="81" t="n">
        <x:v>1</x:v>
      </x:c>
      <x:c r="V431" s="80"/>
      <x:c r="W431" s="81" t="n">
        <x:f>IF(COUNTA(P431:S431)=4,AVERAGE(P431:S431),"")</x:f>
        <x:v>89.75</x:v>
      </x:c>
      <x:c r="X431" s="81" t="n">
        <x:f>IF(V431&lt;&gt;"",V431,W431)</x:f>
        <x:v>89.75</x:v>
      </x:c>
      <x:c r="Y431" s="80" t="str">
        <x:v>파생 단순평균(참고)</x:v>
      </x:c>
      <x:c r="Z431" s="81" t="n">
        <x:v>80</x:v>
      </x:c>
      <x:c r="AA431" s="81" t="n">
        <x:f>IF(X431&lt;&gt;"",Z431-X431,"")</x:f>
        <x:v>-9.75</x:v>
      </x:c>
      <x:c r="AB431" s="80" t="str">
        <x:f>IF(AA431="","",IF(AA431&gt;=5,"안정",IF(AA431&gt;=1,"적정",IF(AA431&gt;=-2,"소신","상향"))))</x:f>
        <x:v>상향</x:v>
      </x:c>
      <x:c r="AC431" s="82" t="n">
        <x:v>0</x:v>
      </x:c>
      <x:c r="AD431" s="82" t="n">
        <x:v>100</x:v>
      </x:c>
      <x:c r="AE431" s="82" t="n">
        <x:v>0</x:v>
      </x:c>
      <x:c r="AF431" s="80" t="str">
        <x:v>B: 공식 과목별 70% 백분위 → 단순평균 파생</x:v>
      </x:c>
      <x:c r="AG431" s="80" t="str">
        <x:v>https://www.adiga.kr/ucp/uvt/uni/univDetailSelection.do?menuId=PCUVTINF2000&amp;searchSyr=2026&amp;unvCd=0000040</x:v>
      </x:c>
    </x:row>
    <x:row r="432">
      <x:c r="A432" s="80" t="n">
        <x:v>2025</x:v>
      </x:c>
      <x:c r="B432" s="80" t="str">
        <x:v>서울특별시</x:v>
      </x:c>
      <x:c r="C432" s="80" t="str">
        <x:v>공립</x:v>
      </x:c>
      <x:c r="D432" s="80" t="str">
        <x:v>서울시립대학교</x:v>
      </x:c>
      <x:c r="E432" s="80" t="str">
        <x:v>나</x:v>
      </x:c>
      <x:c r="F432" s="80" t="str">
        <x:v>일반전형</x:v>
      </x:c>
      <x:c r="G432" s="80" t="str">
        <x:v>수학과</x:v>
      </x:c>
      <x:c r="H432" s="80" t="n">
        <x:v>14</x:v>
      </x:c>
      <x:c r="I432" s="80" t="n">
        <x:v>1</x:v>
      </x:c>
      <x:c r="J432" s="80" t="n">
        <x:v>15</x:v>
      </x:c>
      <x:c r="K432" s="81" t="n">
        <x:v>3.73</x:v>
      </x:c>
      <x:c r="L432" s="81" t="n">
        <x:v>9</x:v>
      </x:c>
      <x:c r="M432" s="81" t="n">
        <x:v>932.76</x:v>
      </x:c>
      <x:c r="N432" s="81" t="n">
        <x:v>932.02</x:v>
      </x:c>
      <x:c r="O432" s="81" t="n">
        <x:v>1000</x:v>
      </x:c>
      <x:c r="P432" s="81" t="n">
        <x:v>86</x:v>
      </x:c>
      <x:c r="Q432" s="81" t="n">
        <x:v>97</x:v>
      </x:c>
      <x:c r="R432" s="81" t="n">
        <x:v>97</x:v>
      </x:c>
      <x:c r="S432" s="81" t="n">
        <x:v>71</x:v>
      </x:c>
      <x:c r="T432" s="81" t="n">
        <x:v>2</x:v>
      </x:c>
      <x:c r="U432" s="81" t="n">
        <x:v>1</x:v>
      </x:c>
      <x:c r="V432" s="80"/>
      <x:c r="W432" s="81" t="n">
        <x:f>IF(COUNTA(P432:S432)=4,AVERAGE(P432:S432),"")</x:f>
        <x:v>87.75</x:v>
      </x:c>
      <x:c r="X432" s="81" t="n">
        <x:f>IF(V432&lt;&gt;"",V432,W432)</x:f>
        <x:v>87.75</x:v>
      </x:c>
      <x:c r="Y432" s="80" t="str">
        <x:v>파생 단순평균(참고)</x:v>
      </x:c>
      <x:c r="Z432" s="81" t="n">
        <x:v>80</x:v>
      </x:c>
      <x:c r="AA432" s="81" t="n">
        <x:f>IF(X432&lt;&gt;"",Z432-X432,"")</x:f>
        <x:v>-7.75</x:v>
      </x:c>
      <x:c r="AB432" s="80" t="str">
        <x:f>IF(AA432="","",IF(AA432&gt;=5,"안정",IF(AA432&gt;=1,"적정",IF(AA432&gt;=-2,"소신","상향"))))</x:f>
        <x:v>상향</x:v>
      </x:c>
      <x:c r="AC432" s="82" t="n">
        <x:v>0</x:v>
      </x:c>
      <x:c r="AD432" s="82" t="n">
        <x:v>100</x:v>
      </x:c>
      <x:c r="AE432" s="82" t="n">
        <x:v>0</x:v>
      </x:c>
      <x:c r="AF432" s="80" t="str">
        <x:v>B: 공식 과목별 70% 백분위 → 단순평균 파생</x:v>
      </x:c>
      <x:c r="AG432" s="80" t="str">
        <x:v>https://www.adiga.kr/ucp/uvt/uni/univDetailSelection.do?menuId=PCUVTINF2000&amp;searchSyr=2026&amp;unvCd=0000040</x:v>
      </x:c>
    </x:row>
    <x:row r="433">
      <x:c r="A433" s="80" t="n">
        <x:v>2025</x:v>
      </x:c>
      <x:c r="B433" s="80" t="str">
        <x:v>서울특별시</x:v>
      </x:c>
      <x:c r="C433" s="80" t="str">
        <x:v>공립</x:v>
      </x:c>
      <x:c r="D433" s="80" t="str">
        <x:v>서울시립대학교</x:v>
      </x:c>
      <x:c r="E433" s="80" t="str">
        <x:v>나</x:v>
      </x:c>
      <x:c r="F433" s="80" t="str">
        <x:v>일반전형</x:v>
      </x:c>
      <x:c r="G433" s="80" t="str">
        <x:v>통계학과</x:v>
      </x:c>
      <x:c r="H433" s="80" t="n">
        <x:v>10</x:v>
      </x:c>
      <x:c r="I433" s="80" t="n">
        <x:v>0</x:v>
      </x:c>
      <x:c r="J433" s="80" t="n">
        <x:v>10</x:v>
      </x:c>
      <x:c r="K433" s="81" t="n">
        <x:v>4.5</x:v>
      </x:c>
      <x:c r="L433" s="81" t="n">
        <x:v>11</x:v>
      </x:c>
      <x:c r="M433" s="81" t="n">
        <x:v>938.34</x:v>
      </x:c>
      <x:c r="N433" s="81" t="n">
        <x:v>935.46</x:v>
      </x:c>
      <x:c r="O433" s="81" t="n">
        <x:v>1000</x:v>
      </x:c>
      <x:c r="P433" s="81" t="n">
        <x:v>85</x:v>
      </x:c>
      <x:c r="Q433" s="81" t="n">
        <x:v>97</x:v>
      </x:c>
      <x:c r="R433" s="81" t="n">
        <x:v>83</x:v>
      </x:c>
      <x:c r="S433" s="81" t="n">
        <x:v>94</x:v>
      </x:c>
      <x:c r="T433" s="81" t="n">
        <x:v>2</x:v>
      </x:c>
      <x:c r="U433" s="81" t="n">
        <x:v>1</x:v>
      </x:c>
      <x:c r="V433" s="80"/>
      <x:c r="W433" s="81" t="n">
        <x:f>IF(COUNTA(P433:S433)=4,AVERAGE(P433:S433),"")</x:f>
        <x:v>89.75</x:v>
      </x:c>
      <x:c r="X433" s="81" t="n">
        <x:f>IF(V433&lt;&gt;"",V433,W433)</x:f>
        <x:v>89.75</x:v>
      </x:c>
      <x:c r="Y433" s="80" t="str">
        <x:v>파생 단순평균(참고)</x:v>
      </x:c>
      <x:c r="Z433" s="81" t="n">
        <x:v>80</x:v>
      </x:c>
      <x:c r="AA433" s="81" t="n">
        <x:f>IF(X433&lt;&gt;"",Z433-X433,"")</x:f>
        <x:v>-9.75</x:v>
      </x:c>
      <x:c r="AB433" s="80" t="str">
        <x:f>IF(AA433="","",IF(AA433&gt;=5,"안정",IF(AA433&gt;=1,"적정",IF(AA433&gt;=-2,"소신","상향"))))</x:f>
        <x:v>상향</x:v>
      </x:c>
      <x:c r="AC433" s="82" t="n">
        <x:v>0</x:v>
      </x:c>
      <x:c r="AD433" s="82" t="n">
        <x:v>100</x:v>
      </x:c>
      <x:c r="AE433" s="82" t="n">
        <x:v>0</x:v>
      </x:c>
      <x:c r="AF433" s="80" t="str">
        <x:v>B: 공식 과목별 70% 백분위 → 단순평균 파생</x:v>
      </x:c>
      <x:c r="AG433" s="80" t="str">
        <x:v>https://www.adiga.kr/ucp/uvt/uni/univDetailSelection.do?menuId=PCUVTINF2000&amp;searchSyr=2026&amp;unvCd=0000040</x:v>
      </x:c>
    </x:row>
    <x:row r="434">
      <x:c r="A434" s="80" t="n">
        <x:v>2025</x:v>
      </x:c>
      <x:c r="B434" s="80" t="str">
        <x:v>서울특별시</x:v>
      </x:c>
      <x:c r="C434" s="80" t="str">
        <x:v>공립</x:v>
      </x:c>
      <x:c r="D434" s="80" t="str">
        <x:v>서울시립대학교</x:v>
      </x:c>
      <x:c r="E434" s="80" t="str">
        <x:v>나</x:v>
      </x:c>
      <x:c r="F434" s="80" t="str">
        <x:v>일반전형</x:v>
      </x:c>
      <x:c r="G434" s="80" t="str">
        <x:v>물리학과</x:v>
      </x:c>
      <x:c r="H434" s="80" t="n">
        <x:v>10</x:v>
      </x:c>
      <x:c r="I434" s="80" t="n">
        <x:v>1</x:v>
      </x:c>
      <x:c r="J434" s="80" t="n">
        <x:v>11</x:v>
      </x:c>
      <x:c r="K434" s="81" t="n">
        <x:v>4.55</x:v>
      </x:c>
      <x:c r="L434" s="81" t="n">
        <x:v>12</x:v>
      </x:c>
      <x:c r="M434" s="81" t="n">
        <x:v>931.42</x:v>
      </x:c>
      <x:c r="N434" s="81" t="n">
        <x:v>930.58</x:v>
      </x:c>
      <x:c r="O434" s="81" t="n">
        <x:v>1000</x:v>
      </x:c>
      <x:c r="P434" s="81" t="n">
        <x:v>85</x:v>
      </x:c>
      <x:c r="Q434" s="81" t="n">
        <x:v>98</x:v>
      </x:c>
      <x:c r="R434" s="81" t="n">
        <x:v>68</x:v>
      </x:c>
      <x:c r="S434" s="81" t="n">
        <x:v>98</x:v>
      </x:c>
      <x:c r="T434" s="81" t="n">
        <x:v>4</x:v>
      </x:c>
      <x:c r="U434" s="81" t="n">
        <x:v>2</x:v>
      </x:c>
      <x:c r="V434" s="80"/>
      <x:c r="W434" s="81" t="n">
        <x:f>IF(COUNTA(P434:S434)=4,AVERAGE(P434:S434),"")</x:f>
        <x:v>87.25</x:v>
      </x:c>
      <x:c r="X434" s="81" t="n">
        <x:f>IF(V434&lt;&gt;"",V434,W434)</x:f>
        <x:v>87.25</x:v>
      </x:c>
      <x:c r="Y434" s="80" t="str">
        <x:v>파생 단순평균(참고)</x:v>
      </x:c>
      <x:c r="Z434" s="81" t="n">
        <x:v>80</x:v>
      </x:c>
      <x:c r="AA434" s="81" t="n">
        <x:f>IF(X434&lt;&gt;"",Z434-X434,"")</x:f>
        <x:v>-7.25</x:v>
      </x:c>
      <x:c r="AB434" s="80" t="str">
        <x:f>IF(AA434="","",IF(AA434&gt;=5,"안정",IF(AA434&gt;=1,"적정",IF(AA434&gt;=-2,"소신","상향"))))</x:f>
        <x:v>상향</x:v>
      </x:c>
      <x:c r="AC434" s="82" t="n">
        <x:v>0</x:v>
      </x:c>
      <x:c r="AD434" s="82" t="n">
        <x:v>100</x:v>
      </x:c>
      <x:c r="AE434" s="82" t="n">
        <x:v>0</x:v>
      </x:c>
      <x:c r="AF434" s="80" t="str">
        <x:v>B: 공식 과목별 70% 백분위 → 단순평균 파생</x:v>
      </x:c>
      <x:c r="AG434" s="80" t="str">
        <x:v>https://www.adiga.kr/ucp/uvt/uni/univDetailSelection.do?menuId=PCUVTINF2000&amp;searchSyr=2026&amp;unvCd=0000040</x:v>
      </x:c>
    </x:row>
    <x:row r="435">
      <x:c r="A435" s="80" t="n">
        <x:v>2025</x:v>
      </x:c>
      <x:c r="B435" s="80" t="str">
        <x:v>서울특별시</x:v>
      </x:c>
      <x:c r="C435" s="80" t="str">
        <x:v>공립</x:v>
      </x:c>
      <x:c r="D435" s="80" t="str">
        <x:v>서울시립대학교</x:v>
      </x:c>
      <x:c r="E435" s="80" t="str">
        <x:v>나</x:v>
      </x:c>
      <x:c r="F435" s="80" t="str">
        <x:v>일반전형</x:v>
      </x:c>
      <x:c r="G435" s="80" t="str">
        <x:v>생명과학과</x:v>
      </x:c>
      <x:c r="H435" s="80" t="n">
        <x:v>13</x:v>
      </x:c>
      <x:c r="I435" s="80" t="n">
        <x:v>1</x:v>
      </x:c>
      <x:c r="J435" s="80" t="n">
        <x:v>14</x:v>
      </x:c>
      <x:c r="K435" s="81" t="n">
        <x:v>5</x:v>
      </x:c>
      <x:c r="L435" s="81" t="n">
        <x:v>9</x:v>
      </x:c>
      <x:c r="M435" s="81" t="n">
        <x:v>934.14</x:v>
      </x:c>
      <x:c r="N435" s="81" t="n">
        <x:v>933.06</x:v>
      </x:c>
      <x:c r="O435" s="81" t="n">
        <x:v>1000</x:v>
      </x:c>
      <x:c r="P435" s="81" t="n">
        <x:v>80</x:v>
      </x:c>
      <x:c r="Q435" s="81" t="n">
        <x:v>98</x:v>
      </x:c>
      <x:c r="R435" s="81" t="n">
        <x:v>90</x:v>
      </x:c>
      <x:c r="S435" s="81" t="n">
        <x:v>83</x:v>
      </x:c>
      <x:c r="T435" s="81" t="n">
        <x:v>2</x:v>
      </x:c>
      <x:c r="U435" s="81" t="n">
        <x:v>2</x:v>
      </x:c>
      <x:c r="V435" s="80"/>
      <x:c r="W435" s="81" t="n">
        <x:f>IF(COUNTA(P435:S435)=4,AVERAGE(P435:S435),"")</x:f>
        <x:v>87.75</x:v>
      </x:c>
      <x:c r="X435" s="81" t="n">
        <x:f>IF(V435&lt;&gt;"",V435,W435)</x:f>
        <x:v>87.75</x:v>
      </x:c>
      <x:c r="Y435" s="80" t="str">
        <x:v>파생 단순평균(참고)</x:v>
      </x:c>
      <x:c r="Z435" s="81" t="n">
        <x:v>80</x:v>
      </x:c>
      <x:c r="AA435" s="81" t="n">
        <x:f>IF(X435&lt;&gt;"",Z435-X435,"")</x:f>
        <x:v>-7.75</x:v>
      </x:c>
      <x:c r="AB435" s="80" t="str">
        <x:f>IF(AA435="","",IF(AA435&gt;=5,"안정",IF(AA435&gt;=1,"적정",IF(AA435&gt;=-2,"소신","상향"))))</x:f>
        <x:v>상향</x:v>
      </x:c>
      <x:c r="AC435" s="82" t="n">
        <x:v>0</x:v>
      </x:c>
      <x:c r="AD435" s="82" t="n">
        <x:v>92</x:v>
      </x:c>
      <x:c r="AE435" s="82" t="n">
        <x:v>8</x:v>
      </x:c>
      <x:c r="AF435" s="80" t="str">
        <x:v>B: 공식 과목별 70% 백분위 → 단순평균 파생</x:v>
      </x:c>
      <x:c r="AG435" s="80" t="str">
        <x:v>https://www.adiga.kr/ucp/uvt/uni/univDetailSelection.do?menuId=PCUVTINF2000&amp;searchSyr=2026&amp;unvCd=0000040</x:v>
      </x:c>
    </x:row>
    <x:row r="436">
      <x:c r="A436" s="80" t="n">
        <x:v>2025</x:v>
      </x:c>
      <x:c r="B436" s="80" t="str">
        <x:v>서울특별시</x:v>
      </x:c>
      <x:c r="C436" s="80" t="str">
        <x:v>공립</x:v>
      </x:c>
      <x:c r="D436" s="80" t="str">
        <x:v>서울시립대학교</x:v>
      </x:c>
      <x:c r="E436" s="80" t="str">
        <x:v>나</x:v>
      </x:c>
      <x:c r="F436" s="80" t="str">
        <x:v>일반전형</x:v>
      </x:c>
      <x:c r="G436" s="80" t="str">
        <x:v>환경원예학과</x:v>
      </x:c>
      <x:c r="H436" s="80" t="n">
        <x:v>10</x:v>
      </x:c>
      <x:c r="I436" s="80" t="n">
        <x:v>0</x:v>
      </x:c>
      <x:c r="J436" s="80" t="n">
        <x:v>10</x:v>
      </x:c>
      <x:c r="K436" s="81" t="n">
        <x:v>5.1</x:v>
      </x:c>
      <x:c r="L436" s="81" t="n">
        <x:v>1</x:v>
      </x:c>
      <x:c r="M436" s="81" t="n">
        <x:v>930.08</x:v>
      </x:c>
      <x:c r="N436" s="81" t="n">
        <x:v>928.28</x:v>
      </x:c>
      <x:c r="O436" s="81" t="n">
        <x:v>1000</x:v>
      </x:c>
      <x:c r="P436" s="81" t="n">
        <x:v>92</x:v>
      </x:c>
      <x:c r="Q436" s="81" t="n">
        <x:v>92</x:v>
      </x:c>
      <x:c r="R436" s="81" t="n">
        <x:v>96</x:v>
      </x:c>
      <x:c r="S436" s="81" t="n">
        <x:v>83</x:v>
      </x:c>
      <x:c r="T436" s="81" t="n">
        <x:v>3</x:v>
      </x:c>
      <x:c r="U436" s="81" t="n">
        <x:v>2</x:v>
      </x:c>
      <x:c r="V436" s="80"/>
      <x:c r="W436" s="81" t="n">
        <x:f>IF(COUNTA(P436:S436)=4,AVERAGE(P436:S436),"")</x:f>
        <x:v>90.75</x:v>
      </x:c>
      <x:c r="X436" s="81" t="n">
        <x:f>IF(V436&lt;&gt;"",V436,W436)</x:f>
        <x:v>90.75</x:v>
      </x:c>
      <x:c r="Y436" s="80" t="str">
        <x:v>파생 단순평균(참고)</x:v>
      </x:c>
      <x:c r="Z436" s="81" t="n">
        <x:v>80</x:v>
      </x:c>
      <x:c r="AA436" s="81" t="n">
        <x:f>IF(X436&lt;&gt;"",Z436-X436,"")</x:f>
        <x:v>-10.75</x:v>
      </x:c>
      <x:c r="AB436" s="80" t="str">
        <x:f>IF(AA436="","",IF(AA436&gt;=5,"안정",IF(AA436&gt;=1,"적정",IF(AA436&gt;=-2,"소신","상향"))))</x:f>
        <x:v>상향</x:v>
      </x:c>
      <x:c r="AC436" s="82" t="n">
        <x:v>0</x:v>
      </x:c>
      <x:c r="AD436" s="82" t="n">
        <x:v>100</x:v>
      </x:c>
      <x:c r="AE436" s="82" t="n">
        <x:v>0</x:v>
      </x:c>
      <x:c r="AF436" s="80" t="str">
        <x:v>B: 공식 과목별 70% 백분위 → 단순평균 파생</x:v>
      </x:c>
      <x:c r="AG436" s="80" t="str">
        <x:v>https://www.adiga.kr/ucp/uvt/uni/univDetailSelection.do?menuId=PCUVTINF2000&amp;searchSyr=2026&amp;unvCd=0000040</x:v>
      </x:c>
    </x:row>
    <x:row r="437">
      <x:c r="A437" s="80" t="n">
        <x:v>2025</x:v>
      </x:c>
      <x:c r="B437" s="80" t="str">
        <x:v>서울특별시</x:v>
      </x:c>
      <x:c r="C437" s="80" t="str">
        <x:v>공립</x:v>
      </x:c>
      <x:c r="D437" s="80" t="str">
        <x:v>서울시립대학교</x:v>
      </x:c>
      <x:c r="E437" s="80" t="str">
        <x:v>나</x:v>
      </x:c>
      <x:c r="F437" s="80" t="str">
        <x:v>일반전형</x:v>
      </x:c>
      <x:c r="G437" s="80" t="str">
        <x:v>건축학부 건축공학전공</x:v>
      </x:c>
      <x:c r="H437" s="80" t="n">
        <x:v>14</x:v>
      </x:c>
      <x:c r="I437" s="80" t="n">
        <x:v>0</x:v>
      </x:c>
      <x:c r="J437" s="80" t="n">
        <x:v>14</x:v>
      </x:c>
      <x:c r="K437" s="81" t="n">
        <x:v>4</x:v>
      </x:c>
      <x:c r="L437" s="81" t="n">
        <x:v>7</x:v>
      </x:c>
      <x:c r="M437" s="81" t="n">
        <x:v>935.23</x:v>
      </x:c>
      <x:c r="N437" s="81" t="n">
        <x:v>933.47</x:v>
      </x:c>
      <x:c r="O437" s="81" t="n">
        <x:v>1000</x:v>
      </x:c>
      <x:c r="P437" s="81" t="n">
        <x:v>88</x:v>
      </x:c>
      <x:c r="Q437" s="81" t="n">
        <x:v>74</x:v>
      </x:c>
      <x:c r="R437" s="81" t="n">
        <x:v>100</x:v>
      </x:c>
      <x:c r="S437" s="81" t="n">
        <x:v>99</x:v>
      </x:c>
      <x:c r="T437" s="81" t="n">
        <x:v>3</x:v>
      </x:c>
      <x:c r="U437" s="81" t="n">
        <x:v>2</x:v>
      </x:c>
      <x:c r="V437" s="80"/>
      <x:c r="W437" s="81" t="n">
        <x:f>IF(COUNTA(P437:S437)=4,AVERAGE(P437:S437),"")</x:f>
        <x:v>90.25</x:v>
      </x:c>
      <x:c r="X437" s="81" t="n">
        <x:f>IF(V437&lt;&gt;"",V437,W437)</x:f>
        <x:v>90.25</x:v>
      </x:c>
      <x:c r="Y437" s="80" t="str">
        <x:v>파생 단순평균(참고)</x:v>
      </x:c>
      <x:c r="Z437" s="81" t="n">
        <x:v>80</x:v>
      </x:c>
      <x:c r="AA437" s="81" t="n">
        <x:f>IF(X437&lt;&gt;"",Z437-X437,"")</x:f>
        <x:v>-10.25</x:v>
      </x:c>
      <x:c r="AB437" s="80" t="str">
        <x:f>IF(AA437="","",IF(AA437&gt;=5,"안정",IF(AA437&gt;=1,"적정",IF(AA437&gt;=-2,"소신","상향"))))</x:f>
        <x:v>상향</x:v>
      </x:c>
      <x:c r="AC437" s="82" t="n">
        <x:v>0</x:v>
      </x:c>
      <x:c r="AD437" s="82" t="n">
        <x:v>93</x:v>
      </x:c>
      <x:c r="AE437" s="82" t="n">
        <x:v>7</x:v>
      </x:c>
      <x:c r="AF437" s="80" t="str">
        <x:v>B: 공식 과목별 70% 백분위 → 단순평균 파생</x:v>
      </x:c>
      <x:c r="AG437" s="80" t="str">
        <x:v>https://www.adiga.kr/ucp/uvt/uni/univDetailSelection.do?menuId=PCUVTINF2000&amp;searchSyr=2026&amp;unvCd=0000040</x:v>
      </x:c>
    </x:row>
    <x:row r="438">
      <x:c r="A438" s="80" t="n">
        <x:v>2025</x:v>
      </x:c>
      <x:c r="B438" s="80" t="str">
        <x:v>서울특별시</x:v>
      </x:c>
      <x:c r="C438" s="80" t="str">
        <x:v>공립</x:v>
      </x:c>
      <x:c r="D438" s="80" t="str">
        <x:v>서울시립대학교</x:v>
      </x:c>
      <x:c r="E438" s="80" t="str">
        <x:v>나</x:v>
      </x:c>
      <x:c r="F438" s="80" t="str">
        <x:v>일반전형</x:v>
      </x:c>
      <x:c r="G438" s="80" t="str">
        <x:v>건축학부 건축학전공(5 년제)</x:v>
      </x:c>
      <x:c r="H438" s="80" t="n">
        <x:v>13</x:v>
      </x:c>
      <x:c r="I438" s="80" t="n">
        <x:v>1</x:v>
      </x:c>
      <x:c r="J438" s="80" t="n">
        <x:v>14</x:v>
      </x:c>
      <x:c r="K438" s="81" t="n">
        <x:v>4.79</x:v>
      </x:c>
      <x:c r="L438" s="81" t="n">
        <x:v>15</x:v>
      </x:c>
      <x:c r="M438" s="81" t="n">
        <x:v>929.18</x:v>
      </x:c>
      <x:c r="N438" s="81" t="n">
        <x:v>928.88</x:v>
      </x:c>
      <x:c r="O438" s="81" t="n">
        <x:v>1000</x:v>
      </x:c>
      <x:c r="P438" s="81" t="n">
        <x:v>92</x:v>
      </x:c>
      <x:c r="Q438" s="81" t="n">
        <x:v>98</x:v>
      </x:c>
      <x:c r="R438" s="81" t="n">
        <x:v>97</x:v>
      </x:c>
      <x:c r="S438" s="81" t="n">
        <x:v>62</x:v>
      </x:c>
      <x:c r="T438" s="81" t="n">
        <x:v>3</x:v>
      </x:c>
      <x:c r="U438" s="81" t="n">
        <x:v>3</x:v>
      </x:c>
      <x:c r="V438" s="80"/>
      <x:c r="W438" s="81" t="n">
        <x:f>IF(COUNTA(P438:S438)=4,AVERAGE(P438:S438),"")</x:f>
        <x:v>87.25</x:v>
      </x:c>
      <x:c r="X438" s="81" t="n">
        <x:f>IF(V438&lt;&gt;"",V438,W438)</x:f>
        <x:v>87.25</x:v>
      </x:c>
      <x:c r="Y438" s="80" t="str">
        <x:v>파생 단순평균(참고)</x:v>
      </x:c>
      <x:c r="Z438" s="81" t="n">
        <x:v>80</x:v>
      </x:c>
      <x:c r="AA438" s="81" t="n">
        <x:f>IF(X438&lt;&gt;"",Z438-X438,"")</x:f>
        <x:v>-7.25</x:v>
      </x:c>
      <x:c r="AB438" s="80" t="str">
        <x:f>IF(AA438="","",IF(AA438&gt;=5,"안정",IF(AA438&gt;=1,"적정",IF(AA438&gt;=-2,"소신","상향"))))</x:f>
        <x:v>상향</x:v>
      </x:c>
      <x:c r="AC438" s="82" t="n">
        <x:v>0</x:v>
      </x:c>
      <x:c r="AD438" s="82" t="n">
        <x:v>100</x:v>
      </x:c>
      <x:c r="AE438" s="82" t="n">
        <x:v>0</x:v>
      </x:c>
      <x:c r="AF438" s="80" t="str">
        <x:v>B: 공식 과목별 70% 백분위 → 단순평균 파생</x:v>
      </x:c>
      <x:c r="AG438" s="80" t="str">
        <x:v>https://www.adiga.kr/ucp/uvt/uni/univDetailSelection.do?menuId=PCUVTINF2000&amp;searchSyr=2026&amp;unvCd=0000040</x:v>
      </x:c>
    </x:row>
    <x:row r="439">
      <x:c r="A439" s="80" t="n">
        <x:v>2025</x:v>
      </x:c>
      <x:c r="B439" s="80" t="str">
        <x:v>서울특별시</x:v>
      </x:c>
      <x:c r="C439" s="80" t="str">
        <x:v>공립</x:v>
      </x:c>
      <x:c r="D439" s="80" t="str">
        <x:v>서울시립대학교</x:v>
      </x:c>
      <x:c r="E439" s="80" t="str">
        <x:v>나</x:v>
      </x:c>
      <x:c r="F439" s="80" t="str">
        <x:v>일반전형</x:v>
      </x:c>
      <x:c r="G439" s="80" t="str">
        <x:v>도시공학과</x:v>
      </x:c>
      <x:c r="H439" s="80" t="n">
        <x:v>7</x:v>
      </x:c>
      <x:c r="I439" s="80" t="n">
        <x:v>0</x:v>
      </x:c>
      <x:c r="J439" s="80" t="n">
        <x:v>7</x:v>
      </x:c>
      <x:c r="K439" s="81" t="n">
        <x:v>5.43</x:v>
      </x:c>
      <x:c r="L439" s="81" t="n">
        <x:v>3</x:v>
      </x:c>
      <x:c r="M439" s="81" t="n">
        <x:v>935.04</x:v>
      </x:c>
      <x:c r="N439" s="81" t="n">
        <x:v>934.66</x:v>
      </x:c>
      <x:c r="O439" s="81" t="n">
        <x:v>1000</x:v>
      </x:c>
      <x:c r="P439" s="81" t="n">
        <x:v>88</x:v>
      </x:c>
      <x:c r="Q439" s="81" t="n">
        <x:v>95</x:v>
      </x:c>
      <x:c r="R439" s="81" t="n">
        <x:v>81</x:v>
      </x:c>
      <x:c r="S439" s="81" t="n">
        <x:v>98</x:v>
      </x:c>
      <x:c r="T439" s="81" t="n">
        <x:v>2</x:v>
      </x:c>
      <x:c r="U439" s="81" t="n">
        <x:v>1</x:v>
      </x:c>
      <x:c r="V439" s="80"/>
      <x:c r="W439" s="81" t="n">
        <x:f>IF(COUNTA(P439:S439)=4,AVERAGE(P439:S439),"")</x:f>
        <x:v>90.5</x:v>
      </x:c>
      <x:c r="X439" s="81" t="n">
        <x:f>IF(V439&lt;&gt;"",V439,W439)</x:f>
        <x:v>90.5</x:v>
      </x:c>
      <x:c r="Y439" s="80" t="str">
        <x:v>파생 단순평균(참고)</x:v>
      </x:c>
      <x:c r="Z439" s="81" t="n">
        <x:v>80</x:v>
      </x:c>
      <x:c r="AA439" s="81" t="n">
        <x:f>IF(X439&lt;&gt;"",Z439-X439,"")</x:f>
        <x:v>-10.5</x:v>
      </x:c>
      <x:c r="AB439" s="80" t="str">
        <x:f>IF(AA439="","",IF(AA439&gt;=5,"안정",IF(AA439&gt;=1,"적정",IF(AA439&gt;=-2,"소신","상향"))))</x:f>
        <x:v>상향</x:v>
      </x:c>
      <x:c r="AC439" s="82" t="n">
        <x:v>0</x:v>
      </x:c>
      <x:c r="AD439" s="82" t="n">
        <x:v>86</x:v>
      </x:c>
      <x:c r="AE439" s="82" t="n">
        <x:v>14</x:v>
      </x:c>
      <x:c r="AF439" s="80" t="str">
        <x:v>B: 공식 과목별 70% 백분위 → 단순평균 파생</x:v>
      </x:c>
      <x:c r="AG439" s="80" t="str">
        <x:v>https://www.adiga.kr/ucp/uvt/uni/univDetailSelection.do?menuId=PCUVTINF2000&amp;searchSyr=2026&amp;unvCd=0000040</x:v>
      </x:c>
    </x:row>
    <x:row r="440">
      <x:c r="A440" s="80" t="n">
        <x:v>2025</x:v>
      </x:c>
      <x:c r="B440" s="80" t="str">
        <x:v>서울특별시</x:v>
      </x:c>
      <x:c r="C440" s="80" t="str">
        <x:v>공립</x:v>
      </x:c>
      <x:c r="D440" s="80" t="str">
        <x:v>서울시립대학교</x:v>
      </x:c>
      <x:c r="E440" s="80" t="str">
        <x:v>나</x:v>
      </x:c>
      <x:c r="F440" s="80" t="str">
        <x:v>일반전형</x:v>
      </x:c>
      <x:c r="G440" s="80" t="str">
        <x:v>교통공학과</x:v>
      </x:c>
      <x:c r="H440" s="80" t="n">
        <x:v>8</x:v>
      </x:c>
      <x:c r="I440" s="80" t="n">
        <x:v>0</x:v>
      </x:c>
      <x:c r="J440" s="80" t="n">
        <x:v>8</x:v>
      </x:c>
      <x:c r="K440" s="81" t="n">
        <x:v>5.25</x:v>
      </x:c>
      <x:c r="L440" s="81" t="n">
        <x:v>6</x:v>
      </x:c>
      <x:c r="M440" s="81" t="n">
        <x:v>933.5</x:v>
      </x:c>
      <x:c r="N440" s="81" t="n">
        <x:v>932.67</x:v>
      </x:c>
      <x:c r="O440" s="81" t="n">
        <x:v>1000</x:v>
      </x:c>
      <x:c r="P440" s="81" t="n">
        <x:v>82</x:v>
      </x:c>
      <x:c r="Q440" s="81" t="n">
        <x:v>95</x:v>
      </x:c>
      <x:c r="R440" s="81" t="n">
        <x:v>93</x:v>
      </x:c>
      <x:c r="S440" s="81" t="n">
        <x:v>94</x:v>
      </x:c>
      <x:c r="T440" s="81" t="n">
        <x:v>3</x:v>
      </x:c>
      <x:c r="U440" s="81" t="n">
        <x:v>3</x:v>
      </x:c>
      <x:c r="V440" s="80"/>
      <x:c r="W440" s="81" t="n">
        <x:f>IF(COUNTA(P440:S440)=4,AVERAGE(P440:S440),"")</x:f>
        <x:v>91</x:v>
      </x:c>
      <x:c r="X440" s="81" t="n">
        <x:f>IF(V440&lt;&gt;"",V440,W440)</x:f>
        <x:v>91</x:v>
      </x:c>
      <x:c r="Y440" s="80" t="str">
        <x:v>파생 단순평균(참고)</x:v>
      </x:c>
      <x:c r="Z440" s="81" t="n">
        <x:v>80</x:v>
      </x:c>
      <x:c r="AA440" s="81" t="n">
        <x:f>IF(X440&lt;&gt;"",Z440-X440,"")</x:f>
        <x:v>-11</x:v>
      </x:c>
      <x:c r="AB440" s="80" t="str">
        <x:f>IF(AA440="","",IF(AA440&gt;=5,"안정",IF(AA440&gt;=1,"적정",IF(AA440&gt;=-2,"소신","상향"))))</x:f>
        <x:v>상향</x:v>
      </x:c>
      <x:c r="AC440" s="82" t="n">
        <x:v>0</x:v>
      </x:c>
      <x:c r="AD440" s="82" t="n">
        <x:v>100</x:v>
      </x:c>
      <x:c r="AE440" s="82" t="n">
        <x:v>0</x:v>
      </x:c>
      <x:c r="AF440" s="80" t="str">
        <x:v>B: 공식 과목별 70% 백분위 → 단순평균 파생</x:v>
      </x:c>
      <x:c r="AG440" s="80" t="str">
        <x:v>https://www.adiga.kr/ucp/uvt/uni/univDetailSelection.do?menuId=PCUVTINF2000&amp;searchSyr=2026&amp;unvCd=0000040</x:v>
      </x:c>
    </x:row>
    <x:row r="441">
      <x:c r="A441" s="80" t="n">
        <x:v>2025</x:v>
      </x:c>
      <x:c r="B441" s="80" t="str">
        <x:v>서울특별시</x:v>
      </x:c>
      <x:c r="C441" s="80" t="str">
        <x:v>공립</x:v>
      </x:c>
      <x:c r="D441" s="80" t="str">
        <x:v>서울시립대학교</x:v>
      </x:c>
      <x:c r="E441" s="80" t="str">
        <x:v>나</x:v>
      </x:c>
      <x:c r="F441" s="80" t="str">
        <x:v>일반전형</x:v>
      </x:c>
      <x:c r="G441" s="80" t="str">
        <x:v>조경학과</x:v>
      </x:c>
      <x:c r="H441" s="80" t="n">
        <x:v>6</x:v>
      </x:c>
      <x:c r="I441" s="80" t="n">
        <x:v>0</x:v>
      </x:c>
      <x:c r="J441" s="80" t="n">
        <x:v>6</x:v>
      </x:c>
      <x:c r="K441" s="81" t="n">
        <x:v>7</x:v>
      </x:c>
      <x:c r="L441" s="81" t="n">
        <x:v>2</x:v>
      </x:c>
      <x:c r="M441" s="81" t="n">
        <x:v>928.87</x:v>
      </x:c>
      <x:c r="N441" s="81" t="n">
        <x:v>928.2</x:v>
      </x:c>
      <x:c r="O441" s="81" t="n">
        <x:v>1000</x:v>
      </x:c>
      <x:c r="P441" s="81" t="n">
        <x:v>88</x:v>
      </x:c>
      <x:c r="Q441" s="81" t="n">
        <x:v>89</x:v>
      </x:c>
      <x:c r="R441" s="81" t="n">
        <x:v>98</x:v>
      </x:c>
      <x:c r="S441" s="81" t="n">
        <x:v>88</x:v>
      </x:c>
      <x:c r="T441" s="81" t="n">
        <x:v>3</x:v>
      </x:c>
      <x:c r="U441" s="81" t="n">
        <x:v>2</x:v>
      </x:c>
      <x:c r="V441" s="80"/>
      <x:c r="W441" s="81" t="n">
        <x:f>IF(COUNTA(P441:S441)=4,AVERAGE(P441:S441),"")</x:f>
        <x:v>90.75</x:v>
      </x:c>
      <x:c r="X441" s="81" t="n">
        <x:f>IF(V441&lt;&gt;"",V441,W441)</x:f>
        <x:v>90.75</x:v>
      </x:c>
      <x:c r="Y441" s="80" t="str">
        <x:v>파생 단순평균(참고)</x:v>
      </x:c>
      <x:c r="Z441" s="81" t="n">
        <x:v>80</x:v>
      </x:c>
      <x:c r="AA441" s="81" t="n">
        <x:f>IF(X441&lt;&gt;"",Z441-X441,"")</x:f>
        <x:v>-10.75</x:v>
      </x:c>
      <x:c r="AB441" s="80" t="str">
        <x:f>IF(AA441="","",IF(AA441&gt;=5,"안정",IF(AA441&gt;=1,"적정",IF(AA441&gt;=-2,"소신","상향"))))</x:f>
        <x:v>상향</x:v>
      </x:c>
      <x:c r="AC441" s="82" t="n">
        <x:v>0</x:v>
      </x:c>
      <x:c r="AD441" s="82" t="n">
        <x:v>100</x:v>
      </x:c>
      <x:c r="AE441" s="82" t="n">
        <x:v>0</x:v>
      </x:c>
      <x:c r="AF441" s="80" t="str">
        <x:v>B: 공식 과목별 70% 백분위 → 단순평균 파생</x:v>
      </x:c>
      <x:c r="AG441" s="80" t="str">
        <x:v>https://www.adiga.kr/ucp/uvt/uni/univDetailSelection.do?menuId=PCUVTINF2000&amp;searchSyr=2026&amp;unvCd=0000040</x:v>
      </x:c>
    </x:row>
    <x:row r="442">
      <x:c r="A442" s="80" t="n">
        <x:v>2025</x:v>
      </x:c>
      <x:c r="B442" s="80" t="str">
        <x:v>서울특별시</x:v>
      </x:c>
      <x:c r="C442" s="80" t="str">
        <x:v>공립</x:v>
      </x:c>
      <x:c r="D442" s="80" t="str">
        <x:v>서울시립대학교</x:v>
      </x:c>
      <x:c r="E442" s="80" t="str">
        <x:v>나</x:v>
      </x:c>
      <x:c r="F442" s="80" t="str">
        <x:v>일반전형</x:v>
      </x:c>
      <x:c r="G442" s="80" t="str">
        <x:v>환경공학부</x:v>
      </x:c>
      <x:c r="H442" s="80" t="n">
        <x:v>28</x:v>
      </x:c>
      <x:c r="I442" s="80" t="n">
        <x:v>0</x:v>
      </x:c>
      <x:c r="J442" s="80" t="n">
        <x:v>28</x:v>
      </x:c>
      <x:c r="K442" s="81" t="n">
        <x:v>4.11</x:v>
      </x:c>
      <x:c r="L442" s="81" t="n">
        <x:v>22</x:v>
      </x:c>
      <x:c r="M442" s="81" t="n">
        <x:v>932.84</x:v>
      </x:c>
      <x:c r="N442" s="81" t="n">
        <x:v>931.54</x:v>
      </x:c>
      <x:c r="O442" s="81" t="n">
        <x:v>1000</x:v>
      </x:c>
      <x:c r="P442" s="81" t="n">
        <x:v>86</x:v>
      </x:c>
      <x:c r="Q442" s="81" t="n">
        <x:v>95</x:v>
      </x:c>
      <x:c r="R442" s="81" t="n">
        <x:v>94</x:v>
      </x:c>
      <x:c r="S442" s="81" t="n">
        <x:v>88</x:v>
      </x:c>
      <x:c r="T442" s="81" t="n">
        <x:v>3</x:v>
      </x:c>
      <x:c r="U442" s="81" t="n">
        <x:v>1</x:v>
      </x:c>
      <x:c r="V442" s="80"/>
      <x:c r="W442" s="81" t="n">
        <x:f>IF(COUNTA(P442:S442)=4,AVERAGE(P442:S442),"")</x:f>
        <x:v>90.75</x:v>
      </x:c>
      <x:c r="X442" s="81" t="n">
        <x:f>IF(V442&lt;&gt;"",V442,W442)</x:f>
        <x:v>90.75</x:v>
      </x:c>
      <x:c r="Y442" s="80" t="str">
        <x:v>파생 단순평균(참고)</x:v>
      </x:c>
      <x:c r="Z442" s="81" t="n">
        <x:v>80</x:v>
      </x:c>
      <x:c r="AA442" s="81" t="n">
        <x:f>IF(X442&lt;&gt;"",Z442-X442,"")</x:f>
        <x:v>-10.75</x:v>
      </x:c>
      <x:c r="AB442" s="80" t="str">
        <x:f>IF(AA442="","",IF(AA442&gt;=5,"안정",IF(AA442&gt;=1,"적정",IF(AA442&gt;=-2,"소신","상향"))))</x:f>
        <x:v>상향</x:v>
      </x:c>
      <x:c r="AC442" s="82" t="n">
        <x:v>0</x:v>
      </x:c>
      <x:c r="AD442" s="82" t="n">
        <x:v>100</x:v>
      </x:c>
      <x:c r="AE442" s="82" t="n">
        <x:v>0</x:v>
      </x:c>
      <x:c r="AF442" s="80" t="str">
        <x:v>B: 공식 과목별 70% 백분위 → 단순평균 파생</x:v>
      </x:c>
      <x:c r="AG442" s="80" t="str">
        <x:v>https://www.adiga.kr/ucp/uvt/uni/univDetailSelection.do?menuId=PCUVTINF2000&amp;searchSyr=2026&amp;unvCd=0000040</x:v>
      </x:c>
    </x:row>
    <x:row r="443">
      <x:c r="A443" s="80" t="n">
        <x:v>2025</x:v>
      </x:c>
      <x:c r="B443" s="80" t="str">
        <x:v>서울특별시</x:v>
      </x:c>
      <x:c r="C443" s="80" t="str">
        <x:v>공립</x:v>
      </x:c>
      <x:c r="D443" s="80" t="str">
        <x:v>서울시립대학교</x:v>
      </x:c>
      <x:c r="E443" s="80" t="str">
        <x:v>나</x:v>
      </x:c>
      <x:c r="F443" s="80" t="str">
        <x:v>일반전형</x:v>
      </x:c>
      <x:c r="G443" s="80" t="str">
        <x:v>공간정보공학과</x:v>
      </x:c>
      <x:c r="H443" s="80" t="n">
        <x:v>10</x:v>
      </x:c>
      <x:c r="I443" s="80" t="n">
        <x:v>0</x:v>
      </x:c>
      <x:c r="J443" s="80" t="n">
        <x:v>10</x:v>
      </x:c>
      <x:c r="K443" s="81" t="n">
        <x:v>4.5</x:v>
      </x:c>
      <x:c r="L443" s="81" t="n">
        <x:v>8</x:v>
      </x:c>
      <x:c r="M443" s="81" t="n">
        <x:v>931.34</x:v>
      </x:c>
      <x:c r="N443" s="81" t="n">
        <x:v>930.14</x:v>
      </x:c>
      <x:c r="O443" s="81" t="n">
        <x:v>1000</x:v>
      </x:c>
      <x:c r="P443" s="81" t="n">
        <x:v>75</x:v>
      </x:c>
      <x:c r="Q443" s="81" t="n">
        <x:v>93</x:v>
      </x:c>
      <x:c r="R443" s="81" t="n">
        <x:v>99</x:v>
      </x:c>
      <x:c r="S443" s="81" t="n">
        <x:v>94</x:v>
      </x:c>
      <x:c r="T443" s="81" t="n">
        <x:v>3</x:v>
      </x:c>
      <x:c r="U443" s="81" t="n">
        <x:v>1</x:v>
      </x:c>
      <x:c r="V443" s="80"/>
      <x:c r="W443" s="81" t="n">
        <x:f>IF(COUNTA(P443:S443)=4,AVERAGE(P443:S443),"")</x:f>
        <x:v>90.25</x:v>
      </x:c>
      <x:c r="X443" s="81" t="n">
        <x:f>IF(V443&lt;&gt;"",V443,W443)</x:f>
        <x:v>90.25</x:v>
      </x:c>
      <x:c r="Y443" s="80" t="str">
        <x:v>파생 단순평균(참고)</x:v>
      </x:c>
      <x:c r="Z443" s="81" t="n">
        <x:v>80</x:v>
      </x:c>
      <x:c r="AA443" s="81" t="n">
        <x:f>IF(X443&lt;&gt;"",Z443-X443,"")</x:f>
        <x:v>-10.25</x:v>
      </x:c>
      <x:c r="AB443" s="80" t="str">
        <x:f>IF(AA443="","",IF(AA443&gt;=5,"안정",IF(AA443&gt;=1,"적정",IF(AA443&gt;=-2,"소신","상향"))))</x:f>
        <x:v>상향</x:v>
      </x:c>
      <x:c r="AC443" s="82" t="n">
        <x:v>0</x:v>
      </x:c>
      <x:c r="AD443" s="82" t="n">
        <x:v>100</x:v>
      </x:c>
      <x:c r="AE443" s="82" t="n">
        <x:v>0</x:v>
      </x:c>
      <x:c r="AF443" s="80" t="str">
        <x:v>B: 공식 과목별 70% 백분위 → 단순평균 파생</x:v>
      </x:c>
      <x:c r="AG443" s="80" t="str">
        <x:v>https://www.adiga.kr/ucp/uvt/uni/univDetailSelection.do?menuId=PCUVTINF2000&amp;searchSyr=2026&amp;unvCd=0000040</x:v>
      </x:c>
    </x:row>
    <x:row r="444">
      <x:c r="A444" s="80" t="n">
        <x:v>2025</x:v>
      </x:c>
      <x:c r="B444" s="80" t="str">
        <x:v>서울특별시</x:v>
      </x:c>
      <x:c r="C444" s="80" t="str">
        <x:v>공립</x:v>
      </x:c>
      <x:c r="D444" s="80" t="str">
        <x:v>서울시립대학교</x:v>
      </x:c>
      <x:c r="E444" s="80" t="str">
        <x:v>다</x:v>
      </x:c>
      <x:c r="F444" s="80" t="str">
        <x:v>일반전형</x:v>
      </x:c>
      <x:c r="G444" s="80" t="str">
        <x:v>융합응용화학과</x:v>
      </x:c>
      <x:c r="H444" s="80" t="n">
        <x:v>8</x:v>
      </x:c>
      <x:c r="I444" s="80" t="n">
        <x:v>0</x:v>
      </x:c>
      <x:c r="J444" s="80" t="n">
        <x:v>8</x:v>
      </x:c>
      <x:c r="K444" s="81" t="n">
        <x:v>13.63</x:v>
      </x:c>
      <x:c r="L444" s="81" t="n">
        <x:v>38</x:v>
      </x:c>
      <x:c r="M444" s="81" t="n">
        <x:v>935.57</x:v>
      </x:c>
      <x:c r="N444" s="81" t="n">
        <x:v>935.41</x:v>
      </x:c>
      <x:c r="O444" s="81" t="n">
        <x:v>1000</x:v>
      </x:c>
      <x:c r="P444" s="81" t="n">
        <x:v>88</x:v>
      </x:c>
      <x:c r="Q444" s="81" t="n">
        <x:v>98</x:v>
      </x:c>
      <x:c r="R444" s="81" t="n">
        <x:v>98</x:v>
      </x:c>
      <x:c r="S444" s="81" t="n">
        <x:v>71</x:v>
      </x:c>
      <x:c r="T444" s="81" t="n">
        <x:v>4</x:v>
      </x:c>
      <x:c r="U444" s="81" t="n">
        <x:v>1</x:v>
      </x:c>
      <x:c r="V444" s="80"/>
      <x:c r="W444" s="81" t="n">
        <x:f>IF(COUNTA(P444:S444)=4,AVERAGE(P444:S444),"")</x:f>
        <x:v>88.75</x:v>
      </x:c>
      <x:c r="X444" s="81" t="n">
        <x:f>IF(V444&lt;&gt;"",V444,W444)</x:f>
        <x:v>88.75</x:v>
      </x:c>
      <x:c r="Y444" s="80" t="str">
        <x:v>파생 단순평균(참고)</x:v>
      </x:c>
      <x:c r="Z444" s="81" t="n">
        <x:v>80</x:v>
      </x:c>
      <x:c r="AA444" s="81" t="n">
        <x:f>IF(X444&lt;&gt;"",Z444-X444,"")</x:f>
        <x:v>-8.75</x:v>
      </x:c>
      <x:c r="AB444" s="80" t="str">
        <x:f>IF(AA444="","",IF(AA444&gt;=5,"안정",IF(AA444&gt;=1,"적정",IF(AA444&gt;=-2,"소신","상향"))))</x:f>
        <x:v>상향</x:v>
      </x:c>
      <x:c r="AC444" s="82" t="n">
        <x:v>0</x:v>
      </x:c>
      <x:c r="AD444" s="82" t="n">
        <x:v>100</x:v>
      </x:c>
      <x:c r="AE444" s="82" t="n">
        <x:v>0</x:v>
      </x:c>
      <x:c r="AF444" s="80" t="str">
        <x:v>B: 공식 과목별 70% 백분위 → 단순평균 파생</x:v>
      </x:c>
      <x:c r="AG444" s="80" t="str">
        <x:v>https://www.adiga.kr/ucp/uvt/uni/univDetailSelection.do?menuId=PCUVTINF2000&amp;searchSyr=2026&amp;unvCd=0000040</x:v>
      </x:c>
    </x:row>
    <x:row r="445">
      <x:c r="A445" s="80" t="n">
        <x:v>2025</x:v>
      </x:c>
      <x:c r="B445" s="80" t="str">
        <x:v>서울특별시</x:v>
      </x:c>
      <x:c r="C445" s="80" t="str">
        <x:v>공립</x:v>
      </x:c>
      <x:c r="D445" s="80" t="str">
        <x:v>서울시립대학교</x:v>
      </x:c>
      <x:c r="E445" s="80" t="str">
        <x:v>다</x:v>
      </x:c>
      <x:c r="F445" s="80" t="str">
        <x:v>일반전형</x:v>
      </x:c>
      <x:c r="G445" s="80" t="str">
        <x:v>첨단융합학부 융합바이오헬스전공</x:v>
      </x:c>
      <x:c r="H445" s="80" t="n">
        <x:v>2</x:v>
      </x:c>
      <x:c r="I445" s="80" t="n">
        <x:v>0</x:v>
      </x:c>
      <x:c r="J445" s="80" t="n">
        <x:v>2</x:v>
      </x:c>
      <x:c r="K445" s="81" t="n">
        <x:v>20.5</x:v>
      </x:c>
      <x:c r="L445" s="81" t="n">
        <x:v>4</x:v>
      </x:c>
      <x:c r="M445" s="81" t="n">
        <x:v>936.27</x:v>
      </x:c>
      <x:c r="N445" s="81" t="n">
        <x:v>936.27</x:v>
      </x:c>
      <x:c r="O445" s="81" t="n">
        <x:v>1000</x:v>
      </x:c>
      <x:c r="P445" s="81" t="n">
        <x:v>63</x:v>
      </x:c>
      <x:c r="Q445" s="81" t="n">
        <x:v>98</x:v>
      </x:c>
      <x:c r="R445" s="81" t="n">
        <x:v>99</x:v>
      </x:c>
      <x:c r="S445" s="81" t="n">
        <x:v>90</x:v>
      </x:c>
      <x:c r="T445" s="81" t="n">
        <x:v>3</x:v>
      </x:c>
      <x:c r="U445" s="81" t="n">
        <x:v>2</x:v>
      </x:c>
      <x:c r="V445" s="80"/>
      <x:c r="W445" s="81" t="n">
        <x:f>IF(COUNTA(P445:S445)=4,AVERAGE(P445:S445),"")</x:f>
        <x:v>87.5</x:v>
      </x:c>
      <x:c r="X445" s="81" t="n">
        <x:f>IF(V445&lt;&gt;"",V445,W445)</x:f>
        <x:v>87.5</x:v>
      </x:c>
      <x:c r="Y445" s="80" t="str">
        <x:v>파생 단순평균(참고)</x:v>
      </x:c>
      <x:c r="Z445" s="81" t="n">
        <x:v>80</x:v>
      </x:c>
      <x:c r="AA445" s="81" t="n">
        <x:f>IF(X445&lt;&gt;"",Z445-X445,"")</x:f>
        <x:v>-7.5</x:v>
      </x:c>
      <x:c r="AB445" s="80" t="str">
        <x:f>IF(AA445="","",IF(AA445&gt;=5,"안정",IF(AA445&gt;=1,"적정",IF(AA445&gt;=-2,"소신","상향"))))</x:f>
        <x:v>상향</x:v>
      </x:c>
      <x:c r="AC445" s="82" t="n">
        <x:v>0</x:v>
      </x:c>
      <x:c r="AD445" s="82" t="n">
        <x:v>100</x:v>
      </x:c>
      <x:c r="AE445" s="82" t="n">
        <x:v>0</x:v>
      </x:c>
      <x:c r="AF445" s="80" t="str">
        <x:v>B: 공식 과목별 70% 백분위 → 단순평균 파생</x:v>
      </x:c>
      <x:c r="AG445" s="80" t="str">
        <x:v>https://www.adiga.kr/ucp/uvt/uni/univDetailSelection.do?menuId=PCUVTINF2000&amp;searchSyr=2026&amp;unvCd=0000040</x:v>
      </x:c>
    </x:row>
    <x:row r="446">
      <x:c r="A446" s="80" t="n">
        <x:v>2025</x:v>
      </x:c>
      <x:c r="B446" s="80" t="str">
        <x:v>서울특별시</x:v>
      </x:c>
      <x:c r="C446" s="80" t="str">
        <x:v>공립</x:v>
      </x:c>
      <x:c r="D446" s="80" t="str">
        <x:v>서울시립대학교</x:v>
      </x:c>
      <x:c r="E446" s="80" t="str">
        <x:v>다</x:v>
      </x:c>
      <x:c r="F446" s="80" t="str">
        <x:v>일반전형</x:v>
      </x:c>
      <x:c r="G446" s="80" t="str">
        <x:v>첨단융합학부 첨단인공지능전공</x:v>
      </x:c>
      <x:c r="H446" s="80" t="n">
        <x:v>5</x:v>
      </x:c>
      <x:c r="I446" s="80" t="n">
        <x:v>0</x:v>
      </x:c>
      <x:c r="J446" s="80" t="n">
        <x:v>5</x:v>
      </x:c>
      <x:c r="K446" s="81" t="n">
        <x:v>16.2</x:v>
      </x:c>
      <x:c r="L446" s="81" t="n">
        <x:v>37</x:v>
      </x:c>
      <x:c r="M446" s="81" t="n">
        <x:v>938.86</x:v>
      </x:c>
      <x:c r="N446" s="81" t="n">
        <x:v>938.81</x:v>
      </x:c>
      <x:c r="O446" s="81" t="n">
        <x:v>1000</x:v>
      </x:c>
      <x:c r="P446" s="81" t="n">
        <x:v>74</x:v>
      </x:c>
      <x:c r="Q446" s="81" t="n">
        <x:v>99</x:v>
      </x:c>
      <x:c r="R446" s="81" t="n">
        <x:v>94</x:v>
      </x:c>
      <x:c r="S446" s="81" t="n">
        <x:v>83</x:v>
      </x:c>
      <x:c r="T446" s="81" t="n">
        <x:v>1</x:v>
      </x:c>
      <x:c r="U446" s="81" t="n">
        <x:v>3</x:v>
      </x:c>
      <x:c r="V446" s="80"/>
      <x:c r="W446" s="81" t="n">
        <x:f>IF(COUNTA(P446:S446)=4,AVERAGE(P446:S446),"")</x:f>
        <x:v>87.5</x:v>
      </x:c>
      <x:c r="X446" s="81" t="n">
        <x:f>IF(V446&lt;&gt;"",V446,W446)</x:f>
        <x:v>87.5</x:v>
      </x:c>
      <x:c r="Y446" s="80" t="str">
        <x:v>파생 단순평균(참고)</x:v>
      </x:c>
      <x:c r="Z446" s="81" t="n">
        <x:v>80</x:v>
      </x:c>
      <x:c r="AA446" s="81" t="n">
        <x:f>IF(X446&lt;&gt;"",Z446-X446,"")</x:f>
        <x:v>-7.5</x:v>
      </x:c>
      <x:c r="AB446" s="80" t="str">
        <x:f>IF(AA446="","",IF(AA446&gt;=5,"안정",IF(AA446&gt;=1,"적정",IF(AA446&gt;=-2,"소신","상향"))))</x:f>
        <x:v>상향</x:v>
      </x:c>
      <x:c r="AC446" s="82" t="n">
        <x:v>0</x:v>
      </x:c>
      <x:c r="AD446" s="82" t="n">
        <x:v>100</x:v>
      </x:c>
      <x:c r="AE446" s="82" t="n">
        <x:v>0</x:v>
      </x:c>
      <x:c r="AF446" s="80" t="str">
        <x:v>B: 공식 과목별 70% 백분위 → 단순평균 파생</x:v>
      </x:c>
      <x:c r="AG446" s="80" t="str">
        <x:v>https://www.adiga.kr/ucp/uvt/uni/univDetailSelection.do?menuId=PCUVTINF2000&amp;searchSyr=2026&amp;unvCd=0000040</x:v>
      </x:c>
    </x:row>
    <x:row r="447">
      <x:c r="A447" s="80" t="n">
        <x:v>2025</x:v>
      </x:c>
      <x:c r="B447" s="80" t="str">
        <x:v>서울특별시</x:v>
      </x:c>
      <x:c r="C447" s="80" t="str">
        <x:v>사립</x:v>
      </x:c>
      <x:c r="D447" s="80" t="str">
        <x:v>덕성여자대학교</x:v>
      </x:c>
      <x:c r="E447" s="80" t="str">
        <x:v>가</x:v>
      </x:c>
      <x:c r="F447" s="80" t="str">
        <x:v>일반전형</x:v>
      </x:c>
      <x:c r="G447" s="80" t="str">
        <x:v>과학기술대학</x:v>
      </x:c>
      <x:c r="H447" s="80" t="n">
        <x:v>84</x:v>
      </x:c>
      <x:c r="I447" s="80" t="n">
        <x:v>5</x:v>
      </x:c>
      <x:c r="J447" s="80" t="n">
        <x:v>89</x:v>
      </x:c>
      <x:c r="K447" s="81" t="n">
        <x:v>4.24</x:v>
      </x:c>
      <x:c r="L447" s="81" t="n">
        <x:v>67</x:v>
      </x:c>
      <x:c r="M447" s="81" t="n">
        <x:v>888</x:v>
      </x:c>
      <x:c r="N447" s="81" t="n">
        <x:v>884</x:v>
      </x:c>
      <x:c r="O447" s="81" t="n">
        <x:v>1000</x:v>
      </x:c>
      <x:c r="P447" s="81" t="n">
        <x:v>68</x:v>
      </x:c>
      <x:c r="Q447" s="81" t="n">
        <x:v>66</x:v>
      </x:c>
      <x:c r="R447" s="81" t="n">
        <x:v>94</x:v>
      </x:c>
      <x:c r="S447" s="81" t="n">
        <x:v>85</x:v>
      </x:c>
      <x:c r="T447" s="81" t="n">
        <x:v>2</x:v>
      </x:c>
      <x:c r="U447" s="81" t="n">
        <x:v>3</x:v>
      </x:c>
      <x:c r="V447" s="80"/>
      <x:c r="W447" s="81" t="n">
        <x:f>IF(COUNTA(P447:S447)=4,AVERAGE(P447:S447),"")</x:f>
        <x:v>78.25</x:v>
      </x:c>
      <x:c r="X447" s="81" t="n">
        <x:f>IF(V447&lt;&gt;"",V447,W447)</x:f>
        <x:v>78.25</x:v>
      </x:c>
      <x:c r="Y447" s="80" t="str">
        <x:v>파생 단순평균(참고)</x:v>
      </x:c>
      <x:c r="Z447" s="81" t="n">
        <x:v>80</x:v>
      </x:c>
      <x:c r="AA447" s="81" t="n">
        <x:f>IF(X447&lt;&gt;"",Z447-X447,"")</x:f>
        <x:v>1.75</x:v>
      </x:c>
      <x:c r="AB447" s="80" t="str">
        <x:f>IF(AA447="","",IF(AA447&gt;=5,"안정",IF(AA447&gt;=1,"적정",IF(AA447&gt;=-2,"소신","상향"))))</x:f>
        <x:v>적정</x:v>
      </x:c>
      <x:c r="AC447" s="82" t="n">
        <x:v>15</x:v>
      </x:c>
      <x:c r="AD447" s="82" t="n">
        <x:v>81.6</x:v>
      </x:c>
      <x:c r="AE447" s="82" t="n">
        <x:v>3.4</x:v>
      </x:c>
      <x:c r="AF447" s="80" t="str">
        <x:v>B: 공식 과목별 70% 백분위 → 단순평균 파생</x:v>
      </x:c>
      <x:c r="AG447" s="80" t="str">
        <x:v>https://www.adiga.kr/ucp/uvt/uni/univDetailSelection.do?menuId=PCUVTINF2000&amp;searchSyr=2026&amp;unvCd=0000099</x:v>
      </x:c>
    </x:row>
    <x:row r="448">
      <x:c r="A448" s="80" t="n">
        <x:v>2025</x:v>
      </x:c>
      <x:c r="B448" s="80" t="str">
        <x:v>서울특별시</x:v>
      </x:c>
      <x:c r="C448" s="80" t="str">
        <x:v>사립</x:v>
      </x:c>
      <x:c r="D448" s="80" t="str">
        <x:v>덕성여자대학교</x:v>
      </x:c>
      <x:c r="E448" s="80" t="str">
        <x:v>가</x:v>
      </x:c>
      <x:c r="F448" s="80" t="str">
        <x:v>일반전형</x:v>
      </x:c>
      <x:c r="G448" s="80" t="str">
        <x:v>약학대학(약학과)</x:v>
      </x:c>
      <x:c r="H448" s="80" t="n">
        <x:v>35</x:v>
      </x:c>
      <x:c r="I448" s="80" t="n">
        <x:v>0</x:v>
      </x:c>
      <x:c r="J448" s="80" t="n">
        <x:v>35</x:v>
      </x:c>
      <x:c r="K448" s="81" t="n">
        <x:v>7.17</x:v>
      </x:c>
      <x:c r="L448" s="81" t="n">
        <x:v>54</x:v>
      </x:c>
      <x:c r="M448" s="81" t="n">
        <x:v>978.5</x:v>
      </x:c>
      <x:c r="N448" s="81" t="n">
        <x:v>977</x:v>
      </x:c>
      <x:c r="O448" s="81" t="n">
        <x:v>1000</x:v>
      </x:c>
      <x:c r="P448" s="81" t="n">
        <x:v>98</x:v>
      </x:c>
      <x:c r="Q448" s="81" t="n">
        <x:v>97</x:v>
      </x:c>
      <x:c r="R448" s="81" t="n">
        <x:v>96</x:v>
      </x:c>
      <x:c r="S448" s="81" t="n">
        <x:v>92</x:v>
      </x:c>
      <x:c r="T448" s="81" t="n">
        <x:v>2</x:v>
      </x:c>
      <x:c r="U448" s="81" t="n">
        <x:v>2</x:v>
      </x:c>
      <x:c r="V448" s="80"/>
      <x:c r="W448" s="81" t="n">
        <x:f>IF(COUNTA(P448:S448)=4,AVERAGE(P448:S448),"")</x:f>
        <x:v>95.75</x:v>
      </x:c>
      <x:c r="X448" s="81" t="n">
        <x:f>IF(V448&lt;&gt;"",V448,W448)</x:f>
        <x:v>95.75</x:v>
      </x:c>
      <x:c r="Y448" s="80" t="str">
        <x:v>파생 단순평균(참고)</x:v>
      </x:c>
      <x:c r="Z448" s="81" t="n">
        <x:v>80</x:v>
      </x:c>
      <x:c r="AA448" s="81" t="n">
        <x:f>IF(X448&lt;&gt;"",Z448-X448,"")</x:f>
        <x:v>-15.75</x:v>
      </x:c>
      <x:c r="AB448" s="80" t="str">
        <x:f>IF(AA448="","",IF(AA448&gt;=5,"안정",IF(AA448&gt;=1,"적정",IF(AA448&gt;=-2,"소신","상향"))))</x:f>
        <x:v>상향</x:v>
      </x:c>
      <x:c r="AC448" s="82" t="n">
        <x:v>0</x:v>
      </x:c>
      <x:c r="AD448" s="82" t="n">
        <x:v>93.9</x:v>
      </x:c>
      <x:c r="AE448" s="82" t="n">
        <x:v>6.1</x:v>
      </x:c>
      <x:c r="AF448" s="80" t="str">
        <x:v>B: 공식 과목별 70% 백분위 → 단순평균 파생</x:v>
      </x:c>
      <x:c r="AG448" s="80" t="str">
        <x:v>https://www.adiga.kr/ucp/uvt/uni/univDetailSelection.do?menuId=PCUVTINF2000&amp;searchSyr=2026&amp;unvCd=0000099</x:v>
      </x:c>
    </x:row>
    <x:row r="449">
      <x:c r="A449" s="80" t="n">
        <x:v>2025</x:v>
      </x:c>
      <x:c r="B449" s="80" t="str">
        <x:v>서울특별시</x:v>
      </x:c>
      <x:c r="C449" s="80" t="str">
        <x:v>사립</x:v>
      </x:c>
      <x:c r="D449" s="80" t="str">
        <x:v>덕성여자대학교</x:v>
      </x:c>
      <x:c r="E449" s="80" t="str">
        <x:v>가</x:v>
      </x:c>
      <x:c r="F449" s="80" t="str">
        <x:v>일반전형</x:v>
      </x:c>
      <x:c r="G449" s="80" t="str">
        <x:v>자유전공학부</x:v>
      </x:c>
      <x:c r="H449" s="80" t="n">
        <x:v>100</x:v>
      </x:c>
      <x:c r="I449" s="80" t="n">
        <x:v>9</x:v>
      </x:c>
      <x:c r="J449" s="80" t="n">
        <x:v>109</x:v>
      </x:c>
      <x:c r="K449" s="81" t="n">
        <x:v>4.76</x:v>
      </x:c>
      <x:c r="L449" s="81" t="n">
        <x:v>92</x:v>
      </x:c>
      <x:c r="M449" s="81" t="n">
        <x:v>883</x:v>
      </x:c>
      <x:c r="N449" s="81" t="n">
        <x:v>876.5</x:v>
      </x:c>
      <x:c r="O449" s="81" t="n">
        <x:v>1000</x:v>
      </x:c>
      <x:c r="P449" s="81" t="n">
        <x:v>67</x:v>
      </x:c>
      <x:c r="Q449" s="81" t="n">
        <x:v>57</x:v>
      </x:c>
      <x:c r="R449" s="81" t="n">
        <x:v>95</x:v>
      </x:c>
      <x:c r="S449" s="81" t="n">
        <x:v>71</x:v>
      </x:c>
      <x:c r="T449" s="81" t="n">
        <x:v>2</x:v>
      </x:c>
      <x:c r="U449" s="81" t="n">
        <x:v>3</x:v>
      </x:c>
      <x:c r="V449" s="80"/>
      <x:c r="W449" s="81" t="n">
        <x:f>IF(COUNTA(P449:S449)=4,AVERAGE(P449:S449),"")</x:f>
        <x:v>72.5</x:v>
      </x:c>
      <x:c r="X449" s="81" t="n">
        <x:f>IF(V449&lt;&gt;"",V449,W449)</x:f>
        <x:v>72.5</x:v>
      </x:c>
      <x:c r="Y449" s="80" t="str">
        <x:v>파생 단순평균(참고)</x:v>
      </x:c>
      <x:c r="Z449" s="81" t="n">
        <x:v>80</x:v>
      </x:c>
      <x:c r="AA449" s="81" t="n">
        <x:f>IF(X449&lt;&gt;"",Z449-X449,"")</x:f>
        <x:v>7.5</x:v>
      </x:c>
      <x:c r="AB449" s="80" t="str">
        <x:f>IF(AA449="","",IF(AA449&gt;=5,"안정",IF(AA449&gt;=1,"적정",IF(AA449&gt;=-2,"소신","상향"))))</x:f>
        <x:v>안정</x:v>
      </x:c>
      <x:c r="AC449" s="82" t="n">
        <x:v>73.1</x:v>
      </x:c>
      <x:c r="AD449" s="82" t="n">
        <x:v>26.9</x:v>
      </x:c>
      <x:c r="AE449" s="82" t="n">
        <x:v>0</x:v>
      </x:c>
      <x:c r="AF449" s="80" t="str">
        <x:v>B: 공식 과목별 70% 백분위 → 단순평균 파생</x:v>
      </x:c>
      <x:c r="AG449" s="80" t="str">
        <x:v>https://www.adiga.kr/ucp/uvt/uni/univDetailSelection.do?menuId=PCUVTINF2000&amp;searchSyr=2026&amp;unvCd=0000099</x:v>
      </x:c>
    </x:row>
    <x:row r="450">
      <x:c r="A450" s="80" t="n">
        <x:v>2025</x:v>
      </x:c>
      <x:c r="B450" s="80" t="str">
        <x:v>서울특별시</x:v>
      </x:c>
      <x:c r="C450" s="80" t="str">
        <x:v>사립</x:v>
      </x:c>
      <x:c r="D450" s="80" t="str">
        <x:v>덕성여자대학교</x:v>
      </x:c>
      <x:c r="E450" s="80" t="str">
        <x:v>가</x:v>
      </x:c>
      <x:c r="F450" s="80" t="str">
        <x:v>일반전형</x:v>
      </x:c>
      <x:c r="G450" s="80" t="str">
        <x:v>가상현실융합학과</x:v>
      </x:c>
      <x:c r="H450" s="80" t="n">
        <x:v>15</x:v>
      </x:c>
      <x:c r="I450" s="80" t="n">
        <x:v>0</x:v>
      </x:c>
      <x:c r="J450" s="80" t="n">
        <x:v>15</x:v>
      </x:c>
      <x:c r="K450" s="81" t="n">
        <x:v>4.8</x:v>
      </x:c>
      <x:c r="L450" s="81" t="n">
        <x:v>4</x:v>
      </x:c>
      <x:c r="M450" s="81" t="n">
        <x:v>882.5</x:v>
      </x:c>
      <x:c r="N450" s="81" t="n">
        <x:v>879.5</x:v>
      </x:c>
      <x:c r="O450" s="81" t="n">
        <x:v>1000</x:v>
      </x:c>
      <x:c r="P450" s="81" t="n">
        <x:v>74</x:v>
      </x:c>
      <x:c r="Q450" s="81" t="n">
        <x:v>78</x:v>
      </x:c>
      <x:c r="R450" s="81" t="n">
        <x:v>85</x:v>
      </x:c>
      <x:c r="S450" s="81" t="n">
        <x:v>75</x:v>
      </x:c>
      <x:c r="T450" s="81" t="n">
        <x:v>2</x:v>
      </x:c>
      <x:c r="U450" s="81" t="n">
        <x:v>5</x:v>
      </x:c>
      <x:c r="V450" s="80"/>
      <x:c r="W450" s="81" t="n">
        <x:f>IF(COUNTA(P450:S450)=4,AVERAGE(P450:S450),"")</x:f>
        <x:v>78</x:v>
      </x:c>
      <x:c r="X450" s="81" t="n">
        <x:f>IF(V450&lt;&gt;"",V450,W450)</x:f>
        <x:v>78</x:v>
      </x:c>
      <x:c r="Y450" s="80" t="str">
        <x:v>파생 단순평균(참고)</x:v>
      </x:c>
      <x:c r="Z450" s="81" t="n">
        <x:v>80</x:v>
      </x:c>
      <x:c r="AA450" s="81" t="n">
        <x:f>IF(X450&lt;&gt;"",Z450-X450,"")</x:f>
        <x:v>2</x:v>
      </x:c>
      <x:c r="AB450" s="80" t="str">
        <x:f>IF(AA450="","",IF(AA450&gt;=5,"안정",IF(AA450&gt;=1,"적정",IF(AA450&gt;=-2,"소신","상향"))))</x:f>
        <x:v>적정</x:v>
      </x:c>
      <x:c r="AC450" s="82" t="n">
        <x:v>60</x:v>
      </x:c>
      <x:c r="AD450" s="82" t="n">
        <x:v>40</x:v>
      </x:c>
      <x:c r="AE450" s="82" t="n">
        <x:v>0</x:v>
      </x:c>
      <x:c r="AF450" s="80" t="str">
        <x:v>B: 공식 과목별 70% 백분위 → 단순평균 파생</x:v>
      </x:c>
      <x:c r="AG450" s="80" t="str">
        <x:v>https://www.adiga.kr/ucp/uvt/uni/univDetailSelection.do?menuId=PCUVTINF2000&amp;searchSyr=2026&amp;unvCd=0000099</x:v>
      </x:c>
    </x:row>
    <x:row r="451">
      <x:c r="A451" s="80" t="n">
        <x:v>2025</x:v>
      </x:c>
      <x:c r="B451" s="80" t="str">
        <x:v>서울특별시</x:v>
      </x:c>
      <x:c r="C451" s="80" t="str">
        <x:v>사립</x:v>
      </x:c>
      <x:c r="D451" s="80" t="str">
        <x:v>덕성여자대학교</x:v>
      </x:c>
      <x:c r="E451" s="80" t="str">
        <x:v>가</x:v>
      </x:c>
      <x:c r="F451" s="80" t="str">
        <x:v>일반전형</x:v>
      </x:c>
      <x:c r="G451" s="80" t="str">
        <x:v>데이터사이언스학과</x:v>
      </x:c>
      <x:c r="H451" s="80" t="n">
        <x:v>15</x:v>
      </x:c>
      <x:c r="I451" s="80" t="n">
        <x:v>0</x:v>
      </x:c>
      <x:c r="J451" s="80" t="n">
        <x:v>15</x:v>
      </x:c>
      <x:c r="K451" s="81" t="n">
        <x:v>7.4</x:v>
      </x:c>
      <x:c r="L451" s="81" t="n">
        <x:v>14</x:v>
      </x:c>
      <x:c r="M451" s="81" t="n">
        <x:v>891</x:v>
      </x:c>
      <x:c r="N451" s="81" t="n">
        <x:v>888.5</x:v>
      </x:c>
      <x:c r="O451" s="81" t="n">
        <x:v>1000</x:v>
      </x:c>
      <x:c r="P451" s="81" t="n">
        <x:v>75</x:v>
      </x:c>
      <x:c r="Q451" s="81" t="n">
        <x:v>87</x:v>
      </x:c>
      <x:c r="R451" s="81" t="n">
        <x:v>78</x:v>
      </x:c>
      <x:c r="S451" s="81" t="n">
        <x:v>68</x:v>
      </x:c>
      <x:c r="T451" s="81" t="n">
        <x:v>2</x:v>
      </x:c>
      <x:c r="U451" s="81" t="n">
        <x:v>3</x:v>
      </x:c>
      <x:c r="V451" s="80"/>
      <x:c r="W451" s="81" t="n">
        <x:f>IF(COUNTA(P451:S451)=4,AVERAGE(P451:S451),"")</x:f>
        <x:v>77</x:v>
      </x:c>
      <x:c r="X451" s="81" t="n">
        <x:f>IF(V451&lt;&gt;"",V451,W451)</x:f>
        <x:v>77</x:v>
      </x:c>
      <x:c r="Y451" s="80" t="str">
        <x:v>파생 단순평균(참고)</x:v>
      </x:c>
      <x:c r="Z451" s="81" t="n">
        <x:v>80</x:v>
      </x:c>
      <x:c r="AA451" s="81" t="n">
        <x:f>IF(X451&lt;&gt;"",Z451-X451,"")</x:f>
        <x:v>3</x:v>
      </x:c>
      <x:c r="AB451" s="80" t="str">
        <x:f>IF(AA451="","",IF(AA451&gt;=5,"안정",IF(AA451&gt;=1,"적정",IF(AA451&gt;=-2,"소신","상향"))))</x:f>
        <x:v>적정</x:v>
      </x:c>
      <x:c r="AC451" s="82" t="n">
        <x:v>46.7</x:v>
      </x:c>
      <x:c r="AD451" s="82" t="n">
        <x:v>40</x:v>
      </x:c>
      <x:c r="AE451" s="82" t="n">
        <x:v>13.3</x:v>
      </x:c>
      <x:c r="AF451" s="80" t="str">
        <x:v>B: 공식 과목별 70% 백분위 → 단순평균 파생</x:v>
      </x:c>
      <x:c r="AG451" s="80" t="str">
        <x:v>https://www.adiga.kr/ucp/uvt/uni/univDetailSelection.do?menuId=PCUVTINF2000&amp;searchSyr=2026&amp;unvCd=0000099</x:v>
      </x:c>
    </x:row>
    <x:row r="452">
      <x:c r="A452" s="80" t="n">
        <x:v>2025</x:v>
      </x:c>
      <x:c r="B452" s="80" t="str">
        <x:v>서울특별시</x:v>
      </x:c>
      <x:c r="C452" s="80" t="str">
        <x:v>사립</x:v>
      </x:c>
      <x:c r="D452" s="80" t="str">
        <x:v>덕성여자대학교</x:v>
      </x:c>
      <x:c r="E452" s="80" t="str">
        <x:v>가</x:v>
      </x:c>
      <x:c r="F452" s="80" t="str">
        <x:v>일반전형</x:v>
      </x:c>
      <x:c r="G452" s="80" t="str">
        <x:v>AI 신약학과</x:v>
      </x:c>
      <x:c r="H452" s="80" t="n">
        <x:v>15</x:v>
      </x:c>
      <x:c r="I452" s="80" t="n">
        <x:v>1</x:v>
      </x:c>
      <x:c r="J452" s="80" t="n">
        <x:v>16</x:v>
      </x:c>
      <x:c r="K452" s="81" t="n">
        <x:v>4.38</x:v>
      </x:c>
      <x:c r="L452" s="81" t="n">
        <x:v>6</x:v>
      </x:c>
      <x:c r="M452" s="81" t="n">
        <x:v>924</x:v>
      </x:c>
      <x:c r="N452" s="81" t="n">
        <x:v>921</x:v>
      </x:c>
      <x:c r="O452" s="81" t="n">
        <x:v>1000</x:v>
      </x:c>
      <x:c r="P452" s="81" t="n">
        <x:v>65</x:v>
      </x:c>
      <x:c r="Q452" s="81" t="n">
        <x:v>87</x:v>
      </x:c>
      <x:c r="R452" s="81" t="n">
        <x:v>94</x:v>
      </x:c>
      <x:c r="S452" s="81" t="n">
        <x:v>75</x:v>
      </x:c>
      <x:c r="T452" s="81" t="n">
        <x:v>2</x:v>
      </x:c>
      <x:c r="U452" s="81" t="n">
        <x:v>4</x:v>
      </x:c>
      <x:c r="V452" s="80"/>
      <x:c r="W452" s="81" t="n">
        <x:f>IF(COUNTA(P452:S452)=4,AVERAGE(P452:S452),"")</x:f>
        <x:v>80.25</x:v>
      </x:c>
      <x:c r="X452" s="81" t="n">
        <x:f>IF(V452&lt;&gt;"",V452,W452)</x:f>
        <x:v>80.25</x:v>
      </x:c>
      <x:c r="Y452" s="80" t="str">
        <x:v>파생 단순평균(참고)</x:v>
      </x:c>
      <x:c r="Z452" s="81" t="n">
        <x:v>80</x:v>
      </x:c>
      <x:c r="AA452" s="81" t="n">
        <x:f>IF(X452&lt;&gt;"",Z452-X452,"")</x:f>
        <x:v>-0.25</x:v>
      </x:c>
      <x:c r="AB452" s="80" t="str">
        <x:f>IF(AA452="","",IF(AA452&gt;=5,"안정",IF(AA452&gt;=1,"적정",IF(AA452&gt;=-2,"소신","상향"))))</x:f>
        <x:v>소신</x:v>
      </x:c>
      <x:c r="AC452" s="82" t="n">
        <x:v>0</x:v>
      </x:c>
      <x:c r="AD452" s="82" t="n">
        <x:v>93.8</x:v>
      </x:c>
      <x:c r="AE452" s="82" t="n">
        <x:v>6.2</x:v>
      </x:c>
      <x:c r="AF452" s="80" t="str">
        <x:v>B: 공식 과목별 70% 백분위 → 단순평균 파생</x:v>
      </x:c>
      <x:c r="AG452" s="80" t="str">
        <x:v>https://www.adiga.kr/ucp/uvt/uni/univDetailSelection.do?menuId=PCUVTINF2000&amp;searchSyr=2026&amp;unvCd=0000099</x:v>
      </x:c>
    </x:row>
    <x:row r="453">
      <x:c r="A453" s="80" t="n">
        <x:v>2025</x:v>
      </x:c>
      <x:c r="B453" s="80" t="str">
        <x:v>서울특별시</x:v>
      </x:c>
      <x:c r="C453" s="80" t="str">
        <x:v>사립</x:v>
      </x:c>
      <x:c r="D453" s="80" t="str">
        <x:v>덕성여자대학교</x:v>
      </x:c>
      <x:c r="E453" s="80" t="str">
        <x:v>나</x:v>
      </x:c>
      <x:c r="F453" s="80" t="str">
        <x:v>일반전형</x:v>
      </x:c>
      <x:c r="G453" s="80" t="str">
        <x:v>글로벌융합대학(인문사회)</x:v>
      </x:c>
      <x:c r="H453" s="80" t="n">
        <x:v>149</x:v>
      </x:c>
      <x:c r="I453" s="80" t="n">
        <x:v>4</x:v>
      </x:c>
      <x:c r="J453" s="80" t="n">
        <x:v>153</x:v>
      </x:c>
      <x:c r="K453" s="81" t="n">
        <x:v>4.46</x:v>
      </x:c>
      <x:c r="L453" s="81" t="n">
        <x:v>115</x:v>
      </x:c>
      <x:c r="M453" s="81" t="n">
        <x:v>891</x:v>
      </x:c>
      <x:c r="N453" s="81" t="n">
        <x:v>885.5</x:v>
      </x:c>
      <x:c r="O453" s="81" t="n">
        <x:v>1000</x:v>
      </x:c>
      <x:c r="P453" s="81" t="n">
        <x:v>68</x:v>
      </x:c>
      <x:c r="Q453" s="81" t="n">
        <x:v>57</x:v>
      </x:c>
      <x:c r="R453" s="81" t="n">
        <x:v>97</x:v>
      </x:c>
      <x:c r="S453" s="81" t="n">
        <x:v>85</x:v>
      </x:c>
      <x:c r="T453" s="81" t="n">
        <x:v>2</x:v>
      </x:c>
      <x:c r="U453" s="81" t="n">
        <x:v>4</x:v>
      </x:c>
      <x:c r="V453" s="80"/>
      <x:c r="W453" s="81" t="n">
        <x:f>IF(COUNTA(P453:S453)=4,AVERAGE(P453:S453),"")</x:f>
        <x:v>76.75</x:v>
      </x:c>
      <x:c r="X453" s="81" t="n">
        <x:f>IF(V453&lt;&gt;"",V453,W453)</x:f>
        <x:v>76.75</x:v>
      </x:c>
      <x:c r="Y453" s="80" t="str">
        <x:v>파생 단순평균(참고)</x:v>
      </x:c>
      <x:c r="Z453" s="81" t="n">
        <x:v>80</x:v>
      </x:c>
      <x:c r="AA453" s="81" t="n">
        <x:f>IF(X453&lt;&gt;"",Z453-X453,"")</x:f>
        <x:v>3.25</x:v>
      </x:c>
      <x:c r="AB453" s="80" t="str">
        <x:f>IF(AA453="","",IF(AA453&gt;=5,"안정",IF(AA453&gt;=1,"적정",IF(AA453&gt;=-2,"소신","상향"))))</x:f>
        <x:v>적정</x:v>
      </x:c>
      <x:c r="AC453" s="82" t="n">
        <x:v>82.3</x:v>
      </x:c>
      <x:c r="AD453" s="82" t="n">
        <x:v>17</x:v>
      </x:c>
      <x:c r="AE453" s="82" t="n">
        <x:v>0.7</x:v>
      </x:c>
      <x:c r="AF453" s="80" t="str">
        <x:v>B: 공식 과목별 70% 백분위 → 단순평균 파생</x:v>
      </x:c>
      <x:c r="AG453" s="80" t="str">
        <x:v>https://www.adiga.kr/ucp/uvt/uni/univDetailSelection.do?menuId=PCUVTINF2000&amp;searchSyr=2026&amp;unvCd=0000099</x:v>
      </x:c>
    </x:row>
    <x:row r="454">
      <x:c r="A454" s="80" t="n">
        <x:v>2025</x:v>
      </x:c>
      <x:c r="B454" s="80" t="str">
        <x:v>서울특별시</x:v>
      </x:c>
      <x:c r="C454" s="80" t="str">
        <x:v>사립</x:v>
      </x:c>
      <x:c r="D454" s="80" t="str">
        <x:v>덕성여자대학교</x:v>
      </x:c>
      <x:c r="E454" s="80" t="str">
        <x:v>나</x:v>
      </x:c>
      <x:c r="F454" s="80" t="str">
        <x:v>일반전형</x:v>
      </x:c>
      <x:c r="G454" s="80" t="str">
        <x:v>글로벌융합대학(유아교육과)</x:v>
      </x:c>
      <x:c r="H454" s="80" t="n">
        <x:v>15</x:v>
      </x:c>
      <x:c r="I454" s="80" t="n">
        <x:v>1</x:v>
      </x:c>
      <x:c r="J454" s="80" t="n">
        <x:v>16</x:v>
      </x:c>
      <x:c r="K454" s="81" t="n">
        <x:v>3.5</x:v>
      </x:c>
      <x:c r="L454" s="81" t="n">
        <x:v>12</x:v>
      </x:c>
      <x:c r="M454" s="81" t="n">
        <x:v>885</x:v>
      </x:c>
      <x:c r="N454" s="81" t="n">
        <x:v>879.5</x:v>
      </x:c>
      <x:c r="O454" s="81" t="n">
        <x:v>1000</x:v>
      </x:c>
      <x:c r="P454" s="81" t="n">
        <x:v>93</x:v>
      </x:c>
      <x:c r="Q454" s="81" t="n">
        <x:v>48</x:v>
      </x:c>
      <x:c r="R454" s="81" t="n">
        <x:v>80</x:v>
      </x:c>
      <x:c r="S454" s="81" t="n">
        <x:v>59</x:v>
      </x:c>
      <x:c r="T454" s="81" t="n">
        <x:v>3</x:v>
      </x:c>
      <x:c r="U454" s="81" t="n">
        <x:v>2</x:v>
      </x:c>
      <x:c r="V454" s="80"/>
      <x:c r="W454" s="81" t="n">
        <x:f>IF(COUNTA(P454:S454)=4,AVERAGE(P454:S454),"")</x:f>
        <x:v>70</x:v>
      </x:c>
      <x:c r="X454" s="81" t="n">
        <x:f>IF(V454&lt;&gt;"",V454,W454)</x:f>
        <x:v>70</x:v>
      </x:c>
      <x:c r="Y454" s="80" t="str">
        <x:v>파생 단순평균(참고)</x:v>
      </x:c>
      <x:c r="Z454" s="81" t="n">
        <x:v>80</x:v>
      </x:c>
      <x:c r="AA454" s="81" t="n">
        <x:f>IF(X454&lt;&gt;"",Z454-X454,"")</x:f>
        <x:v>10</x:v>
      </x:c>
      <x:c r="AB454" s="80" t="str">
        <x:f>IF(AA454="","",IF(AA454&gt;=5,"안정",IF(AA454&gt;=1,"적정",IF(AA454&gt;=-2,"소신","상향"))))</x:f>
        <x:v>안정</x:v>
      </x:c>
      <x:c r="AC454" s="82" t="n">
        <x:v>68.7</x:v>
      </x:c>
      <x:c r="AD454" s="82" t="n">
        <x:v>31.3</x:v>
      </x:c>
      <x:c r="AE454" s="82" t="n">
        <x:v>0</x:v>
      </x:c>
      <x:c r="AF454" s="80" t="str">
        <x:v>B: 공식 과목별 70% 백분위 → 단순평균 파생</x:v>
      </x:c>
      <x:c r="AG454" s="80" t="str">
        <x:v>https://www.adiga.kr/ucp/uvt/uni/univDetailSelection.do?menuId=PCUVTINF2000&amp;searchSyr=2026&amp;unvCd=0000099</x:v>
      </x:c>
    </x:row>
    <x:row r="455">
      <x:c r="A455" s="114" t="n">
        <x:v>2025</x:v>
      </x:c>
      <x:c r="B455" s="112" t="str">
        <x:v>대구광역시</x:v>
      </x:c>
      <x:c r="C455" s="112" t="str">
        <x:v>국립</x:v>
      </x:c>
      <x:c r="D455" s="112" t="str">
        <x:v>경북대학교</x:v>
      </x:c>
      <x:c r="E455" s="112" t="str">
        <x:v>가</x:v>
      </x:c>
      <x:c r="F455" s="112" t="str">
        <x:v>수능위주(일반전형)</x:v>
      </x:c>
      <x:c r="G455" s="113" t="str">
        <x:v>국어국문학과</x:v>
      </x:c>
      <x:c r="H455" s="114"/>
      <x:c r="I455" s="114"/>
      <x:c r="J455" s="114" t="n">
        <x:v>5</x:v>
      </x:c>
      <x:c r="K455" s="115" t="n">
        <x:v>7.8</x:v>
      </x:c>
      <x:c r="L455" s="114" t="n">
        <x:v>12</x:v>
      </x:c>
      <x:c r="M455" s="115"/>
      <x:c r="N455" s="115" t="n">
        <x:v>645.89</x:v>
      </x:c>
      <x:c r="O455" s="115"/>
      <x:c r="P455" s="115"/>
      <x:c r="Q455" s="115"/>
      <x:c r="R455" s="115"/>
      <x:c r="S455" s="115"/>
      <x:c r="T455" s="114" t="n">
        <x:v>2.75</x:v>
      </x:c>
      <x:c r="U455" s="114"/>
      <x:c r="V455" s="115" t="n">
        <x:v>75.98</x:v>
      </x:c>
      <x:c r="W455" s="115"/>
      <x:c r="X455" s="115" t="n">
        <x:v>75.98</x:v>
      </x:c>
      <x:c r="Y455" s="115" t="str">
        <x:v>공식 백분위합÷3 평균 환산</x:v>
      </x:c>
      <x:c r="Z455" s="114" t="n">
        <x:v>80</x:v>
      </x:c>
      <x:c r="AA455" s="115" t="n">
        <x:v>4.019999999999996</x:v>
      </x:c>
      <x:c r="AB455" s="112" t="str">
        <x:v>적정</x:v>
      </x:c>
      <x:c r="AC455" s="115"/>
      <x:c r="AD455" s="115"/>
      <x:c r="AE455" s="115"/>
      <x:c r="AF455" s="113" t="str">
        <x:v>A2: 공식 정시 70% cut '국·수·탐 평균 백분위 합(300)'을 3으로 나눈 비교용 평균. 과목별 컷은 추천 가중치에 임의 투입하지 않음.</x:v>
      </x:c>
      <x:c r="AG455" s="112" t="str">
        <x:v>https://www.adiga.kr/ucp/uvt/uni/univDetailSelection.do?menuId=PCUVTINF2000&amp;searchSyr=2026&amp;unvCd=0000005</x:v>
      </x:c>
    </x:row>
    <x:row r="456">
      <x:c r="A456" s="114" t="n">
        <x:v>2025</x:v>
      </x:c>
      <x:c r="B456" s="112" t="str">
        <x:v>대구광역시</x:v>
      </x:c>
      <x:c r="C456" s="112" t="str">
        <x:v>국립</x:v>
      </x:c>
      <x:c r="D456" s="112" t="str">
        <x:v>경북대학교</x:v>
      </x:c>
      <x:c r="E456" s="112" t="str">
        <x:v>나</x:v>
      </x:c>
      <x:c r="F456" s="112" t="str">
        <x:v>수능위주(일반전형)</x:v>
      </x:c>
      <x:c r="G456" s="113" t="str">
        <x:v>영어영문학과</x:v>
      </x:c>
      <x:c r="H456" s="114"/>
      <x:c r="I456" s="114"/>
      <x:c r="J456" s="114" t="n">
        <x:v>11</x:v>
      </x:c>
      <x:c r="K456" s="115" t="n">
        <x:v>7.1</x:v>
      </x:c>
      <x:c r="L456" s="114" t="n">
        <x:v>9</x:v>
      </x:c>
      <x:c r="M456" s="115"/>
      <x:c r="N456" s="115" t="n">
        <x:v>651.05</x:v>
      </x:c>
      <x:c r="O456" s="115"/>
      <x:c r="P456" s="115"/>
      <x:c r="Q456" s="115"/>
      <x:c r="R456" s="115"/>
      <x:c r="S456" s="115"/>
      <x:c r="T456" s="114" t="n">
        <x:v>1.73</x:v>
      </x:c>
      <x:c r="U456" s="114"/>
      <x:c r="V456" s="115" t="n">
        <x:v>75.67</x:v>
      </x:c>
      <x:c r="W456" s="115"/>
      <x:c r="X456" s="115" t="n">
        <x:v>75.67</x:v>
      </x:c>
      <x:c r="Y456" s="115" t="str">
        <x:v>공식 백분위합÷3 평균 환산</x:v>
      </x:c>
      <x:c r="Z456" s="114" t="n">
        <x:v>80</x:v>
      </x:c>
      <x:c r="AA456" s="115" t="n">
        <x:v>4.329999999999998</x:v>
      </x:c>
      <x:c r="AB456" s="112" t="str">
        <x:v>적정</x:v>
      </x:c>
      <x:c r="AC456" s="115"/>
      <x:c r="AD456" s="115"/>
      <x:c r="AE456" s="115"/>
      <x:c r="AF456" s="113" t="str">
        <x:v>A2: 공식 정시 70% cut '국·수·탐 평균 백분위 합(300)'을 3으로 나눈 비교용 평균. 과목별 컷은 추천 가중치에 임의 투입하지 않음.</x:v>
      </x:c>
      <x:c r="AG456" s="112" t="str">
        <x:v>https://www.adiga.kr/ucp/uvt/uni/univDetailSelection.do?menuId=PCUVTINF2000&amp;searchSyr=2026&amp;unvCd=0000005</x:v>
      </x:c>
    </x:row>
    <x:row r="457">
      <x:c r="A457" s="114" t="n">
        <x:v>2025</x:v>
      </x:c>
      <x:c r="B457" s="112" t="str">
        <x:v>대구광역시</x:v>
      </x:c>
      <x:c r="C457" s="112" t="str">
        <x:v>국립</x:v>
      </x:c>
      <x:c r="D457" s="112" t="str">
        <x:v>경북대학교</x:v>
      </x:c>
      <x:c r="E457" s="112" t="str">
        <x:v>가</x:v>
      </x:c>
      <x:c r="F457" s="112" t="str">
        <x:v>수능위주(일반전형)</x:v>
      </x:c>
      <x:c r="G457" s="113" t="str">
        <x:v>사학과</x:v>
      </x:c>
      <x:c r="H457" s="114"/>
      <x:c r="I457" s="114"/>
      <x:c r="J457" s="114" t="n">
        <x:v>7</x:v>
      </x:c>
      <x:c r="K457" s="115" t="n">
        <x:v>8.7</x:v>
      </x:c>
      <x:c r="L457" s="114"/>
      <x:c r="M457" s="115"/>
      <x:c r="N457" s="115" t="n">
        <x:v>647.59</x:v>
      </x:c>
      <x:c r="O457" s="115"/>
      <x:c r="P457" s="115"/>
      <x:c r="Q457" s="115"/>
      <x:c r="R457" s="115"/>
      <x:c r="S457" s="115"/>
      <x:c r="T457" s="114" t="n">
        <x:v>3.43</x:v>
      </x:c>
      <x:c r="U457" s="114"/>
      <x:c r="V457" s="115" t="n">
        <x:v>78.33</x:v>
      </x:c>
      <x:c r="W457" s="115"/>
      <x:c r="X457" s="115" t="n">
        <x:v>78.33</x:v>
      </x:c>
      <x:c r="Y457" s="115" t="str">
        <x:v>공식 백분위합÷3 평균 환산</x:v>
      </x:c>
      <x:c r="Z457" s="114" t="n">
        <x:v>80</x:v>
      </x:c>
      <x:c r="AA457" s="115" t="n">
        <x:v>1.6700000000000017</x:v>
      </x:c>
      <x:c r="AB457" s="112" t="str">
        <x:v>적정</x:v>
      </x:c>
      <x:c r="AC457" s="115"/>
      <x:c r="AD457" s="115"/>
      <x:c r="AE457" s="115"/>
      <x:c r="AF457" s="113" t="str">
        <x:v>A2: 공식 정시 70% cut '국·수·탐 평균 백분위 합(300)'을 3으로 나눈 비교용 평균. 과목별 컷은 추천 가중치에 임의 투입하지 않음.</x:v>
      </x:c>
      <x:c r="AG457" s="112" t="str">
        <x:v>https://www.adiga.kr/ucp/uvt/uni/univDetailSelection.do?menuId=PCUVTINF2000&amp;searchSyr=2026&amp;unvCd=0000005</x:v>
      </x:c>
    </x:row>
    <x:row r="458">
      <x:c r="A458" s="114" t="n">
        <x:v>2025</x:v>
      </x:c>
      <x:c r="B458" s="112" t="str">
        <x:v>대구광역시</x:v>
      </x:c>
      <x:c r="C458" s="112" t="str">
        <x:v>국립</x:v>
      </x:c>
      <x:c r="D458" s="112" t="str">
        <x:v>경북대학교</x:v>
      </x:c>
      <x:c r="E458" s="112" t="str">
        <x:v>가</x:v>
      </x:c>
      <x:c r="F458" s="112" t="str">
        <x:v>수능위주(일반전형)</x:v>
      </x:c>
      <x:c r="G458" s="113" t="str">
        <x:v>철학과</x:v>
      </x:c>
      <x:c r="H458" s="114"/>
      <x:c r="I458" s="114"/>
      <x:c r="J458" s="114" t="n">
        <x:v>5</x:v>
      </x:c>
      <x:c r="K458" s="115" t="n">
        <x:v>17.4</x:v>
      </x:c>
      <x:c r="L458" s="114"/>
      <x:c r="M458" s="115"/>
      <x:c r="N458" s="115" t="n">
        <x:v>650.46</x:v>
      </x:c>
      <x:c r="O458" s="115"/>
      <x:c r="P458" s="115"/>
      <x:c r="Q458" s="115"/>
      <x:c r="R458" s="115"/>
      <x:c r="S458" s="115"/>
      <x:c r="T458" s="114" t="n">
        <x:v>2.2</x:v>
      </x:c>
      <x:c r="U458" s="114"/>
      <x:c r="V458" s="115" t="n">
        <x:v>76.37</x:v>
      </x:c>
      <x:c r="W458" s="115"/>
      <x:c r="X458" s="115" t="n">
        <x:v>76.37</x:v>
      </x:c>
      <x:c r="Y458" s="115" t="str">
        <x:v>공식 백분위합÷3 평균 환산</x:v>
      </x:c>
      <x:c r="Z458" s="114" t="n">
        <x:v>80</x:v>
      </x:c>
      <x:c r="AA458" s="115" t="n">
        <x:v>3.6299999999999955</x:v>
      </x:c>
      <x:c r="AB458" s="112" t="str">
        <x:v>적정</x:v>
      </x:c>
      <x:c r="AC458" s="115"/>
      <x:c r="AD458" s="115"/>
      <x:c r="AE458" s="115"/>
      <x:c r="AF458" s="113" t="str">
        <x:v>A2: 공식 정시 70% cut '국·수·탐 평균 백분위 합(300)'을 3으로 나눈 비교용 평균. 과목별 컷은 추천 가중치에 임의 투입하지 않음.</x:v>
      </x:c>
      <x:c r="AG458" s="112" t="str">
        <x:v>https://www.adiga.kr/ucp/uvt/uni/univDetailSelection.do?menuId=PCUVTINF2000&amp;searchSyr=2026&amp;unvCd=0000005</x:v>
      </x:c>
    </x:row>
    <x:row r="459">
      <x:c r="A459" s="114" t="n">
        <x:v>2025</x:v>
      </x:c>
      <x:c r="B459" s="112" t="str">
        <x:v>대구광역시</x:v>
      </x:c>
      <x:c r="C459" s="112" t="str">
        <x:v>국립</x:v>
      </x:c>
      <x:c r="D459" s="112" t="str">
        <x:v>경북대학교</x:v>
      </x:c>
      <x:c r="E459" s="112" t="str">
        <x:v>가</x:v>
      </x:c>
      <x:c r="F459" s="112" t="str">
        <x:v>수능위주(일반전형)</x:v>
      </x:c>
      <x:c r="G459" s="113" t="str">
        <x:v>불어불문학과</x:v>
      </x:c>
      <x:c r="H459" s="114"/>
      <x:c r="I459" s="114"/>
      <x:c r="J459" s="114" t="n">
        <x:v>7</x:v>
      </x:c>
      <x:c r="K459" s="115" t="n">
        <x:v>11.1</x:v>
      </x:c>
      <x:c r="L459" s="114"/>
      <x:c r="M459" s="115"/>
      <x:c r="N459" s="115" t="n">
        <x:v>651.49</x:v>
      </x:c>
      <x:c r="O459" s="115"/>
      <x:c r="P459" s="115"/>
      <x:c r="Q459" s="115"/>
      <x:c r="R459" s="115"/>
      <x:c r="S459" s="115"/>
      <x:c r="T459" s="114" t="n">
        <x:v>2.43</x:v>
      </x:c>
      <x:c r="U459" s="114"/>
      <x:c r="V459" s="115" t="n">
        <x:v>77.4</x:v>
      </x:c>
      <x:c r="W459" s="115"/>
      <x:c r="X459" s="115" t="n">
        <x:v>77.4</x:v>
      </x:c>
      <x:c r="Y459" s="115" t="str">
        <x:v>공식 백분위합÷3 평균 환산</x:v>
      </x:c>
      <x:c r="Z459" s="114" t="n">
        <x:v>80</x:v>
      </x:c>
      <x:c r="AA459" s="115" t="n">
        <x:v>2.5999999999999943</x:v>
      </x:c>
      <x:c r="AB459" s="112" t="str">
        <x:v>적정</x:v>
      </x:c>
      <x:c r="AC459" s="115"/>
      <x:c r="AD459" s="115"/>
      <x:c r="AE459" s="115"/>
      <x:c r="AF459" s="113" t="str">
        <x:v>A2: 공식 정시 70% cut '국·수·탐 평균 백분위 합(300)'을 3으로 나눈 비교용 평균. 과목별 컷은 추천 가중치에 임의 투입하지 않음.</x:v>
      </x:c>
      <x:c r="AG459" s="112" t="str">
        <x:v>https://www.adiga.kr/ucp/uvt/uni/univDetailSelection.do?menuId=PCUVTINF2000&amp;searchSyr=2026&amp;unvCd=0000005</x:v>
      </x:c>
    </x:row>
    <x:row r="460">
      <x:c r="A460" s="114" t="n">
        <x:v>2025</x:v>
      </x:c>
      <x:c r="B460" s="112" t="str">
        <x:v>대구광역시</x:v>
      </x:c>
      <x:c r="C460" s="112" t="str">
        <x:v>국립</x:v>
      </x:c>
      <x:c r="D460" s="112" t="str">
        <x:v>경북대학교</x:v>
      </x:c>
      <x:c r="E460" s="112" t="str">
        <x:v>나</x:v>
      </x:c>
      <x:c r="F460" s="112" t="str">
        <x:v>수능위주(일반전형)</x:v>
      </x:c>
      <x:c r="G460" s="113" t="str">
        <x:v>독어독문학과</x:v>
      </x:c>
      <x:c r="H460" s="114"/>
      <x:c r="I460" s="114"/>
      <x:c r="J460" s="114" t="n">
        <x:v>8</x:v>
      </x:c>
      <x:c r="K460" s="115" t="n">
        <x:v>8</x:v>
      </x:c>
      <x:c r="L460" s="114"/>
      <x:c r="M460" s="115"/>
      <x:c r="N460" s="115" t="n">
        <x:v>645.47</x:v>
      </x:c>
      <x:c r="O460" s="115"/>
      <x:c r="P460" s="115"/>
      <x:c r="Q460" s="115"/>
      <x:c r="R460" s="115"/>
      <x:c r="S460" s="115"/>
      <x:c r="T460" s="114" t="n">
        <x:v>2.63</x:v>
      </x:c>
      <x:c r="U460" s="114"/>
      <x:c r="V460" s="115" t="n">
        <x:v>76.77</x:v>
      </x:c>
      <x:c r="W460" s="115"/>
      <x:c r="X460" s="115" t="n">
        <x:v>76.77</x:v>
      </x:c>
      <x:c r="Y460" s="115" t="str">
        <x:v>공식 백분위합÷3 평균 환산</x:v>
      </x:c>
      <x:c r="Z460" s="114" t="n">
        <x:v>80</x:v>
      </x:c>
      <x:c r="AA460" s="115" t="n">
        <x:v>3.230000000000004</x:v>
      </x:c>
      <x:c r="AB460" s="112" t="str">
        <x:v>적정</x:v>
      </x:c>
      <x:c r="AC460" s="115"/>
      <x:c r="AD460" s="115"/>
      <x:c r="AE460" s="115"/>
      <x:c r="AF460" s="113" t="str">
        <x:v>A2: 공식 정시 70% cut '국·수·탐 평균 백분위 합(300)'을 3으로 나눈 비교용 평균. 과목별 컷은 추천 가중치에 임의 투입하지 않음.</x:v>
      </x:c>
      <x:c r="AG460" s="112" t="str">
        <x:v>https://www.adiga.kr/ucp/uvt/uni/univDetailSelection.do?menuId=PCUVTINF2000&amp;searchSyr=2026&amp;unvCd=0000005</x:v>
      </x:c>
    </x:row>
    <x:row r="461">
      <x:c r="A461" s="114" t="n">
        <x:v>2025</x:v>
      </x:c>
      <x:c r="B461" s="112" t="str">
        <x:v>대구광역시</x:v>
      </x:c>
      <x:c r="C461" s="112" t="str">
        <x:v>국립</x:v>
      </x:c>
      <x:c r="D461" s="112" t="str">
        <x:v>경북대학교</x:v>
      </x:c>
      <x:c r="E461" s="112" t="str">
        <x:v>가</x:v>
      </x:c>
      <x:c r="F461" s="112" t="str">
        <x:v>수능위주(일반전형)</x:v>
      </x:c>
      <x:c r="G461" s="113" t="str">
        <x:v>중어중문학과</x:v>
      </x:c>
      <x:c r="H461" s="114"/>
      <x:c r="I461" s="114"/>
      <x:c r="J461" s="114" t="n">
        <x:v>5</x:v>
      </x:c>
      <x:c r="K461" s="115" t="n">
        <x:v>9</x:v>
      </x:c>
      <x:c r="L461" s="114"/>
      <x:c r="M461" s="115"/>
      <x:c r="N461" s="115" t="n">
        <x:v>647.69</x:v>
      </x:c>
      <x:c r="O461" s="115"/>
      <x:c r="P461" s="115"/>
      <x:c r="Q461" s="115"/>
      <x:c r="R461" s="115"/>
      <x:c r="S461" s="115"/>
      <x:c r="T461" s="114" t="n">
        <x:v>2.83</x:v>
      </x:c>
      <x:c r="U461" s="114"/>
      <x:c r="V461" s="115" t="n">
        <x:v>77.08</x:v>
      </x:c>
      <x:c r="W461" s="115"/>
      <x:c r="X461" s="115" t="n">
        <x:v>77.08</x:v>
      </x:c>
      <x:c r="Y461" s="115" t="str">
        <x:v>공식 백분위합÷3 평균 환산</x:v>
      </x:c>
      <x:c r="Z461" s="114" t="n">
        <x:v>80</x:v>
      </x:c>
      <x:c r="AA461" s="115" t="n">
        <x:v>2.9200000000000017</x:v>
      </x:c>
      <x:c r="AB461" s="112" t="str">
        <x:v>적정</x:v>
      </x:c>
      <x:c r="AC461" s="115"/>
      <x:c r="AD461" s="115"/>
      <x:c r="AE461" s="115"/>
      <x:c r="AF461" s="113" t="str">
        <x:v>A2: 공식 정시 70% cut '국·수·탐 평균 백분위 합(300)'을 3으로 나눈 비교용 평균. 과목별 컷은 추천 가중치에 임의 투입하지 않음.</x:v>
      </x:c>
      <x:c r="AG461" s="112" t="str">
        <x:v>https://www.adiga.kr/ucp/uvt/uni/univDetailSelection.do?menuId=PCUVTINF2000&amp;searchSyr=2026&amp;unvCd=0000005</x:v>
      </x:c>
    </x:row>
    <x:row r="462">
      <x:c r="A462" s="114" t="n">
        <x:v>2025</x:v>
      </x:c>
      <x:c r="B462" s="112" t="str">
        <x:v>대구광역시</x:v>
      </x:c>
      <x:c r="C462" s="112" t="str">
        <x:v>국립</x:v>
      </x:c>
      <x:c r="D462" s="112" t="str">
        <x:v>경북대학교</x:v>
      </x:c>
      <x:c r="E462" s="112" t="str">
        <x:v>나</x:v>
      </x:c>
      <x:c r="F462" s="112" t="str">
        <x:v>수능위주(일반전형)</x:v>
      </x:c>
      <x:c r="G462" s="113" t="str">
        <x:v>한문학과</x:v>
      </x:c>
      <x:c r="H462" s="114"/>
      <x:c r="I462" s="114"/>
      <x:c r="J462" s="114" t="n">
        <x:v>5</x:v>
      </x:c>
      <x:c r="K462" s="115" t="n">
        <x:v>7.8</x:v>
      </x:c>
      <x:c r="L462" s="114"/>
      <x:c r="M462" s="115"/>
      <x:c r="N462" s="115" t="n">
        <x:v>644.75</x:v>
      </x:c>
      <x:c r="O462" s="115"/>
      <x:c r="P462" s="115"/>
      <x:c r="Q462" s="115"/>
      <x:c r="R462" s="115"/>
      <x:c r="S462" s="115"/>
      <x:c r="T462" s="114" t="n">
        <x:v>1.8</x:v>
      </x:c>
      <x:c r="U462" s="114"/>
      <x:c r="V462" s="115" t="n">
        <x:v>74.37</x:v>
      </x:c>
      <x:c r="W462" s="115"/>
      <x:c r="X462" s="115" t="n">
        <x:v>74.37</x:v>
      </x:c>
      <x:c r="Y462" s="115" t="str">
        <x:v>공식 백분위합÷3 평균 환산</x:v>
      </x:c>
      <x:c r="Z462" s="114" t="n">
        <x:v>80</x:v>
      </x:c>
      <x:c r="AA462" s="115" t="n">
        <x:v>5.6299999999999955</x:v>
      </x:c>
      <x:c r="AB462" s="112" t="str">
        <x:v>안정</x:v>
      </x:c>
      <x:c r="AC462" s="115"/>
      <x:c r="AD462" s="115"/>
      <x:c r="AE462" s="115"/>
      <x:c r="AF462" s="113" t="str">
        <x:v>A2: 공식 정시 70% cut '국·수·탐 평균 백분위 합(300)'을 3으로 나눈 비교용 평균. 과목별 컷은 추천 가중치에 임의 투입하지 않음.</x:v>
      </x:c>
      <x:c r="AG462" s="112" t="str">
        <x:v>https://www.adiga.kr/ucp/uvt/uni/univDetailSelection.do?menuId=PCUVTINF2000&amp;searchSyr=2026&amp;unvCd=0000005</x:v>
      </x:c>
    </x:row>
    <x:row r="463">
      <x:c r="A463" s="114" t="n">
        <x:v>2025</x:v>
      </x:c>
      <x:c r="B463" s="112" t="str">
        <x:v>대구광역시</x:v>
      </x:c>
      <x:c r="C463" s="112" t="str">
        <x:v>국립</x:v>
      </x:c>
      <x:c r="D463" s="112" t="str">
        <x:v>경북대학교</x:v>
      </x:c>
      <x:c r="E463" s="112" t="str">
        <x:v>가</x:v>
      </x:c>
      <x:c r="F463" s="112" t="str">
        <x:v>수능위주(일반전형)</x:v>
      </x:c>
      <x:c r="G463" s="113" t="str">
        <x:v>노어노문학과</x:v>
      </x:c>
      <x:c r="H463" s="114"/>
      <x:c r="I463" s="114"/>
      <x:c r="J463" s="114" t="n">
        <x:v>3</x:v>
      </x:c>
      <x:c r="K463" s="115" t="n">
        <x:v>11.3</x:v>
      </x:c>
      <x:c r="L463" s="114"/>
      <x:c r="M463" s="115"/>
      <x:c r="N463" s="115" t="n">
        <x:v>644.08</x:v>
      </x:c>
      <x:c r="O463" s="115"/>
      <x:c r="P463" s="115"/>
      <x:c r="Q463" s="115"/>
      <x:c r="R463" s="115"/>
      <x:c r="S463" s="115"/>
      <x:c r="T463" s="114" t="n">
        <x:v>2.67</x:v>
      </x:c>
      <x:c r="U463" s="114"/>
      <x:c r="V463" s="115" t="n">
        <x:v>75.43</x:v>
      </x:c>
      <x:c r="W463" s="115"/>
      <x:c r="X463" s="115" t="n">
        <x:v>75.43</x:v>
      </x:c>
      <x:c r="Y463" s="115" t="str">
        <x:v>공식 백분위합÷3 평균 환산</x:v>
      </x:c>
      <x:c r="Z463" s="114" t="n">
        <x:v>80</x:v>
      </x:c>
      <x:c r="AA463" s="115" t="n">
        <x:v>4.569999999999993</x:v>
      </x:c>
      <x:c r="AB463" s="112" t="str">
        <x:v>적정</x:v>
      </x:c>
      <x:c r="AC463" s="115"/>
      <x:c r="AD463" s="115"/>
      <x:c r="AE463" s="115"/>
      <x:c r="AF463" s="113" t="str">
        <x:v>A2: 공식 정시 70% cut '국·수·탐 평균 백분위 합(300)'을 3으로 나눈 비교용 평균. 과목별 컷은 추천 가중치에 임의 투입하지 않음.</x:v>
      </x:c>
      <x:c r="AG463" s="112" t="str">
        <x:v>https://www.adiga.kr/ucp/uvt/uni/univDetailSelection.do?menuId=PCUVTINF2000&amp;searchSyr=2026&amp;unvCd=0000005</x:v>
      </x:c>
    </x:row>
    <x:row r="464">
      <x:c r="A464" s="114" t="n">
        <x:v>2025</x:v>
      </x:c>
      <x:c r="B464" s="112" t="str">
        <x:v>대구광역시</x:v>
      </x:c>
      <x:c r="C464" s="112" t="str">
        <x:v>국립</x:v>
      </x:c>
      <x:c r="D464" s="112" t="str">
        <x:v>경북대학교</x:v>
      </x:c>
      <x:c r="E464" s="112" t="str">
        <x:v>가</x:v>
      </x:c>
      <x:c r="F464" s="112" t="str">
        <x:v>수능위주(일반전형)</x:v>
      </x:c>
      <x:c r="G464" s="113" t="str">
        <x:v>심리학과</x:v>
      </x:c>
      <x:c r="H464" s="114"/>
      <x:c r="I464" s="114"/>
      <x:c r="J464" s="114" t="n">
        <x:v>3</x:v>
      </x:c>
      <x:c r="K464" s="115" t="n">
        <x:v>8.7</x:v>
      </x:c>
      <x:c r="L464" s="114"/>
      <x:c r="M464" s="115"/>
      <x:c r="N464" s="115" t="n">
        <x:v>668.93</x:v>
      </x:c>
      <x:c r="O464" s="115"/>
      <x:c r="P464" s="115"/>
      <x:c r="Q464" s="115"/>
      <x:c r="R464" s="115"/>
      <x:c r="S464" s="115"/>
      <x:c r="T464" s="114" t="n">
        <x:v>2.67</x:v>
      </x:c>
      <x:c r="U464" s="114"/>
      <x:c r="V464" s="115" t="n">
        <x:v>84.57</x:v>
      </x:c>
      <x:c r="W464" s="115"/>
      <x:c r="X464" s="115" t="n">
        <x:v>84.57</x:v>
      </x:c>
      <x:c r="Y464" s="115" t="str">
        <x:v>공식 백분위합÷3 평균 환산</x:v>
      </x:c>
      <x:c r="Z464" s="114" t="n">
        <x:v>80</x:v>
      </x:c>
      <x:c r="AA464" s="115" t="n">
        <x:v>-4.569999999999993</x:v>
      </x:c>
      <x:c r="AB464" s="112" t="str">
        <x:v>상향</x:v>
      </x:c>
      <x:c r="AC464" s="115"/>
      <x:c r="AD464" s="115"/>
      <x:c r="AE464" s="115"/>
      <x:c r="AF464" s="113" t="str">
        <x:v>A2: 공식 정시 70% cut '국·수·탐 평균 백분위 합(300)'을 3으로 나눈 비교용 평균. 과목별 컷은 추천 가중치에 임의 투입하지 않음.</x:v>
      </x:c>
      <x:c r="AG464" s="112" t="str">
        <x:v>https://www.adiga.kr/ucp/uvt/uni/univDetailSelection.do?menuId=PCUVTINF2000&amp;searchSyr=2026&amp;unvCd=0000005</x:v>
      </x:c>
    </x:row>
    <x:row r="465">
      <x:c r="A465" s="114" t="n">
        <x:v>2025</x:v>
      </x:c>
      <x:c r="B465" s="112" t="str">
        <x:v>대구광역시</x:v>
      </x:c>
      <x:c r="C465" s="112" t="str">
        <x:v>국립</x:v>
      </x:c>
      <x:c r="D465" s="112" t="str">
        <x:v>경북대학교</x:v>
      </x:c>
      <x:c r="E465" s="112" t="str">
        <x:v>나</x:v>
      </x:c>
      <x:c r="F465" s="112" t="str">
        <x:v>수능위주(일반전형)</x:v>
      </x:c>
      <x:c r="G465" s="113" t="str">
        <x:v>사회복지학부</x:v>
      </x:c>
      <x:c r="H465" s="114"/>
      <x:c r="I465" s="114"/>
      <x:c r="J465" s="114" t="n">
        <x:v>6</x:v>
      </x:c>
      <x:c r="K465" s="115" t="n">
        <x:v>5.7</x:v>
      </x:c>
      <x:c r="L465" s="114"/>
      <x:c r="M465" s="115"/>
      <x:c r="N465" s="115" t="n">
        <x:v>651.17</x:v>
      </x:c>
      <x:c r="O465" s="115"/>
      <x:c r="P465" s="115"/>
      <x:c r="Q465" s="115"/>
      <x:c r="R465" s="115"/>
      <x:c r="S465" s="115"/>
      <x:c r="T465" s="114" t="n">
        <x:v>2.17</x:v>
      </x:c>
      <x:c r="U465" s="114"/>
      <x:c r="V465" s="115" t="n">
        <x:v>77.17</x:v>
      </x:c>
      <x:c r="W465" s="115"/>
      <x:c r="X465" s="115" t="n">
        <x:v>77.17</x:v>
      </x:c>
      <x:c r="Y465" s="115" t="str">
        <x:v>공식 백분위합÷3 평균 환산</x:v>
      </x:c>
      <x:c r="Z465" s="114" t="n">
        <x:v>80</x:v>
      </x:c>
      <x:c r="AA465" s="115" t="n">
        <x:v>2.8299999999999983</x:v>
      </x:c>
      <x:c r="AB465" s="112" t="str">
        <x:v>적정</x:v>
      </x:c>
      <x:c r="AC465" s="115"/>
      <x:c r="AD465" s="115"/>
      <x:c r="AE465" s="115"/>
      <x:c r="AF465" s="113" t="str">
        <x:v>A2: 공식 정시 70% cut '국·수·탐 평균 백분위 합(300)'을 3으로 나눈 비교용 평균. 과목별 컷은 추천 가중치에 임의 투입하지 않음.</x:v>
      </x:c>
      <x:c r="AG465" s="112" t="str">
        <x:v>https://www.adiga.kr/ucp/uvt/uni/univDetailSelection.do?menuId=PCUVTINF2000&amp;searchSyr=2026&amp;unvCd=0000005</x:v>
      </x:c>
    </x:row>
    <x:row r="466">
      <x:c r="A466" s="114" t="n">
        <x:v>2025</x:v>
      </x:c>
      <x:c r="B466" s="112" t="str">
        <x:v>광주광역시</x:v>
      </x:c>
      <x:c r="C466" s="112" t="str">
        <x:v>국립</x:v>
      </x:c>
      <x:c r="D466" s="112" t="str">
        <x:v>전남대학교</x:v>
      </x:c>
      <x:c r="E466" s="112" t="str">
        <x:v>가</x:v>
      </x:c>
      <x:c r="F466" s="112" t="str">
        <x:v>수능위주(일반전형)</x:v>
      </x:c>
      <x:c r="G466" s="113" t="str">
        <x:v>간호학과</x:v>
      </x:c>
      <x:c r="H466" s="114" t="n">
        <x:v>20</x:v>
      </x:c>
      <x:c r="I466" s="114" t="n">
        <x:v>2</x:v>
      </x:c>
      <x:c r="J466" s="114" t="n">
        <x:v>22</x:v>
      </x:c>
      <x:c r="K466" s="115" t="n">
        <x:v>2.91</x:v>
      </x:c>
      <x:c r="L466" s="114" t="n">
        <x:v>14</x:v>
      </x:c>
      <x:c r="M466" s="115"/>
      <x:c r="N466" s="115" t="n">
        <x:v>889.363</x:v>
      </x:c>
      <x:c r="O466" s="115" t="n">
        <x:v>1000</x:v>
      </x:c>
      <x:c r="P466" s="115" t="n">
        <x:v>85</x:v>
      </x:c>
      <x:c r="Q466" s="115" t="n">
        <x:v>78</x:v>
      </x:c>
      <x:c r="R466" s="115" t="n">
        <x:v>96</x:v>
      </x:c>
      <x:c r="S466" s="115" t="n">
        <x:v>62</x:v>
      </x:c>
      <x:c r="T466" s="114" t="n">
        <x:v>3</x:v>
      </x:c>
      <x:c r="U466" s="114" t="n">
        <x:v>2</x:v>
      </x:c>
      <x:c r="V466" s="115"/>
      <x:c r="W466" s="115" t="n">
        <x:v>80.25</x:v>
      </x:c>
      <x:c r="X466" s="115" t="n">
        <x:v>80.25</x:v>
      </x:c>
      <x:c r="Y466" s="115" t="str">
        <x:v>파생 단순평균(참고)</x:v>
      </x:c>
      <x:c r="Z466" s="114" t="n">
        <x:v>80</x:v>
      </x:c>
      <x:c r="AA466" s="115" t="n">
        <x:v>-0.25</x:v>
      </x:c>
      <x:c r="AB466" s="112" t="str">
        <x:v>소신</x:v>
      </x:c>
      <x:c r="AC466" s="115" t="n">
        <x:v>27.3</x:v>
      </x:c>
      <x:c r="AD466" s="115" t="n">
        <x:v>72.7</x:v>
      </x:c>
      <x:c r="AE466" s="115" t="n">
        <x:v>0</x:v>
      </x:c>
      <x:c r="AF466" s="113" t="str">
        <x:v>B: 공식 2025학년도 정시 수능(일반) 과목별 70% 백분위 → 단순평균 파생</x:v>
      </x:c>
      <x:c r="AG466" s="112" t="str">
        <x:v>https://www.adiga.kr/ucp/uvt/uni/univDetailSelection.do?menuId=PCUVTINF2000&amp;searchSyr=2026&amp;unvCd=0000023</x:v>
      </x:c>
    </x:row>
    <x:row r="467">
      <x:c r="A467" s="114" t="n">
        <x:v>2025</x:v>
      </x:c>
      <x:c r="B467" s="112" t="str">
        <x:v>광주광역시</x:v>
      </x:c>
      <x:c r="C467" s="112" t="str">
        <x:v>국립</x:v>
      </x:c>
      <x:c r="D467" s="112" t="str">
        <x:v>전남대학교</x:v>
      </x:c>
      <x:c r="E467" s="112" t="str">
        <x:v>가</x:v>
      </x:c>
      <x:c r="F467" s="112" t="str">
        <x:v>수능위주(일반전형)</x:v>
      </x:c>
      <x:c r="G467" s="113" t="str">
        <x:v>경영학부</x:v>
      </x:c>
      <x:c r="H467" s="114" t="n">
        <x:v>56</x:v>
      </x:c>
      <x:c r="I467" s="114" t="n">
        <x:v>5</x:v>
      </x:c>
      <x:c r="J467" s="114" t="n">
        <x:v>61</x:v>
      </x:c>
      <x:c r="K467" s="115" t="n">
        <x:v>3.34</x:v>
      </x:c>
      <x:c r="L467" s="114" t="n">
        <x:v>39</x:v>
      </x:c>
      <x:c r="M467" s="115"/>
      <x:c r="N467" s="115" t="n">
        <x:v>869.614</x:v>
      </x:c>
      <x:c r="O467" s="115" t="n">
        <x:v>1000</x:v>
      </x:c>
      <x:c r="P467" s="115" t="n">
        <x:v>80</x:v>
      </x:c>
      <x:c r="Q467" s="115" t="n">
        <x:v>63</x:v>
      </x:c>
      <x:c r="R467" s="115" t="n">
        <x:v>80</x:v>
      </x:c>
      <x:c r="S467" s="115" t="n">
        <x:v>74</x:v>
      </x:c>
      <x:c r="T467" s="114" t="n">
        <x:v>3</x:v>
      </x:c>
      <x:c r="U467" s="114" t="n">
        <x:v>3</x:v>
      </x:c>
      <x:c r="V467" s="115"/>
      <x:c r="W467" s="115" t="n">
        <x:v>74.25</x:v>
      </x:c>
      <x:c r="X467" s="115" t="n">
        <x:v>74.25</x:v>
      </x:c>
      <x:c r="Y467" s="115" t="str">
        <x:v>파생 단순평균(참고)</x:v>
      </x:c>
      <x:c r="Z467" s="114" t="n">
        <x:v>80</x:v>
      </x:c>
      <x:c r="AA467" s="115" t="n">
        <x:v>5.75</x:v>
      </x:c>
      <x:c r="AB467" s="112" t="str">
        <x:v>안정</x:v>
      </x:c>
      <x:c r="AC467" s="115" t="n">
        <x:v>65</x:v>
      </x:c>
      <x:c r="AD467" s="115" t="n">
        <x:v>33.3</x:v>
      </x:c>
      <x:c r="AE467" s="115" t="n">
        <x:v>1.7</x:v>
      </x:c>
      <x:c r="AF467" s="113" t="str">
        <x:v>B: 공식 2025학년도 정시 수능(일반) 과목별 70% 백분위 → 단순평균 파생</x:v>
      </x:c>
      <x:c r="AG467" s="112" t="str">
        <x:v>https://www.adiga.kr/ucp/uvt/uni/univDetailSelection.do?menuId=PCUVTINF2000&amp;searchSyr=2026&amp;unvCd=0000023</x:v>
      </x:c>
    </x:row>
    <x:row r="468">
      <x:c r="A468" s="114" t="n">
        <x:v>2025</x:v>
      </x:c>
      <x:c r="B468" s="112" t="str">
        <x:v>광주광역시</x:v>
      </x:c>
      <x:c r="C468" s="112" t="str">
        <x:v>국립</x:v>
      </x:c>
      <x:c r="D468" s="112" t="str">
        <x:v>전남대학교</x:v>
      </x:c>
      <x:c r="E468" s="112" t="str">
        <x:v>가</x:v>
      </x:c>
      <x:c r="F468" s="112" t="str">
        <x:v>수능위주(일반전형)</x:v>
      </x:c>
      <x:c r="G468" s="113" t="str">
        <x:v>건축학부</x:v>
      </x:c>
      <x:c r="H468" s="114" t="n">
        <x:v>7</x:v>
      </x:c>
      <x:c r="I468" s="114" t="n">
        <x:v>1</x:v>
      </x:c>
      <x:c r="J468" s="114" t="n">
        <x:v>8</x:v>
      </x:c>
      <x:c r="K468" s="115" t="n">
        <x:v>4.75</x:v>
      </x:c>
      <x:c r="L468" s="114" t="n">
        <x:v>11</x:v>
      </x:c>
      <x:c r="M468" s="115"/>
      <x:c r="N468" s="115" t="n">
        <x:v>866.373</x:v>
      </x:c>
      <x:c r="O468" s="115" t="n">
        <x:v>1000</x:v>
      </x:c>
      <x:c r="P468" s="115" t="n">
        <x:v>80</x:v>
      </x:c>
      <x:c r="Q468" s="115" t="n">
        <x:v>74</x:v>
      </x:c>
      <x:c r="R468" s="115" t="n">
        <x:v>84</x:v>
      </x:c>
      <x:c r="S468" s="115" t="n">
        <x:v>62</x:v>
      </x:c>
      <x:c r="T468" s="114" t="n">
        <x:v>2</x:v>
      </x:c>
      <x:c r="U468" s="114" t="n">
        <x:v>2</x:v>
      </x:c>
      <x:c r="V468" s="115"/>
      <x:c r="W468" s="115" t="n">
        <x:v>75</x:v>
      </x:c>
      <x:c r="X468" s="115" t="n">
        <x:v>75</x:v>
      </x:c>
      <x:c r="Y468" s="115" t="str">
        <x:v>파생 단순평균(참고)</x:v>
      </x:c>
      <x:c r="Z468" s="114" t="n">
        <x:v>80</x:v>
      </x:c>
      <x:c r="AA468" s="115" t="n">
        <x:v>5</x:v>
      </x:c>
      <x:c r="AB468" s="112" t="str">
        <x:v>안정</x:v>
      </x:c>
      <x:c r="AC468" s="115" t="n">
        <x:v>0</x:v>
      </x:c>
      <x:c r="AD468" s="115" t="n">
        <x:v>100</x:v>
      </x:c>
      <x:c r="AE468" s="115" t="n">
        <x:v>0</x:v>
      </x:c>
      <x:c r="AF468" s="113" t="str">
        <x:v>B: 공식 2025학년도 정시 수능(일반) 과목별 70% 백분위 → 단순평균 파생</x:v>
      </x:c>
      <x:c r="AG468" s="112" t="str">
        <x:v>https://www.adiga.kr/ucp/uvt/uni/univDetailSelection.do?menuId=PCUVTINF2000&amp;searchSyr=2026&amp;unvCd=0000023</x:v>
      </x:c>
    </x:row>
    <x:row r="469">
      <x:c r="A469" s="114" t="n">
        <x:v>2025</x:v>
      </x:c>
      <x:c r="B469" s="112" t="str">
        <x:v>광주광역시</x:v>
      </x:c>
      <x:c r="C469" s="112" t="str">
        <x:v>국립</x:v>
      </x:c>
      <x:c r="D469" s="112" t="str">
        <x:v>전남대학교</x:v>
      </x:c>
      <x:c r="E469" s="112" t="str">
        <x:v>가</x:v>
      </x:c>
      <x:c r="F469" s="112" t="str">
        <x:v>수능위주(일반전형)</x:v>
      </x:c>
      <x:c r="G469" s="113" t="str">
        <x:v>에너지자원공학과</x:v>
      </x:c>
      <x:c r="H469" s="114" t="n">
        <x:v>9</x:v>
      </x:c>
      <x:c r="I469" s="114" t="n">
        <x:v>0</x:v>
      </x:c>
      <x:c r="J469" s="114" t="n">
        <x:v>9</x:v>
      </x:c>
      <x:c r="K469" s="115" t="n">
        <x:v>5.78</x:v>
      </x:c>
      <x:c r="L469" s="114" t="n">
        <x:v>5</x:v>
      </x:c>
      <x:c r="M469" s="115"/>
      <x:c r="N469" s="115" t="n">
        <x:v>849.053</x:v>
      </x:c>
      <x:c r="O469" s="115" t="n">
        <x:v>1000</x:v>
      </x:c>
      <x:c r="P469" s="115" t="n">
        <x:v>70</x:v>
      </x:c>
      <x:c r="Q469" s="115" t="n">
        <x:v>68</x:v>
      </x:c>
      <x:c r="R469" s="115" t="n">
        <x:v>68</x:v>
      </x:c>
      <x:c r="S469" s="115" t="n">
        <x:v>71</x:v>
      </x:c>
      <x:c r="T469" s="114" t="n">
        <x:v>3</x:v>
      </x:c>
      <x:c r="U469" s="114" t="n">
        <x:v>2</x:v>
      </x:c>
      <x:c r="V469" s="115"/>
      <x:c r="W469" s="115" t="n">
        <x:v>69.25</x:v>
      </x:c>
      <x:c r="X469" s="115" t="n">
        <x:v>69.25</x:v>
      </x:c>
      <x:c r="Y469" s="115" t="str">
        <x:v>파생 단순평균(참고)</x:v>
      </x:c>
      <x:c r="Z469" s="114" t="n">
        <x:v>80</x:v>
      </x:c>
      <x:c r="AA469" s="115" t="n">
        <x:v>10.75</x:v>
      </x:c>
      <x:c r="AB469" s="112" t="str">
        <x:v>안정</x:v>
      </x:c>
      <x:c r="AC469" s="115" t="n">
        <x:v>0</x:v>
      </x:c>
      <x:c r="AD469" s="115" t="n">
        <x:v>100</x:v>
      </x:c>
      <x:c r="AE469" s="115" t="n">
        <x:v>0</x:v>
      </x:c>
      <x:c r="AF469" s="113" t="str">
        <x:v>B: 공식 2025학년도 정시 수능(일반) 과목별 70% 백분위 → 단순평균 파생</x:v>
      </x:c>
      <x:c r="AG469" s="112" t="str">
        <x:v>https://www.adiga.kr/ucp/uvt/uni/univDetailSelection.do?menuId=PCUVTINF2000&amp;searchSyr=2026&amp;unvCd=0000023</x:v>
      </x:c>
    </x:row>
    <x:row r="470">
      <x:c r="A470" s="114" t="n">
        <x:v>2025</x:v>
      </x:c>
      <x:c r="B470" s="112" t="str">
        <x:v>광주광역시</x:v>
      </x:c>
      <x:c r="C470" s="112" t="str">
        <x:v>국립</x:v>
      </x:c>
      <x:c r="D470" s="112" t="str">
        <x:v>전남대학교</x:v>
      </x:c>
      <x:c r="E470" s="112" t="str">
        <x:v>가</x:v>
      </x:c>
      <x:c r="F470" s="112" t="str">
        <x:v>수능위주(일반전형)</x:v>
      </x:c>
      <x:c r="G470" s="113" t="str">
        <x:v>기계공학부</x:v>
      </x:c>
      <x:c r="H470" s="114" t="n">
        <x:v>25</x:v>
      </x:c>
      <x:c r="I470" s="114" t="n">
        <x:v>1</x:v>
      </x:c>
      <x:c r="J470" s="114" t="n">
        <x:v>26</x:v>
      </x:c>
      <x:c r="K470" s="115" t="n">
        <x:v>5.23</x:v>
      </x:c>
      <x:c r="L470" s="114" t="n">
        <x:v>19</x:v>
      </x:c>
      <x:c r="M470" s="115"/>
      <x:c r="N470" s="115" t="n">
        <x:v>869.464</x:v>
      </x:c>
      <x:c r="O470" s="115" t="n">
        <x:v>1000</x:v>
      </x:c>
      <x:c r="P470" s="115" t="n">
        <x:v>68</x:v>
      </x:c>
      <x:c r="Q470" s="115" t="n">
        <x:v>81</x:v>
      </x:c>
      <x:c r="R470" s="115" t="n">
        <x:v>83</x:v>
      </x:c>
      <x:c r="S470" s="115" t="n">
        <x:v>59</x:v>
      </x:c>
      <x:c r="T470" s="114" t="n">
        <x:v>3</x:v>
      </x:c>
      <x:c r="U470" s="114" t="n">
        <x:v>3</x:v>
      </x:c>
      <x:c r="V470" s="115"/>
      <x:c r="W470" s="115" t="n">
        <x:v>72.75</x:v>
      </x:c>
      <x:c r="X470" s="115" t="n">
        <x:v>72.75</x:v>
      </x:c>
      <x:c r="Y470" s="115" t="str">
        <x:v>파생 단순평균(참고)</x:v>
      </x:c>
      <x:c r="Z470" s="114" t="n">
        <x:v>80</x:v>
      </x:c>
      <x:c r="AA470" s="115" t="n">
        <x:v>7.25</x:v>
      </x:c>
      <x:c r="AB470" s="112" t="str">
        <x:v>안정</x:v>
      </x:c>
      <x:c r="AC470" s="115" t="n">
        <x:v>0</x:v>
      </x:c>
      <x:c r="AD470" s="115" t="n">
        <x:v>100</x:v>
      </x:c>
      <x:c r="AE470" s="115" t="n">
        <x:v>0</x:v>
      </x:c>
      <x:c r="AF470" s="113" t="str">
        <x:v>B: 공식 2025학년도 정시 수능(일반) 과목별 70% 백분위 → 단순평균 파생</x:v>
      </x:c>
      <x:c r="AG470" s="112" t="str">
        <x:v>https://www.adiga.kr/ucp/uvt/uni/univDetailSelection.do?menuId=PCUVTINF2000&amp;searchSyr=2026&amp;unvCd=0000023</x:v>
      </x:c>
    </x:row>
    <x:row r="471">
      <x:c r="A471" s="114" t="n">
        <x:v>2025</x:v>
      </x:c>
      <x:c r="B471" s="112" t="str">
        <x:v>광주광역시</x:v>
      </x:c>
      <x:c r="C471" s="112" t="str">
        <x:v>국립</x:v>
      </x:c>
      <x:c r="D471" s="112" t="str">
        <x:v>전남대학교</x:v>
      </x:c>
      <x:c r="E471" s="112" t="str">
        <x:v>가</x:v>
      </x:c>
      <x:c r="F471" s="112" t="str">
        <x:v>수능위주(일반전형)</x:v>
      </x:c>
      <x:c r="G471" s="113" t="str">
        <x:v>신소재공학부</x:v>
      </x:c>
      <x:c r="H471" s="114" t="n">
        <x:v>17</x:v>
      </x:c>
      <x:c r="I471" s="114" t="n">
        <x:v>0</x:v>
      </x:c>
      <x:c r="J471" s="114" t="n">
        <x:v>17</x:v>
      </x:c>
      <x:c r="K471" s="115" t="n">
        <x:v>3.76</x:v>
      </x:c>
      <x:c r="L471" s="114" t="n">
        <x:v>12</x:v>
      </x:c>
      <x:c r="M471" s="115"/>
      <x:c r="N471" s="115" t="n">
        <x:v>873.609</x:v>
      </x:c>
      <x:c r="O471" s="115" t="n">
        <x:v>1000</x:v>
      </x:c>
      <x:c r="P471" s="115" t="n">
        <x:v>82</x:v>
      </x:c>
      <x:c r="Q471" s="115" t="n">
        <x:v>76</x:v>
      </x:c>
      <x:c r="R471" s="115" t="n">
        <x:v>81</x:v>
      </x:c>
      <x:c r="S471" s="115" t="n">
        <x:v>54</x:v>
      </x:c>
      <x:c r="T471" s="114" t="n">
        <x:v>3</x:v>
      </x:c>
      <x:c r="U471" s="114" t="n">
        <x:v>3</x:v>
      </x:c>
      <x:c r="V471" s="115"/>
      <x:c r="W471" s="115" t="n">
        <x:v>73.25</x:v>
      </x:c>
      <x:c r="X471" s="115" t="n">
        <x:v>73.25</x:v>
      </x:c>
      <x:c r="Y471" s="115" t="str">
        <x:v>파생 단순평균(참고)</x:v>
      </x:c>
      <x:c r="Z471" s="114" t="n">
        <x:v>80</x:v>
      </x:c>
      <x:c r="AA471" s="115" t="n">
        <x:v>6.75</x:v>
      </x:c>
      <x:c r="AB471" s="112" t="str">
        <x:v>안정</x:v>
      </x:c>
      <x:c r="AC471" s="115" t="n">
        <x:v>0</x:v>
      </x:c>
      <x:c r="AD471" s="115" t="n">
        <x:v>88.2</x:v>
      </x:c>
      <x:c r="AE471" s="115" t="n">
        <x:v>11.8</x:v>
      </x:c>
      <x:c r="AF471" s="113" t="str">
        <x:v>B: 공식 2025학년도 정시 수능(일반) 과목별 70% 백분위 → 단순평균 파생</x:v>
      </x:c>
      <x:c r="AG471" s="112" t="str">
        <x:v>https://www.adiga.kr/ucp/uvt/uni/univDetailSelection.do?menuId=PCUVTINF2000&amp;searchSyr=2026&amp;unvCd=0000023</x:v>
      </x:c>
    </x:row>
    <x:row r="472">
      <x:c r="A472" s="114" t="n">
        <x:v>2025</x:v>
      </x:c>
      <x:c r="B472" s="112" t="str">
        <x:v>광주광역시</x:v>
      </x:c>
      <x:c r="C472" s="112" t="str">
        <x:v>국립</x:v>
      </x:c>
      <x:c r="D472" s="112" t="str">
        <x:v>전남대학교</x:v>
      </x:c>
      <x:c r="E472" s="112" t="str">
        <x:v>가</x:v>
      </x:c>
      <x:c r="F472" s="112" t="str">
        <x:v>수능위주(일반전형)</x:v>
      </x:c>
      <x:c r="G472" s="113" t="str">
        <x:v>전자컴퓨터공학부</x:v>
      </x:c>
      <x:c r="H472" s="114" t="n">
        <x:v>50</x:v>
      </x:c>
      <x:c r="I472" s="114" t="n">
        <x:v>1</x:v>
      </x:c>
      <x:c r="J472" s="114" t="n">
        <x:v>51</x:v>
      </x:c>
      <x:c r="K472" s="115" t="n">
        <x:v>3.1</x:v>
      </x:c>
      <x:c r="L472" s="114" t="n">
        <x:v>14</x:v>
      </x:c>
      <x:c r="M472" s="115"/>
      <x:c r="N472" s="115" t="n">
        <x:v>877.064</x:v>
      </x:c>
      <x:c r="O472" s="115" t="n">
        <x:v>1000</x:v>
      </x:c>
      <x:c r="P472" s="115" t="n">
        <x:v>77</x:v>
      </x:c>
      <x:c r="Q472" s="115" t="n">
        <x:v>81</x:v>
      </x:c>
      <x:c r="R472" s="115" t="n">
        <x:v>81</x:v>
      </x:c>
      <x:c r="S472" s="115" t="n">
        <x:v>59</x:v>
      </x:c>
      <x:c r="T472" s="114" t="n">
        <x:v>3</x:v>
      </x:c>
      <x:c r="U472" s="114" t="n">
        <x:v>2</x:v>
      </x:c>
      <x:c r="V472" s="115"/>
      <x:c r="W472" s="115" t="n">
        <x:v>74.5</x:v>
      </x:c>
      <x:c r="X472" s="115" t="n">
        <x:v>74.5</x:v>
      </x:c>
      <x:c r="Y472" s="115" t="str">
        <x:v>파생 단순평균(참고)</x:v>
      </x:c>
      <x:c r="Z472" s="114" t="n">
        <x:v>80</x:v>
      </x:c>
      <x:c r="AA472" s="115" t="n">
        <x:v>5.5</x:v>
      </x:c>
      <x:c r="AB472" s="112" t="str">
        <x:v>안정</x:v>
      </x:c>
      <x:c r="AC472" s="115" t="n">
        <x:v>0</x:v>
      </x:c>
      <x:c r="AD472" s="115" t="n">
        <x:v>96</x:v>
      </x:c>
      <x:c r="AE472" s="115" t="n">
        <x:v>4</x:v>
      </x:c>
      <x:c r="AF472" s="113" t="str">
        <x:v>B: 공식 2025학년도 정시 수능(일반) 과목별 70% 백분위 → 단순평균 파생</x:v>
      </x:c>
      <x:c r="AG472" s="112" t="str">
        <x:v>https://www.adiga.kr/ucp/uvt/uni/univDetailSelection.do?menuId=PCUVTINF2000&amp;searchSyr=2026&amp;unvCd=0000023</x:v>
      </x:c>
    </x:row>
    <x:row r="473">
      <x:c r="A473" s="114" t="n">
        <x:v>2025</x:v>
      </x:c>
      <x:c r="B473" s="112" t="str">
        <x:v>광주광역시</x:v>
      </x:c>
      <x:c r="C473" s="112" t="str">
        <x:v>국립</x:v>
      </x:c>
      <x:c r="D473" s="112" t="str">
        <x:v>전남대학교</x:v>
      </x:c>
      <x:c r="E473" s="112" t="str">
        <x:v>다</x:v>
      </x:c>
      <x:c r="F473" s="112" t="str">
        <x:v>수능위주(일반전형)</x:v>
      </x:c>
      <x:c r="G473" s="113" t="str">
        <x:v>조선해양공학과</x:v>
      </x:c>
      <x:c r="H473" s="114" t="n">
        <x:v>0</x:v>
      </x:c>
      <x:c r="I473" s="114" t="n">
        <x:v>18</x:v>
      </x:c>
      <x:c r="J473" s="114" t="n">
        <x:v>18</x:v>
      </x:c>
      <x:c r="K473" s="115" t="n">
        <x:v>2.56</x:v>
      </x:c>
      <x:c r="L473" s="114" t="n">
        <x:v>17</x:v>
      </x:c>
      <x:c r="M473" s="115"/>
      <x:c r="N473" s="115" t="n">
        <x:v>732.6</x:v>
      </x:c>
      <x:c r="O473" s="115" t="n">
        <x:v>1000</x:v>
      </x:c>
      <x:c r="P473" s="115" t="n">
        <x:v>39</x:v>
      </x:c>
      <x:c r="Q473" s="115" t="n">
        <x:v>52</x:v>
      </x:c>
      <x:c r="R473" s="115" t="n">
        <x:v>41</x:v>
      </x:c>
      <x:c r="S473" s="115" t="n">
        <x:v>26</x:v>
      </x:c>
      <x:c r="T473" s="114" t="n">
        <x:v>4</x:v>
      </x:c>
      <x:c r="U473" s="114" t="n">
        <x:v>5</x:v>
      </x:c>
      <x:c r="V473" s="115"/>
      <x:c r="W473" s="115" t="n">
        <x:v>39.5</x:v>
      </x:c>
      <x:c r="X473" s="115" t="n">
        <x:v>39.5</x:v>
      </x:c>
      <x:c r="Y473" s="115" t="str">
        <x:v>파생 단순평균(참고)</x:v>
      </x:c>
      <x:c r="Z473" s="114" t="n">
        <x:v>80</x:v>
      </x:c>
      <x:c r="AA473" s="115" t="n">
        <x:v>40.5</x:v>
      </x:c>
      <x:c r="AB473" s="112" t="str">
        <x:v>안정</x:v>
      </x:c>
      <x:c r="AC473" s="115" t="n">
        <x:v>0</x:v>
      </x:c>
      <x:c r="AD473" s="115" t="n">
        <x:v>92.3</x:v>
      </x:c>
      <x:c r="AE473" s="115" t="n">
        <x:v>7.7</x:v>
      </x:c>
      <x:c r="AF473" s="113" t="str">
        <x:v>B: 공식 2025학년도 정시 수능(일반) 과목별 70% 백분위 → 단순평균 파생</x:v>
      </x:c>
      <x:c r="AG473" s="112" t="str">
        <x:v>https://www.adiga.kr/ucp/uvt/uni/univDetailSelection.do?menuId=PCUVTINF2000&amp;searchSyr=2026&amp;unvCd=0000023</x:v>
      </x:c>
    </x:row>
    <x:row r="474">
      <x:c r="A474" s="114" t="n">
        <x:v>2025</x:v>
      </x:c>
      <x:c r="B474" s="112" t="str">
        <x:v>광주광역시</x:v>
      </x:c>
      <x:c r="C474" s="112" t="str">
        <x:v>국립</x:v>
      </x:c>
      <x:c r="D474" s="112" t="str">
        <x:v>전남대학교</x:v>
      </x:c>
      <x:c r="E474" s="112" t="str">
        <x:v>가</x:v>
      </x:c>
      <x:c r="F474" s="112" t="str">
        <x:v>수능위주(지역인재)</x:v>
      </x:c>
      <x:c r="G474" s="113" t="str">
        <x:v>간호학과</x:v>
      </x:c>
      <x:c r="H474" s="114" t="n">
        <x:v>10</x:v>
      </x:c>
      <x:c r="I474" s="114" t="n">
        <x:v>1</x:v>
      </x:c>
      <x:c r="J474" s="114" t="n">
        <x:v>11</x:v>
      </x:c>
      <x:c r="K474" s="115" t="n">
        <x:v>2.64</x:v>
      </x:c>
      <x:c r="L474" s="114" t="n">
        <x:v>4</x:v>
      </x:c>
      <x:c r="M474" s="115"/>
      <x:c r="N474" s="115" t="n">
        <x:v>876.49</x:v>
      </x:c>
      <x:c r="O474" s="115" t="n">
        <x:v>1000</x:v>
      </x:c>
      <x:c r="P474" s="115" t="n">
        <x:v>85</x:v>
      </x:c>
      <x:c r="Q474" s="115" t="n">
        <x:v>81</x:v>
      </x:c>
      <x:c r="R474" s="115" t="n">
        <x:v>91</x:v>
      </x:c>
      <x:c r="S474" s="115" t="n">
        <x:v>59</x:v>
      </x:c>
      <x:c r="T474" s="114" t="n">
        <x:v>3</x:v>
      </x:c>
      <x:c r="U474" s="114" t="n">
        <x:v>2</x:v>
      </x:c>
      <x:c r="V474" s="115"/>
      <x:c r="W474" s="115" t="n">
        <x:v>79</x:v>
      </x:c>
      <x:c r="X474" s="115" t="n">
        <x:v>79</x:v>
      </x:c>
      <x:c r="Y474" s="115" t="str">
        <x:v>파생 단순평균(참고)</x:v>
      </x:c>
      <x:c r="Z474" s="114" t="n">
        <x:v>80</x:v>
      </x:c>
      <x:c r="AA474" s="115" t="n">
        <x:v>1</x:v>
      </x:c>
      <x:c r="AB474" s="112" t="str">
        <x:v>적정</x:v>
      </x:c>
      <x:c r="AC474" s="115" t="n">
        <x:v>9.1</x:v>
      </x:c>
      <x:c r="AD474" s="115" t="n">
        <x:v>90.9</x:v>
      </x:c>
      <x:c r="AE474" s="115" t="n">
        <x:v>0</x:v>
      </x:c>
      <x:c r="AF474" s="113" t="str">
        <x:v>B: 공식 2025학년도 정시 지역인재 과목별 70% 백분위 → 단순평균 파생</x:v>
      </x:c>
      <x:c r="AG474" s="112" t="str">
        <x:v>https://www.adiga.kr/ucp/uvt/uni/univDetailSelection.do?menuId=PCUVTINF2000&amp;searchSyr=2026&amp;unvCd=0000023</x:v>
      </x:c>
    </x:row>
    <x:row r="475">
      <x:c r="A475" s="114" t="n">
        <x:v>2025</x:v>
      </x:c>
      <x:c r="B475" s="112" t="str">
        <x:v>광주광역시</x:v>
      </x:c>
      <x:c r="C475" s="112" t="str">
        <x:v>국립</x:v>
      </x:c>
      <x:c r="D475" s="112" t="str">
        <x:v>전남대학교</x:v>
      </x:c>
      <x:c r="E475" s="112" t="str">
        <x:v>가</x:v>
      </x:c>
      <x:c r="F475" s="112" t="str">
        <x:v>수능위주(지역인재)</x:v>
      </x:c>
      <x:c r="G475" s="113" t="str">
        <x:v>의학과</x:v>
      </x:c>
      <x:c r="H475" s="114" t="n">
        <x:v>24</x:v>
      </x:c>
      <x:c r="I475" s="114" t="n">
        <x:v>1</x:v>
      </x:c>
      <x:c r="J475" s="114" t="n">
        <x:v>25</x:v>
      </x:c>
      <x:c r="K475" s="115" t="n">
        <x:v>4.84</x:v>
      </x:c>
      <x:c r="L475" s="114" t="n">
        <x:v>7</x:v>
      </x:c>
      <x:c r="M475" s="115"/>
      <x:c r="N475" s="115" t="n">
        <x:v>979.367</x:v>
      </x:c>
      <x:c r="O475" s="115" t="n">
        <x:v>1000</x:v>
      </x:c>
      <x:c r="P475" s="115" t="n">
        <x:v>98</x:v>
      </x:c>
      <x:c r="Q475" s="115" t="n">
        <x:v>99</x:v>
      </x:c>
      <x:c r="R475" s="115" t="n">
        <x:v>90</x:v>
      </x:c>
      <x:c r="S475" s="115" t="n">
        <x:v>96</x:v>
      </x:c>
      <x:c r="T475" s="114" t="n">
        <x:v>1</x:v>
      </x:c>
      <x:c r="U475" s="114" t="n">
        <x:v>1</x:v>
      </x:c>
      <x:c r="V475" s="115"/>
      <x:c r="W475" s="115" t="n">
        <x:v>95.75</x:v>
      </x:c>
      <x:c r="X475" s="115" t="n">
        <x:v>95.75</x:v>
      </x:c>
      <x:c r="Y475" s="115" t="str">
        <x:v>파생 단순평균(참고)</x:v>
      </x:c>
      <x:c r="Z475" s="114" t="n">
        <x:v>80</x:v>
      </x:c>
      <x:c r="AA475" s="115" t="n">
        <x:v>-15.75</x:v>
      </x:c>
      <x:c r="AB475" s="112" t="str">
        <x:v>상향</x:v>
      </x:c>
      <x:c r="AC475" s="115" t="n">
        <x:v>0</x:v>
      </x:c>
      <x:c r="AD475" s="115" t="n">
        <x:v>88</x:v>
      </x:c>
      <x:c r="AE475" s="115" t="n">
        <x:v>12</x:v>
      </x:c>
      <x:c r="AF475" s="113" t="str">
        <x:v>B: 공식 2025학년도 정시 지역인재 과목별 70% 백분위 → 단순평균 파생</x:v>
      </x:c>
      <x:c r="AG475" s="112" t="str">
        <x:v>https://www.adiga.kr/ucp/uvt/uni/univDetailSelection.do?menuId=PCUVTINF2000&amp;searchSyr=2026&amp;unvCd=0000023</x:v>
      </x:c>
    </x:row>
    <x:row r="476">
      <x:c r="A476" s="114" t="n">
        <x:v>2025</x:v>
      </x:c>
      <x:c r="B476" s="112" t="str">
        <x:v>광주광역시</x:v>
      </x:c>
      <x:c r="C476" s="112" t="str">
        <x:v>국립</x:v>
      </x:c>
      <x:c r="D476" s="112" t="str">
        <x:v>전남대학교</x:v>
      </x:c>
      <x:c r="E476" s="112" t="str">
        <x:v>가</x:v>
      </x:c>
      <x:c r="F476" s="112" t="str">
        <x:v>수능위주(지역인재)</x:v>
      </x:c>
      <x:c r="G476" s="113" t="str">
        <x:v>치의학과(학·석사통합과정)</x:v>
      </x:c>
      <x:c r="H476" s="114" t="n">
        <x:v>8</x:v>
      </x:c>
      <x:c r="I476" s="114" t="n">
        <x:v>1</x:v>
      </x:c>
      <x:c r="J476" s="114" t="n">
        <x:v>9</x:v>
      </x:c>
      <x:c r="K476" s="115" t="n">
        <x:v>4.67</x:v>
      </x:c>
      <x:c r="L476" s="114" t="n">
        <x:v>7</x:v>
      </x:c>
      <x:c r="M476" s="115"/>
      <x:c r="N476" s="115" t="n">
        <x:v>970.866</x:v>
      </x:c>
      <x:c r="O476" s="115" t="n">
        <x:v>1000</x:v>
      </x:c>
      <x:c r="P476" s="115" t="n">
        <x:v>96</x:v>
      </x:c>
      <x:c r="Q476" s="115" t="n">
        <x:v>98</x:v>
      </x:c>
      <x:c r="R476" s="115" t="n">
        <x:v>94</x:v>
      </x:c>
      <x:c r="S476" s="115" t="n">
        <x:v>94</x:v>
      </x:c>
      <x:c r="T476" s="114" t="n">
        <x:v>2</x:v>
      </x:c>
      <x:c r="U476" s="114" t="n">
        <x:v>2</x:v>
      </x:c>
      <x:c r="V476" s="115"/>
      <x:c r="W476" s="115" t="n">
        <x:v>95.5</x:v>
      </x:c>
      <x:c r="X476" s="115" t="n">
        <x:v>95.5</x:v>
      </x:c>
      <x:c r="Y476" s="115" t="str">
        <x:v>파생 단순평균(참고)</x:v>
      </x:c>
      <x:c r="Z476" s="114" t="n">
        <x:v>80</x:v>
      </x:c>
      <x:c r="AA476" s="115" t="n">
        <x:v>-15.5</x:v>
      </x:c>
      <x:c r="AB476" s="112" t="str">
        <x:v>상향</x:v>
      </x:c>
      <x:c r="AC476" s="115" t="n">
        <x:v>0</x:v>
      </x:c>
      <x:c r="AD476" s="115" t="n">
        <x:v>100</x:v>
      </x:c>
      <x:c r="AE476" s="115" t="n">
        <x:v>0</x:v>
      </x:c>
      <x:c r="AF476" s="113" t="str">
        <x:v>B: 공식 2025학년도 정시 지역인재 과목별 70% 백분위 → 단순평균 파생</x:v>
      </x:c>
      <x:c r="AG476" s="112" t="str">
        <x:v>https://www.adiga.kr/ucp/uvt/uni/univDetailSelection.do?menuId=PCUVTINF2000&amp;searchSyr=2026&amp;unvCd=0000023</x:v>
      </x:c>
    </x:row>
    <x:row r="477">
      <x:c r="A477" s="114" t="n">
        <x:v>2025</x:v>
      </x:c>
      <x:c r="B477" s="112" t="str">
        <x:v>광주광역시</x:v>
      </x:c>
      <x:c r="C477" s="112" t="str">
        <x:v>국립</x:v>
      </x:c>
      <x:c r="D477" s="112" t="str">
        <x:v>전남대학교</x:v>
      </x:c>
      <x:c r="E477" s="112" t="str">
        <x:v>나</x:v>
      </x:c>
      <x:c r="F477" s="112" t="str">
        <x:v>수능위주(지역인재)</x:v>
      </x:c>
      <x:c r="G477" s="113" t="str">
        <x:v>약학부</x:v>
      </x:c>
      <x:c r="H477" s="114" t="n">
        <x:v>9</x:v>
      </x:c>
      <x:c r="I477" s="114" t="n">
        <x:v>0</x:v>
      </x:c>
      <x:c r="J477" s="114" t="n">
        <x:v>9</x:v>
      </x:c>
      <x:c r="K477" s="115" t="n">
        <x:v>8.22</x:v>
      </x:c>
      <x:c r="L477" s="114" t="n">
        <x:v>4</x:v>
      </x:c>
      <x:c r="M477" s="115"/>
      <x:c r="N477" s="115" t="n">
        <x:v>967.283</x:v>
      </x:c>
      <x:c r="O477" s="115" t="n">
        <x:v>1000</x:v>
      </x:c>
      <x:c r="P477" s="115" t="n">
        <x:v>93</x:v>
      </x:c>
      <x:c r="Q477" s="115" t="n">
        <x:v>97</x:v>
      </x:c>
      <x:c r="R477" s="115" t="n">
        <x:v>90</x:v>
      </x:c>
      <x:c r="S477" s="115" t="n">
        <x:v>98</x:v>
      </x:c>
      <x:c r="T477" s="114" t="n">
        <x:v>1</x:v>
      </x:c>
      <x:c r="U477" s="114" t="n">
        <x:v>2</x:v>
      </x:c>
      <x:c r="V477" s="115"/>
      <x:c r="W477" s="115" t="n">
        <x:v>94.5</x:v>
      </x:c>
      <x:c r="X477" s="115" t="n">
        <x:v>94.5</x:v>
      </x:c>
      <x:c r="Y477" s="115" t="str">
        <x:v>파생 단순평균(참고)</x:v>
      </x:c>
      <x:c r="Z477" s="114" t="n">
        <x:v>80</x:v>
      </x:c>
      <x:c r="AA477" s="115" t="n">
        <x:v>-14.5</x:v>
      </x:c>
      <x:c r="AB477" s="112" t="str">
        <x:v>상향</x:v>
      </x:c>
      <x:c r="AC477" s="115" t="n">
        <x:v>0</x:v>
      </x:c>
      <x:c r="AD477" s="115" t="n">
        <x:v>100</x:v>
      </x:c>
      <x:c r="AE477" s="115" t="n">
        <x:v>0</x:v>
      </x:c>
      <x:c r="AF477" s="113" t="str">
        <x:v>B: 공식 2025학년도 정시 지역인재 과목별 70% 백분위 → 단순평균 파생</x:v>
      </x:c>
      <x:c r="AG477" s="112" t="str">
        <x:v>https://www.adiga.kr/ucp/uvt/uni/univDetailSelection.do?menuId=PCUVTINF2000&amp;searchSyr=2026&amp;unvCd=0000023</x:v>
      </x:c>
    </x:row>
    <x:row r="478">
      <x:c r="A478" s="114" t="n">
        <x:v>2025</x:v>
      </x:c>
      <x:c r="B478" s="112" t="str">
        <x:v>강원특별자치도</x:v>
      </x:c>
      <x:c r="C478" s="112" t="str">
        <x:v>국립</x:v>
      </x:c>
      <x:c r="D478" s="112" t="str">
        <x:v>강원대학교</x:v>
      </x:c>
      <x:c r="E478" s="112" t="str">
        <x:v>가</x:v>
      </x:c>
      <x:c r="F478" s="112" t="str">
        <x:v>수능위주(일반전형)</x:v>
      </x:c>
      <x:c r="G478" s="113" t="str">
        <x:v>경영·회계학부</x:v>
      </x:c>
      <x:c r="H478" s="114" t="n">
        <x:v>52</x:v>
      </x:c>
      <x:c r="I478" s="114" t="n">
        <x:v>3</x:v>
      </x:c>
      <x:c r="J478" s="114" t="n">
        <x:v>55</x:v>
      </x:c>
      <x:c r="K478" s="115" t="n">
        <x:v>6.29</x:v>
      </x:c>
      <x:c r="L478" s="114" t="n">
        <x:v>29</x:v>
      </x:c>
      <x:c r="M478" s="115" t="n">
        <x:v>402.85</x:v>
      </x:c>
      <x:c r="N478" s="115" t="n">
        <x:v>400.7</x:v>
      </x:c>
      <x:c r="O478" s="115" t="n">
        <x:v>511.5</x:v>
      </x:c>
      <x:c r="P478" s="115" t="n">
        <x:v>75</x:v>
      </x:c>
      <x:c r="Q478" s="115" t="n">
        <x:v>56</x:v>
      </x:c>
      <x:c r="R478" s="115" t="n">
        <x:v>85</x:v>
      </x:c>
      <x:c r="S478" s="115" t="n">
        <x:v>89</x:v>
      </x:c>
      <x:c r="T478" s="114" t="n">
        <x:v>4</x:v>
      </x:c>
      <x:c r="U478" s="114" t="n">
        <x:v>4</x:v>
      </x:c>
      <x:c r="V478" s="115"/>
      <x:c r="W478" s="115" t="n">
        <x:v>76.25</x:v>
      </x:c>
      <x:c r="X478" s="115" t="n">
        <x:v>76.25</x:v>
      </x:c>
      <x:c r="Y478" s="115" t="str">
        <x:v>파생 단순평균(참고)</x:v>
      </x:c>
      <x:c r="Z478" s="114" t="n">
        <x:v>80</x:v>
      </x:c>
      <x:c r="AA478" s="115" t="n">
        <x:v>3.75</x:v>
      </x:c>
      <x:c r="AB478" s="112" t="str">
        <x:v>적정</x:v>
      </x:c>
      <x:c r="AC478" s="115" t="n">
        <x:v>73.6</x:v>
      </x:c>
      <x:c r="AD478" s="115" t="n">
        <x:v>26.4</x:v>
      </x:c>
      <x:c r="AE478" s="115"/>
      <x:c r="AF478" s="113" t="str">
        <x:v>B: 공식 2025학년도 수능(일반전형) 과목별 70% 백분위 → 단순평균 파생</x:v>
      </x:c>
      <x:c r="AG478" s="112" t="str">
        <x:v>https://www.adiga.kr/ucp/uvt/uni/univDetailSelection.do?menuId=PCUVTINF2000&amp;searchSyr=2026&amp;unvCd=0000003</x:v>
      </x:c>
    </x:row>
    <x:row r="479">
      <x:c r="A479" s="114" t="n">
        <x:v>2025</x:v>
      </x:c>
      <x:c r="B479" s="112" t="str">
        <x:v>강원특별자치도</x:v>
      </x:c>
      <x:c r="C479" s="112" t="str">
        <x:v>국립</x:v>
      </x:c>
      <x:c r="D479" s="112" t="str">
        <x:v>강원대학교</x:v>
      </x:c>
      <x:c r="E479" s="112" t="str">
        <x:v>가</x:v>
      </x:c>
      <x:c r="F479" s="112" t="str">
        <x:v>수능위주(일반전형)</x:v>
      </x:c>
      <x:c r="G479" s="113" t="str">
        <x:v>경제·정보통계학부</x:v>
      </x:c>
      <x:c r="H479" s="114" t="n">
        <x:v>17</x:v>
      </x:c>
      <x:c r="I479" s="114" t="n">
        <x:v>2</x:v>
      </x:c>
      <x:c r="J479" s="114" t="n">
        <x:v>19</x:v>
      </x:c>
      <x:c r="K479" s="115" t="n">
        <x:v>6.11</x:v>
      </x:c>
      <x:c r="L479" s="114" t="n">
        <x:v>10</x:v>
      </x:c>
      <x:c r="M479" s="115" t="n">
        <x:v>393.65</x:v>
      </x:c>
      <x:c r="N479" s="115" t="n">
        <x:v>391.5</x:v>
      </x:c>
      <x:c r="O479" s="115" t="n">
        <x:v>511.5</x:v>
      </x:c>
      <x:c r="P479" s="115" t="n">
        <x:v>77</x:v>
      </x:c>
      <x:c r="Q479" s="115" t="n">
        <x:v>54</x:v>
      </x:c>
      <x:c r="R479" s="115" t="n">
        <x:v>92</x:v>
      </x:c>
      <x:c r="S479" s="115" t="n">
        <x:v>88</x:v>
      </x:c>
      <x:c r="T479" s="114" t="n">
        <x:v>5</x:v>
      </x:c>
      <x:c r="U479" s="114" t="n">
        <x:v>1</x:v>
      </x:c>
      <x:c r="V479" s="115"/>
      <x:c r="W479" s="115" t="n">
        <x:v>77.75</x:v>
      </x:c>
      <x:c r="X479" s="115" t="n">
        <x:v>77.75</x:v>
      </x:c>
      <x:c r="Y479" s="115" t="str">
        <x:v>파생 단순평균(참고)</x:v>
      </x:c>
      <x:c r="Z479" s="114" t="n">
        <x:v>80</x:v>
      </x:c>
      <x:c r="AA479" s="115" t="n">
        <x:v>2.25</x:v>
      </x:c>
      <x:c r="AB479" s="112" t="str">
        <x:v>적정</x:v>
      </x:c>
      <x:c r="AC479" s="115" t="n">
        <x:v>68.4</x:v>
      </x:c>
      <x:c r="AD479" s="115" t="n">
        <x:v>31.6</x:v>
      </x:c>
      <x:c r="AE479" s="115"/>
      <x:c r="AF479" s="113" t="str">
        <x:v>B: 공식 2025학년도 수능(일반전형) 과목별 70% 백분위 → 단순평균 파생</x:v>
      </x:c>
      <x:c r="AG479" s="112" t="str">
        <x:v>https://www.adiga.kr/ucp/uvt/uni/univDetailSelection.do?menuId=PCUVTINF2000&amp;searchSyr=2026&amp;unvCd=0000003</x:v>
      </x:c>
    </x:row>
    <x:row r="480">
      <x:c r="A480" s="114" t="n">
        <x:v>2025</x:v>
      </x:c>
      <x:c r="B480" s="112" t="str">
        <x:v>강원특별자치도</x:v>
      </x:c>
      <x:c r="C480" s="112" t="str">
        <x:v>국립</x:v>
      </x:c>
      <x:c r="D480" s="112" t="str">
        <x:v>강원대학교</x:v>
      </x:c>
      <x:c r="E480" s="112" t="str">
        <x:v>가</x:v>
      </x:c>
      <x:c r="F480" s="112" t="str">
        <x:v>수능위주(일반전형)</x:v>
      </x:c>
      <x:c r="G480" s="113" t="str">
        <x:v>관광경영학과</x:v>
      </x:c>
      <x:c r="H480" s="114" t="n">
        <x:v>5</x:v>
      </x:c>
      <x:c r="I480" s="114" t="n">
        <x:v>1</x:v>
      </x:c>
      <x:c r="J480" s="114" t="n">
        <x:v>6</x:v>
      </x:c>
      <x:c r="K480" s="115" t="n">
        <x:v>5.17</x:v>
      </x:c>
      <x:c r="L480" s="114" t="n">
        <x:v>1</x:v>
      </x:c>
      <x:c r="M480" s="115" t="n">
        <x:v>397.95</x:v>
      </x:c>
      <x:c r="N480" s="115" t="n">
        <x:v>391.1</x:v>
      </x:c>
      <x:c r="O480" s="115" t="n">
        <x:v>511.5</x:v>
      </x:c>
      <x:c r="P480" s="115" t="n">
        <x:v>72</x:v>
      </x:c>
      <x:c r="Q480" s="115" t="n">
        <x:v>46</x:v>
      </x:c>
      <x:c r="R480" s="115" t="n">
        <x:v>88</x:v>
      </x:c>
      <x:c r="S480" s="115" t="n">
        <x:v>84</x:v>
      </x:c>
      <x:c r="T480" s="114" t="n">
        <x:v>3</x:v>
      </x:c>
      <x:c r="U480" s="114" t="n">
        <x:v>1</x:v>
      </x:c>
      <x:c r="V480" s="115"/>
      <x:c r="W480" s="115" t="n">
        <x:v>72.5</x:v>
      </x:c>
      <x:c r="X480" s="115" t="n">
        <x:v>72.5</x:v>
      </x:c>
      <x:c r="Y480" s="115" t="str">
        <x:v>파생 단순평균(참고)</x:v>
      </x:c>
      <x:c r="Z480" s="114" t="n">
        <x:v>80</x:v>
      </x:c>
      <x:c r="AA480" s="115" t="n">
        <x:v>7.5</x:v>
      </x:c>
      <x:c r="AB480" s="112" t="str">
        <x:v>안정</x:v>
      </x:c>
      <x:c r="AC480" s="115" t="n">
        <x:v>100</x:v>
      </x:c>
      <x:c r="AD480" s="115"/>
      <x:c r="AE480" s="115"/>
      <x:c r="AF480" s="113" t="str">
        <x:v>B: 공식 2025학년도 수능(일반전형) 과목별 70% 백분위 → 단순평균 파생</x:v>
      </x:c>
      <x:c r="AG480" s="112" t="str">
        <x:v>https://www.adiga.kr/ucp/uvt/uni/univDetailSelection.do?menuId=PCUVTINF2000&amp;searchSyr=2026&amp;unvCd=0000003</x:v>
      </x:c>
    </x:row>
    <x:row r="481">
      <x:c r="A481" s="114" t="n">
        <x:v>2025</x:v>
      </x:c>
      <x:c r="B481" s="112" t="str">
        <x:v>강원특별자치도</x:v>
      </x:c>
      <x:c r="C481" s="112" t="str">
        <x:v>국립</x:v>
      </x:c>
      <x:c r="D481" s="112" t="str">
        <x:v>강원대학교</x:v>
      </x:c>
      <x:c r="E481" s="112" t="str">
        <x:v>가</x:v>
      </x:c>
      <x:c r="F481" s="112" t="str">
        <x:v>수능위주(일반전형)</x:v>
      </x:c>
      <x:c r="G481" s="113" t="str">
        <x:v>국제무역학과</x:v>
      </x:c>
      <x:c r="H481" s="114" t="n">
        <x:v>9</x:v>
      </x:c>
      <x:c r="I481" s="114" t="n">
        <x:v>0</x:v>
      </x:c>
      <x:c r="J481" s="114" t="n">
        <x:v>9</x:v>
      </x:c>
      <x:c r="K481" s="115" t="n">
        <x:v>6.78</x:v>
      </x:c>
      <x:c r="L481" s="114" t="n">
        <x:v>5</x:v>
      </x:c>
      <x:c r="M481" s="115" t="n">
        <x:v>397.7</x:v>
      </x:c>
      <x:c r="N481" s="115" t="n">
        <x:v>395.15</x:v>
      </x:c>
      <x:c r="O481" s="115" t="n">
        <x:v>511.5</x:v>
      </x:c>
      <x:c r="P481" s="115" t="n">
        <x:v>75</x:v>
      </x:c>
      <x:c r="Q481" s="115" t="n">
        <x:v>57</x:v>
      </x:c>
      <x:c r="R481" s="115" t="n">
        <x:v>75</x:v>
      </x:c>
      <x:c r="S481" s="115" t="n">
        <x:v>78</x:v>
      </x:c>
      <x:c r="T481" s="114" t="n">
        <x:v>3</x:v>
      </x:c>
      <x:c r="U481" s="114" t="n">
        <x:v>3</x:v>
      </x:c>
      <x:c r="V481" s="115"/>
      <x:c r="W481" s="115" t="n">
        <x:v>71.25</x:v>
      </x:c>
      <x:c r="X481" s="115" t="n">
        <x:v>71.25</x:v>
      </x:c>
      <x:c r="Y481" s="115" t="str">
        <x:v>파생 단순평균(참고)</x:v>
      </x:c>
      <x:c r="Z481" s="114" t="n">
        <x:v>80</x:v>
      </x:c>
      <x:c r="AA481" s="115" t="n">
        <x:v>8.75</x:v>
      </x:c>
      <x:c r="AB481" s="112" t="str">
        <x:v>안정</x:v>
      </x:c>
      <x:c r="AC481" s="115" t="n">
        <x:v>88.9</x:v>
      </x:c>
      <x:c r="AD481" s="115" t="n">
        <x:v>11.1</x:v>
      </x:c>
      <x:c r="AE481" s="115"/>
      <x:c r="AF481" s="113" t="str">
        <x:v>B: 공식 2025학년도 수능(일반전형) 과목별 70% 백분위 → 단순평균 파생</x:v>
      </x:c>
      <x:c r="AG481" s="112" t="str">
        <x:v>https://www.adiga.kr/ucp/uvt/uni/univDetailSelection.do?menuId=PCUVTINF2000&amp;searchSyr=2026&amp;unvCd=0000003</x:v>
      </x:c>
    </x:row>
    <x:row r="482">
      <x:c r="A482" s="114" t="n">
        <x:v>2025</x:v>
      </x:c>
      <x:c r="B482" s="112" t="str">
        <x:v>강원특별자치도</x:v>
      </x:c>
      <x:c r="C482" s="112" t="str">
        <x:v>국립</x:v>
      </x:c>
      <x:c r="D482" s="112" t="str">
        <x:v>강원대학교</x:v>
      </x:c>
      <x:c r="E482" s="112" t="str">
        <x:v>가</x:v>
      </x:c>
      <x:c r="F482" s="112" t="str">
        <x:v>수능위주(일반전형)</x:v>
      </x:c>
      <x:c r="G482" s="113" t="str">
        <x:v>경영대학 무전공학과</x:v>
      </x:c>
      <x:c r="H482" s="114" t="n">
        <x:v>11</x:v>
      </x:c>
      <x:c r="I482" s="114" t="n">
        <x:v>1</x:v>
      </x:c>
      <x:c r="J482" s="114" t="n">
        <x:v>12</x:v>
      </x:c>
      <x:c r="K482" s="115" t="n">
        <x:v>6.17</x:v>
      </x:c>
      <x:c r="L482" s="114" t="n">
        <x:v>6</x:v>
      </x:c>
      <x:c r="M482" s="115" t="n">
        <x:v>396.9</x:v>
      </x:c>
      <x:c r="N482" s="115" t="n">
        <x:v>393.9</x:v>
      </x:c>
      <x:c r="O482" s="115" t="n">
        <x:v>511.5</x:v>
      </x:c>
      <x:c r="P482" s="115" t="n">
        <x:v>79</x:v>
      </x:c>
      <x:c r="Q482" s="115" t="n">
        <x:v>57</x:v>
      </x:c>
      <x:c r="R482" s="115" t="n">
        <x:v>74</x:v>
      </x:c>
      <x:c r="S482" s="115" t="n">
        <x:v>74</x:v>
      </x:c>
      <x:c r="T482" s="114" t="n">
        <x:v>4</x:v>
      </x:c>
      <x:c r="U482" s="114" t="n">
        <x:v>3</x:v>
      </x:c>
      <x:c r="V482" s="115"/>
      <x:c r="W482" s="115" t="n">
        <x:v>71</x:v>
      </x:c>
      <x:c r="X482" s="115" t="n">
        <x:v>71</x:v>
      </x:c>
      <x:c r="Y482" s="115" t="str">
        <x:v>파생 단순평균(참고)</x:v>
      </x:c>
      <x:c r="Z482" s="114" t="n">
        <x:v>80</x:v>
      </x:c>
      <x:c r="AA482" s="115" t="n">
        <x:v>9</x:v>
      </x:c>
      <x:c r="AB482" s="112" t="str">
        <x:v>안정</x:v>
      </x:c>
      <x:c r="AC482" s="115" t="n">
        <x:v>91.7</x:v>
      </x:c>
      <x:c r="AD482" s="115" t="n">
        <x:v>8.3</x:v>
      </x:c>
      <x:c r="AE482" s="115"/>
      <x:c r="AF482" s="113" t="str">
        <x:v>B: 공식 2025학년도 수능(일반전형) 과목별 70% 백분위 → 단순평균 파생</x:v>
      </x:c>
      <x:c r="AG482" s="112" t="str">
        <x:v>https://www.adiga.kr/ucp/uvt/uni/univDetailSelection.do?menuId=PCUVTINF2000&amp;searchSyr=2026&amp;unvCd=0000003</x:v>
      </x:c>
    </x:row>
    <x:row r="483">
      <x:c r="A483" s="114" t="n">
        <x:v>2025</x:v>
      </x:c>
      <x:c r="B483" s="112" t="str">
        <x:v>강원특별자치도</x:v>
      </x:c>
      <x:c r="C483" s="112" t="str">
        <x:v>국립</x:v>
      </x:c>
      <x:c r="D483" s="112" t="str">
        <x:v>강원대학교</x:v>
      </x:c>
      <x:c r="E483" s="112" t="str">
        <x:v>가</x:v>
      </x:c>
      <x:c r="F483" s="112" t="str">
        <x:v>수능위주(일반전형)</x:v>
      </x:c>
      <x:c r="G483" s="113" t="str">
        <x:v>동물산업융합학과</x:v>
      </x:c>
      <x:c r="H483" s="114" t="n">
        <x:v>8</x:v>
      </x:c>
      <x:c r="I483" s="114" t="n">
        <x:v>1</x:v>
      </x:c>
      <x:c r="J483" s="114" t="n">
        <x:v>9</x:v>
      </x:c>
      <x:c r="K483" s="115" t="n">
        <x:v>5.89</x:v>
      </x:c>
      <x:c r="L483" s="114" t="n">
        <x:v>5</x:v>
      </x:c>
      <x:c r="M483" s="115" t="n">
        <x:v>386.18</x:v>
      </x:c>
      <x:c r="N483" s="115" t="n">
        <x:v>385.25</x:v>
      </x:c>
      <x:c r="O483" s="115" t="n">
        <x:v>531.5</x:v>
      </x:c>
      <x:c r="P483" s="115" t="n">
        <x:v>67</x:v>
      </x:c>
      <x:c r="Q483" s="115" t="n">
        <x:v>81</x:v>
      </x:c>
      <x:c r="R483" s="115" t="n">
        <x:v>62</x:v>
      </x:c>
      <x:c r="S483" s="115" t="n">
        <x:v>46</x:v>
      </x:c>
      <x:c r="T483" s="114" t="n">
        <x:v>3</x:v>
      </x:c>
      <x:c r="U483" s="114" t="n">
        <x:v>1</x:v>
      </x:c>
      <x:c r="V483" s="115"/>
      <x:c r="W483" s="115" t="n">
        <x:v>64</x:v>
      </x:c>
      <x:c r="X483" s="115" t="n">
        <x:v>64</x:v>
      </x:c>
      <x:c r="Y483" s="115" t="str">
        <x:v>파생 단순평균(참고)</x:v>
      </x:c>
      <x:c r="Z483" s="114" t="n">
        <x:v>80</x:v>
      </x:c>
      <x:c r="AA483" s="115" t="n">
        <x:v>16</x:v>
      </x:c>
      <x:c r="AB483" s="112" t="str">
        <x:v>안정</x:v>
      </x:c>
      <x:c r="AC483" s="115" t="n">
        <x:v>22.2</x:v>
      </x:c>
      <x:c r="AD483" s="115" t="n">
        <x:v>77.8</x:v>
      </x:c>
      <x:c r="AE483" s="115"/>
      <x:c r="AF483" s="113" t="str">
        <x:v>B: 공식 2025학년도 수능(일반전형) 과목별 70% 백분위 → 단순평균 파생</x:v>
      </x:c>
      <x:c r="AG483" s="112" t="str">
        <x:v>https://www.adiga.kr/ucp/uvt/uni/univDetailSelection.do?menuId=PCUVTINF2000&amp;searchSyr=2026&amp;unvCd=0000003</x:v>
      </x:c>
    </x:row>
    <x:row r="484">
      <x:c r="A484" s="114" t="n">
        <x:v>2025</x:v>
      </x:c>
      <x:c r="B484" s="112" t="str">
        <x:v>강원특별자치도</x:v>
      </x:c>
      <x:c r="C484" s="112" t="str">
        <x:v>국립</x:v>
      </x:c>
      <x:c r="D484" s="112" t="str">
        <x:v>강원대학교</x:v>
      </x:c>
      <x:c r="E484" s="112" t="str">
        <x:v>가</x:v>
      </x:c>
      <x:c r="F484" s="112" t="str">
        <x:v>수능위주(일반전형)</x:v>
      </x:c>
      <x:c r="G484" s="113" t="str">
        <x:v>동물응용과학과</x:v>
      </x:c>
      <x:c r="H484" s="114" t="n">
        <x:v>8</x:v>
      </x:c>
      <x:c r="I484" s="114" t="n">
        <x:v>1</x:v>
      </x:c>
      <x:c r="J484" s="114" t="n">
        <x:v>9</x:v>
      </x:c>
      <x:c r="K484" s="115" t="n">
        <x:v>4.44</x:v>
      </x:c>
      <x:c r="L484" s="114" t="n">
        <x:v>7</x:v>
      </x:c>
      <x:c r="M484" s="115" t="n">
        <x:v>383.63</x:v>
      </x:c>
      <x:c r="N484" s="115" t="n">
        <x:v>382.18</x:v>
      </x:c>
      <x:c r="O484" s="115" t="n">
        <x:v>531.5</x:v>
      </x:c>
      <x:c r="P484" s="115" t="n">
        <x:v>86</x:v>
      </x:c>
      <x:c r="Q484" s="115" t="n">
        <x:v>74</x:v>
      </x:c>
      <x:c r="R484" s="115" t="n">
        <x:v>66</x:v>
      </x:c>
      <x:c r="S484" s="115" t="n">
        <x:v>51</x:v>
      </x:c>
      <x:c r="T484" s="114" t="n">
        <x:v>5</x:v>
      </x:c>
      <x:c r="U484" s="114" t="n">
        <x:v>1</x:v>
      </x:c>
      <x:c r="V484" s="115"/>
      <x:c r="W484" s="115" t="n">
        <x:v>69.25</x:v>
      </x:c>
      <x:c r="X484" s="115" t="n">
        <x:v>69.25</x:v>
      </x:c>
      <x:c r="Y484" s="115" t="str">
        <x:v>파생 단순평균(참고)</x:v>
      </x:c>
      <x:c r="Z484" s="114" t="n">
        <x:v>80</x:v>
      </x:c>
      <x:c r="AA484" s="115" t="n">
        <x:v>10.75</x:v>
      </x:c>
      <x:c r="AB484" s="112" t="str">
        <x:v>안정</x:v>
      </x:c>
      <x:c r="AC484" s="115"/>
      <x:c r="AD484" s="115" t="n">
        <x:v>100</x:v>
      </x:c>
      <x:c r="AE484" s="115"/>
      <x:c r="AF484" s="113" t="str">
        <x:v>B: 공식 2025학년도 수능(일반전형) 과목별 70% 백분위 → 단순평균 파생</x:v>
      </x:c>
      <x:c r="AG484" s="112" t="str">
        <x:v>https://www.adiga.kr/ucp/uvt/uni/univDetailSelection.do?menuId=PCUVTINF2000&amp;searchSyr=2026&amp;unvCd=0000003</x:v>
      </x:c>
    </x:row>
    <x:row r="485">
      <x:c r="A485" s="114" t="n">
        <x:v>2025</x:v>
      </x:c>
      <x:c r="B485" s="112" t="str">
        <x:v>강원특별자치도</x:v>
      </x:c>
      <x:c r="C485" s="112" t="str">
        <x:v>국립</x:v>
      </x:c>
      <x:c r="D485" s="112" t="str">
        <x:v>강원대학교</x:v>
      </x:c>
      <x:c r="E485" s="112" t="str">
        <x:v>가</x:v>
      </x:c>
      <x:c r="F485" s="112" t="str">
        <x:v>수능위주(일반전형)</x:v>
      </x:c>
      <x:c r="G485" s="113" t="str">
        <x:v>동물자원과학과</x:v>
      </x:c>
      <x:c r="H485" s="114" t="n">
        <x:v>11</x:v>
      </x:c>
      <x:c r="I485" s="114" t="n">
        <x:v>1</x:v>
      </x:c>
      <x:c r="J485" s="114" t="n">
        <x:v>12</x:v>
      </x:c>
      <x:c r="K485" s="115" t="n">
        <x:v>7.33</x:v>
      </x:c>
      <x:c r="L485" s="114" t="n">
        <x:v>6</x:v>
      </x:c>
      <x:c r="M485" s="115"/>
      <x:c r="N485" s="115" t="n">
        <x:v>378.33</x:v>
      </x:c>
      <x:c r="O485" s="115" t="n">
        <x:v>531.5</x:v>
      </x:c>
      <x:c r="P485" s="115" t="n">
        <x:v>63</x:v>
      </x:c>
      <x:c r="Q485" s="115" t="n">
        <x:v>70</x:v>
      </x:c>
      <x:c r="R485" s="115" t="n">
        <x:v>89</x:v>
      </x:c>
      <x:c r="S485" s="115" t="n">
        <x:v>51</x:v>
      </x:c>
      <x:c r="T485" s="114" t="n">
        <x:v>4</x:v>
      </x:c>
      <x:c r="U485" s="114" t="n">
        <x:v>4</x:v>
      </x:c>
      <x:c r="V485" s="115"/>
      <x:c r="W485" s="115" t="n">
        <x:v>68.25</x:v>
      </x:c>
      <x:c r="X485" s="115" t="n">
        <x:v>68.25</x:v>
      </x:c>
      <x:c r="Y485" s="115" t="str">
        <x:v>파생 단순평균(참고)</x:v>
      </x:c>
      <x:c r="Z485" s="114" t="n">
        <x:v>80</x:v>
      </x:c>
      <x:c r="AA485" s="115" t="n">
        <x:v>11.75</x:v>
      </x:c>
      <x:c r="AB485" s="112" t="str">
        <x:v>안정</x:v>
      </x:c>
      <x:c r="AC485" s="115"/>
      <x:c r="AD485" s="115" t="n">
        <x:v>81.8</x:v>
      </x:c>
      <x:c r="AE485" s="115" t="n">
        <x:v>18.2</x:v>
      </x:c>
      <x:c r="AF485" s="113" t="str">
        <x:v>B: 공식 2025학년도 수능(일반전형) 과목별 70% 백분위 → 단순평균 파생</x:v>
      </x:c>
      <x:c r="AG485" s="112" t="str">
        <x:v>https://www.adiga.kr/ucp/uvt/uni/univDetailSelection.do?menuId=PCUVTINF2000&amp;searchSyr=2026&amp;unvCd=0000003</x:v>
      </x:c>
    </x:row>
    <x:row r="486">
      <x:c r="A486" s="114" t="n">
        <x:v>2025</x:v>
      </x:c>
      <x:c r="B486" s="112" t="str">
        <x:v>강원특별자치도</x:v>
      </x:c>
      <x:c r="C486" s="112" t="str">
        <x:v>국립</x:v>
      </x:c>
      <x:c r="D486" s="112" t="str">
        <x:v>강원대학교</x:v>
      </x:c>
      <x:c r="E486" s="112" t="str">
        <x:v>가</x:v>
      </x:c>
      <x:c r="F486" s="112" t="str">
        <x:v>수능위주(일반전형)</x:v>
      </x:c>
      <x:c r="G486" s="113" t="str">
        <x:v>건축학과(5년제)</x:v>
      </x:c>
      <x:c r="H486" s="114" t="n">
        <x:v>6</x:v>
      </x:c>
      <x:c r="I486" s="114" t="n">
        <x:v>1</x:v>
      </x:c>
      <x:c r="J486" s="114" t="n">
        <x:v>7</x:v>
      </x:c>
      <x:c r="K486" s="115" t="n">
        <x:v>5.29</x:v>
      </x:c>
      <x:c r="L486" s="114" t="n">
        <x:v>4</x:v>
      </x:c>
      <x:c r="M486" s="115"/>
      <x:c r="N486" s="115" t="n">
        <x:v>392.95</x:v>
      </x:c>
      <x:c r="O486" s="115" t="n">
        <x:v>516.5</x:v>
      </x:c>
      <x:c r="P486" s="115" t="n">
        <x:v>58</x:v>
      </x:c>
      <x:c r="Q486" s="115" t="n">
        <x:v>78</x:v>
      </x:c>
      <x:c r="R486" s="115" t="n">
        <x:v>59</x:v>
      </x:c>
      <x:c r="S486" s="115" t="n">
        <x:v>94</x:v>
      </x:c>
      <x:c r="T486" s="114" t="n">
        <x:v>4</x:v>
      </x:c>
      <x:c r="U486" s="114" t="n">
        <x:v>3</x:v>
      </x:c>
      <x:c r="V486" s="115"/>
      <x:c r="W486" s="115" t="n">
        <x:v>72.25</x:v>
      </x:c>
      <x:c r="X486" s="115" t="n">
        <x:v>72.25</x:v>
      </x:c>
      <x:c r="Y486" s="115" t="str">
        <x:v>파생 단순평균(참고)</x:v>
      </x:c>
      <x:c r="Z486" s="114" t="n">
        <x:v>80</x:v>
      </x:c>
      <x:c r="AA486" s="115" t="n">
        <x:v>7.75</x:v>
      </x:c>
      <x:c r="AB486" s="112" t="str">
        <x:v>안정</x:v>
      </x:c>
      <x:c r="AC486" s="115"/>
      <x:c r="AD486" s="115" t="n">
        <x:v>85.7</x:v>
      </x:c>
      <x:c r="AE486" s="115" t="n">
        <x:v>14.3</x:v>
      </x:c>
      <x:c r="AF486" s="113" t="str">
        <x:v>B: 공식 2025학년도 수능(일반전형) 과목별 70% 백분위 → 단순평균 파생</x:v>
      </x:c>
      <x:c r="AG486" s="112" t="str">
        <x:v>https://www.adiga.kr/ucp/uvt/uni/univDetailSelection.do?menuId=PCUVTINF2000&amp;searchSyr=2026&amp;unvCd=0000003</x:v>
      </x:c>
    </x:row>
    <x:row r="487">
      <x:c r="A487" s="114" t="n">
        <x:v>2025</x:v>
      </x:c>
      <x:c r="B487" s="112" t="str">
        <x:v>강원특별자치도</x:v>
      </x:c>
      <x:c r="C487" s="112" t="str">
        <x:v>국립</x:v>
      </x:c>
      <x:c r="D487" s="112" t="str">
        <x:v>강원대학교</x:v>
      </x:c>
      <x:c r="E487" s="112" t="str">
        <x:v>가</x:v>
      </x:c>
      <x:c r="F487" s="112" t="str">
        <x:v>수능위주(일반전형)</x:v>
      </x:c>
      <x:c r="G487" s="113" t="str">
        <x:v>건축·토목·환경공학부</x:v>
      </x:c>
      <x:c r="H487" s="114" t="n">
        <x:v>28</x:v>
      </x:c>
      <x:c r="I487" s="114" t="n">
        <x:v>2</x:v>
      </x:c>
      <x:c r="J487" s="114" t="n">
        <x:v>30</x:v>
      </x:c>
      <x:c r="K487" s="115" t="n">
        <x:v>4.97</x:v>
      </x:c>
      <x:c r="L487" s="114" t="n">
        <x:v>17</x:v>
      </x:c>
      <x:c r="M487" s="115"/>
      <x:c r="N487" s="115" t="n">
        <x:v>372.65</x:v>
      </x:c>
      <x:c r="O487" s="115" t="n">
        <x:v>516.5</x:v>
      </x:c>
      <x:c r="P487" s="115" t="n">
        <x:v>49</x:v>
      </x:c>
      <x:c r="Q487" s="115" t="n">
        <x:v>81</x:v>
      </x:c>
      <x:c r="R487" s="115" t="n">
        <x:v>72</x:v>
      </x:c>
      <x:c r="S487" s="115" t="n">
        <x:v>56</x:v>
      </x:c>
      <x:c r="T487" s="114" t="n">
        <x:v>3</x:v>
      </x:c>
      <x:c r="U487" s="114" t="n">
        <x:v>4</x:v>
      </x:c>
      <x:c r="V487" s="115"/>
      <x:c r="W487" s="115" t="n">
        <x:v>64.5</x:v>
      </x:c>
      <x:c r="X487" s="115" t="n">
        <x:v>64.5</x:v>
      </x:c>
      <x:c r="Y487" s="115" t="str">
        <x:v>파생 단순평균(참고)</x:v>
      </x:c>
      <x:c r="Z487" s="114" t="n">
        <x:v>80</x:v>
      </x:c>
      <x:c r="AA487" s="115" t="n">
        <x:v>15.5</x:v>
      </x:c>
      <x:c r="AB487" s="112" t="str">
        <x:v>안정</x:v>
      </x:c>
      <x:c r="AC487" s="115" t="n">
        <x:v>3.3</x:v>
      </x:c>
      <x:c r="AD487" s="115" t="n">
        <x:v>93.3</x:v>
      </x:c>
      <x:c r="AE487" s="115" t="n">
        <x:v>3.3</x:v>
      </x:c>
      <x:c r="AF487" s="113" t="str">
        <x:v>B: 공식 2025학년도 수능(일반전형) 과목별 70% 백분위 → 단순평균 파생</x:v>
      </x:c>
      <x:c r="AG487" s="112" t="str">
        <x:v>https://www.adiga.kr/ucp/uvt/uni/univDetailSelection.do?menuId=PCUVTINF2000&amp;searchSyr=2026&amp;unvCd=0000003</x:v>
      </x:c>
    </x:row>
    <x:row r="488">
      <x:c r="A488" s="114" t="n">
        <x:v>2025</x:v>
      </x:c>
      <x:c r="B488" s="112" t="str">
        <x:v>강원특별자치도</x:v>
      </x:c>
      <x:c r="C488" s="112" t="str">
        <x:v>국립</x:v>
      </x:c>
      <x:c r="D488" s="112" t="str">
        <x:v>강원대학교</x:v>
      </x:c>
      <x:c r="E488" s="112" t="str">
        <x:v>가</x:v>
      </x:c>
      <x:c r="F488" s="112" t="str">
        <x:v>수능위주(일반전형)</x:v>
      </x:c>
      <x:c r="G488" s="113" t="str">
        <x:v>에너지자원공학과</x:v>
      </x:c>
      <x:c r="H488" s="114" t="n">
        <x:v>7</x:v>
      </x:c>
      <x:c r="I488" s="114" t="n">
        <x:v>1</x:v>
      </x:c>
      <x:c r="J488" s="114" t="n">
        <x:v>8</x:v>
      </x:c>
      <x:c r="K488" s="115" t="n">
        <x:v>3.5</x:v>
      </x:c>
      <x:c r="L488" s="114" t="n">
        <x:v>4</x:v>
      </x:c>
      <x:c r="M488" s="115"/>
      <x:c r="N488" s="115" t="n">
        <x:v>382.1</x:v>
      </x:c>
      <x:c r="O488" s="115" t="n">
        <x:v>516.5</x:v>
      </x:c>
      <x:c r="P488" s="115" t="n">
        <x:v>58</x:v>
      </x:c>
      <x:c r="Q488" s="115" t="n">
        <x:v>74</x:v>
      </x:c>
      <x:c r="R488" s="115" t="n">
        <x:v>71</x:v>
      </x:c>
      <x:c r="S488" s="115" t="n">
        <x:v>67</x:v>
      </x:c>
      <x:c r="T488" s="114" t="n">
        <x:v>2</x:v>
      </x:c>
      <x:c r="U488" s="114" t="n">
        <x:v>1</x:v>
      </x:c>
      <x:c r="V488" s="115"/>
      <x:c r="W488" s="115" t="n">
        <x:v>67.5</x:v>
      </x:c>
      <x:c r="X488" s="115" t="n">
        <x:v>67.5</x:v>
      </x:c>
      <x:c r="Y488" s="115" t="str">
        <x:v>파생 단순평균(참고)</x:v>
      </x:c>
      <x:c r="Z488" s="114" t="n">
        <x:v>80</x:v>
      </x:c>
      <x:c r="AA488" s="115" t="n">
        <x:v>12.5</x:v>
      </x:c>
      <x:c r="AB488" s="112" t="str">
        <x:v>안정</x:v>
      </x:c>
      <x:c r="AC488" s="115"/>
      <x:c r="AD488" s="115" t="n">
        <x:v>100</x:v>
      </x:c>
      <x:c r="AE488" s="115"/>
      <x:c r="AF488" s="113" t="str">
        <x:v>B: 공식 2025학년도 수능(일반전형) 과목별 70% 백분위 → 단순평균 파생</x:v>
      </x:c>
      <x:c r="AG488" s="112" t="str">
        <x:v>https://www.adiga.kr/ucp/uvt/uni/univDetailSelection.do?menuId=PCUVTINF2000&amp;searchSyr=2026&amp;unvCd=0000003</x:v>
      </x:c>
    </x:row>
    <x:row r="489">
      <x:c r="A489" s="114" t="n">
        <x:v>2025</x:v>
      </x:c>
      <x:c r="B489" s="112" t="str">
        <x:v>강원특별자치도</x:v>
      </x:c>
      <x:c r="C489" s="112" t="str">
        <x:v>국립</x:v>
      </x:c>
      <x:c r="D489" s="112" t="str">
        <x:v>강원대학교</x:v>
      </x:c>
      <x:c r="E489" s="112" t="str">
        <x:v>가</x:v>
      </x:c>
      <x:c r="F489" s="112" t="str">
        <x:v>수능위주(일반전형)</x:v>
      </x:c>
      <x:c r="G489" s="113" t="str">
        <x:v>화공·생물공학부</x:v>
      </x:c>
      <x:c r="H489" s="114" t="n">
        <x:v>17</x:v>
      </x:c>
      <x:c r="I489" s="114" t="n">
        <x:v>3</x:v>
      </x:c>
      <x:c r="J489" s="114" t="n">
        <x:v>20</x:v>
      </x:c>
      <x:c r="K489" s="115" t="n">
        <x:v>3.7</x:v>
      </x:c>
      <x:c r="L489" s="114" t="n">
        <x:v>13</x:v>
      </x:c>
      <x:c r="M489" s="115"/>
      <x:c r="N489" s="115" t="n">
        <x:v>373.65</x:v>
      </x:c>
      <x:c r="O489" s="115" t="n">
        <x:v>516.5</x:v>
      </x:c>
      <x:c r="P489" s="115" t="n">
        <x:v>40</x:v>
      </x:c>
      <x:c r="Q489" s="115" t="n">
        <x:v>66</x:v>
      </x:c>
      <x:c r="R489" s="115" t="n">
        <x:v>94</x:v>
      </x:c>
      <x:c r="S489" s="115" t="n">
        <x:v>85</x:v>
      </x:c>
      <x:c r="T489" s="114" t="n">
        <x:v>4</x:v>
      </x:c>
      <x:c r="U489" s="114" t="n">
        <x:v>5</x:v>
      </x:c>
      <x:c r="V489" s="115"/>
      <x:c r="W489" s="115" t="n">
        <x:v>71.25</x:v>
      </x:c>
      <x:c r="X489" s="115" t="n">
        <x:v>71.25</x:v>
      </x:c>
      <x:c r="Y489" s="115" t="str">
        <x:v>파생 단순평균(참고)</x:v>
      </x:c>
      <x:c r="Z489" s="114" t="n">
        <x:v>80</x:v>
      </x:c>
      <x:c r="AA489" s="115" t="n">
        <x:v>8.75</x:v>
      </x:c>
      <x:c r="AB489" s="112" t="str">
        <x:v>안정</x:v>
      </x:c>
      <x:c r="AC489" s="115" t="n">
        <x:v>5</x:v>
      </x:c>
      <x:c r="AD489" s="115" t="n">
        <x:v>90</x:v>
      </x:c>
      <x:c r="AE489" s="115" t="n">
        <x:v>5</x:v>
      </x:c>
      <x:c r="AF489" s="113" t="str">
        <x:v>B: 공식 2025학년도 수능(일반전형) 과목별 70% 백분위 → 단순평균 파생</x:v>
      </x:c>
      <x:c r="AG489" s="112" t="str">
        <x:v>https://www.adiga.kr/ucp/uvt/uni/univDetailSelection.do?menuId=PCUVTINF2000&amp;searchSyr=2026&amp;unvCd=0000003</x:v>
      </x:c>
    </x:row>
    <x:row r="490">
      <x:c r="A490" s="114" t="n">
        <x:v>2025</x:v>
      </x:c>
      <x:c r="B490" s="112" t="str">
        <x:v>부산광역시</x:v>
      </x:c>
      <x:c r="C490" s="112" t="str">
        <x:v>국립</x:v>
      </x:c>
      <x:c r="D490" s="112" t="str">
        <x:v>국립부경대학교</x:v>
      </x:c>
      <x:c r="E490" s="112" t="str">
        <x:v>가</x:v>
      </x:c>
      <x:c r="F490" s="112" t="str">
        <x:v>수능위주(일반전형)</x:v>
      </x:c>
      <x:c r="G490" s="113" t="str">
        <x:v>인문사회과학대학 자유전공학부</x:v>
      </x:c>
      <x:c r="H490" s="114" t="n">
        <x:v>20</x:v>
      </x:c>
      <x:c r="I490" s="114" t="n">
        <x:v>2</x:v>
      </x:c>
      <x:c r="J490" s="114" t="n">
        <x:v>22</x:v>
      </x:c>
      <x:c r="K490" s="115" t="n">
        <x:v>4.36</x:v>
      </x:c>
      <x:c r="L490" s="114" t="n">
        <x:v>25</x:v>
      </x:c>
      <x:c r="M490" s="115"/>
      <x:c r="N490" s="115" t="n">
        <x:v>653.12</x:v>
      </x:c>
      <x:c r="O490" s="115" t="n">
        <x:v>1000</x:v>
      </x:c>
      <x:c r="P490" s="115" t="n">
        <x:v>68.6</x:v>
      </x:c>
      <x:c r="Q490" s="115" t="n">
        <x:v>52.6</x:v>
      </x:c>
      <x:c r="R490" s="115" t="n">
        <x:v>74.9</x:v>
      </x:c>
      <x:c r="S490" s="115" t="n">
        <x:v>68.9</x:v>
      </x:c>
      <x:c r="T490" s="114" t="n">
        <x:v>3</x:v>
      </x:c>
      <x:c r="U490" s="114" t="n">
        <x:v>3</x:v>
      </x:c>
      <x:c r="V490" s="115"/>
      <x:c r="W490" s="115" t="n">
        <x:v>66.25</x:v>
      </x:c>
      <x:c r="X490" s="115" t="n">
        <x:v>66.25</x:v>
      </x:c>
      <x:c r="Y490" s="115" t="str">
        <x:v>파생 단순평균(참고)</x:v>
      </x:c>
      <x:c r="Z490" s="114" t="n">
        <x:v>80</x:v>
      </x:c>
      <x:c r="AA490" s="115" t="n">
        <x:v>13.75</x:v>
      </x:c>
      <x:c r="AB490" s="112" t="str">
        <x:v>안정</x:v>
      </x:c>
      <x:c r="AC490" s="115" t="n">
        <x:v>86.36</x:v>
      </x:c>
      <x:c r="AD490" s="115" t="n">
        <x:v>13.63</x:v>
      </x:c>
      <x:c r="AE490" s="115" t="n">
        <x:v>0</x:v>
      </x:c>
      <x:c r="AF490" s="113" t="str">
        <x:v>B: 공식 2025학년도 정시 일반전형 과목별 70% 백분위 → 단순평균 파생</x:v>
      </x:c>
      <x:c r="AG490" s="112" t="str">
        <x:v>https://www.adiga.kr/ucp/uvt/uni/univDetailSelection.do?menuId=PCUVTINF2000&amp;searchSyr=2026&amp;unvCd=0000013</x:v>
      </x:c>
    </x:row>
    <x:row r="491">
      <x:c r="A491" s="114" t="n">
        <x:v>2025</x:v>
      </x:c>
      <x:c r="B491" s="112" t="str">
        <x:v>부산광역시</x:v>
      </x:c>
      <x:c r="C491" s="112" t="str">
        <x:v>국립</x:v>
      </x:c>
      <x:c r="D491" s="112" t="str">
        <x:v>국립부경대학교</x:v>
      </x:c>
      <x:c r="E491" s="112" t="str">
        <x:v>가</x:v>
      </x:c>
      <x:c r="F491" s="112" t="str">
        <x:v>수능위주(일반전형)</x:v>
      </x:c>
      <x:c r="G491" s="113" t="str">
        <x:v>경제학과</x:v>
      </x:c>
      <x:c r="H491" s="114" t="n">
        <x:v>11</x:v>
      </x:c>
      <x:c r="I491" s="114" t="n">
        <x:v>2</x:v>
      </x:c>
      <x:c r="J491" s="114" t="n">
        <x:v>13</x:v>
      </x:c>
      <x:c r="K491" s="115" t="n">
        <x:v>4.77</x:v>
      </x:c>
      <x:c r="L491" s="114" t="n">
        <x:v>9</x:v>
      </x:c>
      <x:c r="M491" s="115"/>
      <x:c r="N491" s="115" t="n">
        <x:v>655.1</x:v>
      </x:c>
      <x:c r="O491" s="115" t="n">
        <x:v>1000</x:v>
      </x:c>
      <x:c r="P491" s="115" t="n">
        <x:v>77</x:v>
      </x:c>
      <x:c r="Q491" s="115" t="n">
        <x:v>56</x:v>
      </x:c>
      <x:c r="R491" s="115" t="n">
        <x:v>77.6</x:v>
      </x:c>
      <x:c r="S491" s="115" t="n">
        <x:v>68</x:v>
      </x:c>
      <x:c r="T491" s="114" t="n">
        <x:v>3</x:v>
      </x:c>
      <x:c r="U491" s="114" t="n">
        <x:v>3</x:v>
      </x:c>
      <x:c r="V491" s="115"/>
      <x:c r="W491" s="115" t="n">
        <x:v>69.65</x:v>
      </x:c>
      <x:c r="X491" s="115" t="n">
        <x:v>69.65</x:v>
      </x:c>
      <x:c r="Y491" s="115" t="str">
        <x:v>파생 단순평균(참고)</x:v>
      </x:c>
      <x:c r="Z491" s="114" t="n">
        <x:v>80</x:v>
      </x:c>
      <x:c r="AA491" s="115" t="n">
        <x:v>10.349999999999994</x:v>
      </x:c>
      <x:c r="AB491" s="112" t="str">
        <x:v>안정</x:v>
      </x:c>
      <x:c r="AC491" s="115" t="n">
        <x:v>76.92</x:v>
      </x:c>
      <x:c r="AD491" s="115" t="n">
        <x:v>23.07</x:v>
      </x:c>
      <x:c r="AE491" s="115" t="n">
        <x:v>0</x:v>
      </x:c>
      <x:c r="AF491" s="113" t="str">
        <x:v>B: 공식 2025학년도 정시 일반전형 과목별 70% 백분위 → 단순평균 파생</x:v>
      </x:c>
      <x:c r="AG491" s="112" t="str">
        <x:v>https://www.adiga.kr/ucp/uvt/uni/univDetailSelection.do?menuId=PCUVTINF2000&amp;searchSyr=2026&amp;unvCd=0000013</x:v>
      </x:c>
    </x:row>
    <x:row r="492">
      <x:c r="A492" s="114" t="n">
        <x:v>2025</x:v>
      </x:c>
      <x:c r="B492" s="112" t="str">
        <x:v>부산광역시</x:v>
      </x:c>
      <x:c r="C492" s="112" t="str">
        <x:v>국립</x:v>
      </x:c>
      <x:c r="D492" s="112" t="str">
        <x:v>국립부경대학교</x:v>
      </x:c>
      <x:c r="E492" s="112" t="str">
        <x:v>가</x:v>
      </x:c>
      <x:c r="F492" s="112" t="str">
        <x:v>수능위주(일반전형)</x:v>
      </x:c>
      <x:c r="G492" s="113" t="str">
        <x:v>행정복지학부</x:v>
      </x:c>
      <x:c r="H492" s="114" t="n">
        <x:v>10</x:v>
      </x:c>
      <x:c r="I492" s="114" t="n">
        <x:v>1</x:v>
      </x:c>
      <x:c r="J492" s="114" t="n">
        <x:v>11</x:v>
      </x:c>
      <x:c r="K492" s="115" t="n">
        <x:v>5.45</x:v>
      </x:c>
      <x:c r="L492" s="114" t="n">
        <x:v>5</x:v>
      </x:c>
      <x:c r="M492" s="115"/>
      <x:c r="N492" s="115" t="n">
        <x:v>655.5</x:v>
      </x:c>
      <x:c r="O492" s="115" t="n">
        <x:v>1000</x:v>
      </x:c>
      <x:c r="P492" s="115" t="n">
        <x:v>68</x:v>
      </x:c>
      <x:c r="Q492" s="115" t="n">
        <x:v>54</x:v>
      </x:c>
      <x:c r="R492" s="115" t="n">
        <x:v>71</x:v>
      </x:c>
      <x:c r="S492" s="115" t="n">
        <x:v>71</x:v>
      </x:c>
      <x:c r="T492" s="114" t="n">
        <x:v>3</x:v>
      </x:c>
      <x:c r="U492" s="114" t="n">
        <x:v>3</x:v>
      </x:c>
      <x:c r="V492" s="115"/>
      <x:c r="W492" s="115" t="n">
        <x:v>66</x:v>
      </x:c>
      <x:c r="X492" s="115" t="n">
        <x:v>66</x:v>
      </x:c>
      <x:c r="Y492" s="115" t="str">
        <x:v>파생 단순평균(참고)</x:v>
      </x:c>
      <x:c r="Z492" s="114" t="n">
        <x:v>80</x:v>
      </x:c>
      <x:c r="AA492" s="115" t="n">
        <x:v>14</x:v>
      </x:c>
      <x:c r="AB492" s="112" t="str">
        <x:v>안정</x:v>
      </x:c>
      <x:c r="AC492" s="115" t="n">
        <x:v>90.9</x:v>
      </x:c>
      <x:c r="AD492" s="115" t="n">
        <x:v>9.09</x:v>
      </x:c>
      <x:c r="AE492" s="115" t="n">
        <x:v>0</x:v>
      </x:c>
      <x:c r="AF492" s="113" t="str">
        <x:v>B: 공식 2025학년도 정시 일반전형 과목별 70% 백분위 → 단순평균 파생</x:v>
      </x:c>
      <x:c r="AG492" s="112" t="str">
        <x:v>https://www.adiga.kr/ucp/uvt/uni/univDetailSelection.do?menuId=PCUVTINF2000&amp;searchSyr=2026&amp;unvCd=0000013</x:v>
      </x:c>
    </x:row>
    <x:row r="493">
      <x:c r="A493" s="114" t="n">
        <x:v>2025</x:v>
      </x:c>
      <x:c r="B493" s="112" t="str">
        <x:v>부산광역시</x:v>
      </x:c>
      <x:c r="C493" s="112" t="str">
        <x:v>국립</x:v>
      </x:c>
      <x:c r="D493" s="112" t="str">
        <x:v>국립부경대학교</x:v>
      </x:c>
      <x:c r="E493" s="112" t="str">
        <x:v>가</x:v>
      </x:c>
      <x:c r="F493" s="112" t="str">
        <x:v>수능위주(일반전형)</x:v>
      </x:c>
      <x:c r="G493" s="113" t="str">
        <x:v>응용수학과</x:v>
      </x:c>
      <x:c r="H493" s="114" t="n">
        <x:v>5</x:v>
      </x:c>
      <x:c r="I493" s="114" t="n">
        <x:v>1</x:v>
      </x:c>
      <x:c r="J493" s="114" t="n">
        <x:v>6</x:v>
      </x:c>
      <x:c r="K493" s="115" t="n">
        <x:v>7.17</x:v>
      </x:c>
      <x:c r="L493" s="114" t="n">
        <x:v>12</x:v>
      </x:c>
      <x:c r="M493" s="115"/>
      <x:c r="N493" s="115" t="n">
        <x:v>652.18</x:v>
      </x:c>
      <x:c r="O493" s="115" t="n">
        <x:v>1000</x:v>
      </x:c>
      <x:c r="P493" s="115" t="n">
        <x:v>43.2</x:v>
      </x:c>
      <x:c r="Q493" s="115" t="n">
        <x:v>75.4</x:v>
      </x:c>
      <x:c r="R493" s="115" t="n">
        <x:v>74.2</x:v>
      </x:c>
      <x:c r="S493" s="115" t="n">
        <x:v>53.6</x:v>
      </x:c>
      <x:c r="T493" s="114" t="n">
        <x:v>4</x:v>
      </x:c>
      <x:c r="U493" s="114" t="n">
        <x:v>3</x:v>
      </x:c>
      <x:c r="V493" s="115"/>
      <x:c r="W493" s="115" t="n">
        <x:v>61.6</x:v>
      </x:c>
      <x:c r="X493" s="115" t="n">
        <x:v>61.6</x:v>
      </x:c>
      <x:c r="Y493" s="115" t="str">
        <x:v>파생 단순평균(참고)</x:v>
      </x:c>
      <x:c r="Z493" s="114" t="n">
        <x:v>80</x:v>
      </x:c>
      <x:c r="AA493" s="115" t="n">
        <x:v>18.4</x:v>
      </x:c>
      <x:c r="AB493" s="112" t="str">
        <x:v>안정</x:v>
      </x:c>
      <x:c r="AC493" s="115" t="n">
        <x:v>0</x:v>
      </x:c>
      <x:c r="AD493" s="115" t="n">
        <x:v>100</x:v>
      </x:c>
      <x:c r="AE493" s="115" t="n">
        <x:v>0</x:v>
      </x:c>
      <x:c r="AF493" s="113" t="str">
        <x:v>B: 공식 2025학년도 정시 일반전형 과목별 70% 백분위 → 단순평균 파생</x:v>
      </x:c>
      <x:c r="AG493" s="112" t="str">
        <x:v>https://www.adiga.kr/ucp/uvt/uni/univDetailSelection.do?menuId=PCUVTINF2000&amp;searchSyr=2026&amp;unvCd=0000013</x:v>
      </x:c>
    </x:row>
    <x:row r="494">
      <x:c r="A494" s="114" t="n">
        <x:v>2025</x:v>
      </x:c>
      <x:c r="B494" s="112" t="str">
        <x:v>부산광역시</x:v>
      </x:c>
      <x:c r="C494" s="112" t="str">
        <x:v>국립</x:v>
      </x:c>
      <x:c r="D494" s="112" t="str">
        <x:v>국립부경대학교</x:v>
      </x:c>
      <x:c r="E494" s="112" t="str">
        <x:v>가</x:v>
      </x:c>
      <x:c r="F494" s="112" t="str">
        <x:v>수능위주(일반전형)</x:v>
      </x:c>
      <x:c r="G494" s="113" t="str">
        <x:v>물리학과</x:v>
      </x:c>
      <x:c r="H494" s="114" t="n">
        <x:v>6</x:v>
      </x:c>
      <x:c r="I494" s="114" t="n">
        <x:v>2</x:v>
      </x:c>
      <x:c r="J494" s="114" t="n">
        <x:v>8</x:v>
      </x:c>
      <x:c r="K494" s="115" t="n">
        <x:v>4.5</x:v>
      </x:c>
      <x:c r="L494" s="114" t="n">
        <x:v>12</x:v>
      </x:c>
      <x:c r="M494" s="115"/>
      <x:c r="N494" s="115" t="n">
        <x:v>659</x:v>
      </x:c>
      <x:c r="O494" s="115" t="n">
        <x:v>1000</x:v>
      </x:c>
      <x:c r="P494" s="115" t="n">
        <x:v>59.2</x:v>
      </x:c>
      <x:c r="Q494" s="115" t="n">
        <x:v>77.2</x:v>
      </x:c>
      <x:c r="R494" s="115" t="n">
        <x:v>65.2</x:v>
      </x:c>
      <x:c r="S494" s="115" t="n">
        <x:v>68.8</x:v>
      </x:c>
      <x:c r="T494" s="114" t="n">
        <x:v>3.2</x:v>
      </x:c>
      <x:c r="U494" s="114" t="n">
        <x:v>4.2</x:v>
      </x:c>
      <x:c r="V494" s="115"/>
      <x:c r="W494" s="115" t="n">
        <x:v>67.6</x:v>
      </x:c>
      <x:c r="X494" s="115" t="n">
        <x:v>67.6</x:v>
      </x:c>
      <x:c r="Y494" s="115" t="str">
        <x:v>파생 단순평균(참고)</x:v>
      </x:c>
      <x:c r="Z494" s="114" t="n">
        <x:v>80</x:v>
      </x:c>
      <x:c r="AA494" s="115" t="n">
        <x:v>12.400000000000006</x:v>
      </x:c>
      <x:c r="AB494" s="112" t="str">
        <x:v>안정</x:v>
      </x:c>
      <x:c r="AC494" s="115" t="n">
        <x:v>0</x:v>
      </x:c>
      <x:c r="AD494" s="115" t="n">
        <x:v>100</x:v>
      </x:c>
      <x:c r="AE494" s="115" t="n">
        <x:v>0</x:v>
      </x:c>
      <x:c r="AF494" s="113" t="str">
        <x:v>B: 공식 2025학년도 정시 일반전형 과목별 70% 백분위 → 단순평균 파생</x:v>
      </x:c>
      <x:c r="AG494" s="112" t="str">
        <x:v>https://www.adiga.kr/ucp/uvt/uni/univDetailSelection.do?menuId=PCUVTINF2000&amp;searchSyr=2026&amp;unvCd=0000013</x:v>
      </x:c>
    </x:row>
    <x:row r="495">
      <x:c r="A495" s="114" t="n">
        <x:v>2025</x:v>
      </x:c>
      <x:c r="B495" s="112" t="str">
        <x:v>부산광역시</x:v>
      </x:c>
      <x:c r="C495" s="112" t="str">
        <x:v>국립</x:v>
      </x:c>
      <x:c r="D495" s="112" t="str">
        <x:v>국립부경대학교</x:v>
      </x:c>
      <x:c r="E495" s="112" t="str">
        <x:v>가</x:v>
      </x:c>
      <x:c r="F495" s="112" t="str">
        <x:v>수능위주(일반전형)</x:v>
      </x:c>
      <x:c r="G495" s="113" t="str">
        <x:v>경영학부</x:v>
      </x:c>
      <x:c r="H495" s="114" t="n">
        <x:v>20</x:v>
      </x:c>
      <x:c r="I495" s="114" t="n">
        <x:v>0</x:v>
      </x:c>
      <x:c r="J495" s="114" t="n">
        <x:v>20</x:v>
      </x:c>
      <x:c r="K495" s="115" t="n">
        <x:v>4.45</x:v>
      </x:c>
      <x:c r="L495" s="114" t="n">
        <x:v>12</x:v>
      </x:c>
      <x:c r="M495" s="115"/>
      <x:c r="N495" s="115" t="n">
        <x:v>664.75</x:v>
      </x:c>
      <x:c r="O495" s="115" t="n">
        <x:v>1000</x:v>
      </x:c>
      <x:c r="P495" s="115" t="n">
        <x:v>62.4</x:v>
      </x:c>
      <x:c r="Q495" s="115" t="n">
        <x:v>56.1</x:v>
      </x:c>
      <x:c r="R495" s="115" t="n">
        <x:v>77</x:v>
      </x:c>
      <x:c r="S495" s="115" t="n">
        <x:v>78</x:v>
      </x:c>
      <x:c r="T495" s="114" t="n">
        <x:v>2.3</x:v>
      </x:c>
      <x:c r="U495" s="114" t="n">
        <x:v>3</x:v>
      </x:c>
      <x:c r="V495" s="115"/>
      <x:c r="W495" s="115" t="n">
        <x:v>68.375</x:v>
      </x:c>
      <x:c r="X495" s="115" t="n">
        <x:v>68.375</x:v>
      </x:c>
      <x:c r="Y495" s="115" t="str">
        <x:v>파생 단순평균(참고)</x:v>
      </x:c>
      <x:c r="Z495" s="114" t="n">
        <x:v>80</x:v>
      </x:c>
      <x:c r="AA495" s="115" t="n">
        <x:v>11.625</x:v>
      </x:c>
      <x:c r="AB495" s="112" t="str">
        <x:v>안정</x:v>
      </x:c>
      <x:c r="AC495" s="115" t="n">
        <x:v>90</x:v>
      </x:c>
      <x:c r="AD495" s="115" t="n">
        <x:v>5</x:v>
      </x:c>
      <x:c r="AE495" s="115" t="n">
        <x:v>5</x:v>
      </x:c>
      <x:c r="AF495" s="113" t="str">
        <x:v>B: 공식 2025학년도 정시 일반전형 과목별 70% 백분위 → 단순평균 파생</x:v>
      </x:c>
      <x:c r="AG495" s="112" t="str">
        <x:v>https://www.adiga.kr/ucp/uvt/uni/univDetailSelection.do?menuId=PCUVTINF2000&amp;searchSyr=2026&amp;unvCd=0000013</x:v>
      </x:c>
    </x:row>
    <x:row r="496">
      <x:c r="A496" s="114" t="n">
        <x:v>2025</x:v>
      </x:c>
      <x:c r="B496" s="112" t="str">
        <x:v>부산광역시</x:v>
      </x:c>
      <x:c r="C496" s="112" t="str">
        <x:v>국립</x:v>
      </x:c>
      <x:c r="D496" s="112" t="str">
        <x:v>국립부경대학교</x:v>
      </x:c>
      <x:c r="E496" s="112" t="str">
        <x:v>가</x:v>
      </x:c>
      <x:c r="F496" s="112" t="str">
        <x:v>수능위주(일반전형)</x:v>
      </x:c>
      <x:c r="G496" s="113" t="str">
        <x:v>국제통상학부</x:v>
      </x:c>
      <x:c r="H496" s="114" t="n">
        <x:v>13</x:v>
      </x:c>
      <x:c r="I496" s="114" t="n">
        <x:v>1</x:v>
      </x:c>
      <x:c r="J496" s="114" t="n">
        <x:v>14</x:v>
      </x:c>
      <x:c r="K496" s="115" t="n">
        <x:v>4.36</x:v>
      </x:c>
      <x:c r="L496" s="114" t="n">
        <x:v>9</x:v>
      </x:c>
      <x:c r="M496" s="115"/>
      <x:c r="N496" s="115" t="n">
        <x:v>658.24</x:v>
      </x:c>
      <x:c r="O496" s="115" t="n">
        <x:v>1000</x:v>
      </x:c>
      <x:c r="P496" s="115" t="n">
        <x:v>63</x:v>
      </x:c>
      <x:c r="Q496" s="115" t="n">
        <x:v>63</x:v>
      </x:c>
      <x:c r="R496" s="115" t="n">
        <x:v>74</x:v>
      </x:c>
      <x:c r="S496" s="115" t="n">
        <x:v>77.6</x:v>
      </x:c>
      <x:c r="T496" s="114" t="n">
        <x:v>3</x:v>
      </x:c>
      <x:c r="U496" s="114" t="n">
        <x:v>3</x:v>
      </x:c>
      <x:c r="V496" s="115"/>
      <x:c r="W496" s="115" t="n">
        <x:v>69.4</x:v>
      </x:c>
      <x:c r="X496" s="115" t="n">
        <x:v>69.4</x:v>
      </x:c>
      <x:c r="Y496" s="115" t="str">
        <x:v>파생 단순평균(참고)</x:v>
      </x:c>
      <x:c r="Z496" s="114" t="n">
        <x:v>80</x:v>
      </x:c>
      <x:c r="AA496" s="115" t="n">
        <x:v>10.599999999999994</x:v>
      </x:c>
      <x:c r="AB496" s="112" t="str">
        <x:v>안정</x:v>
      </x:c>
      <x:c r="AC496" s="115" t="n">
        <x:v>71.42</x:v>
      </x:c>
      <x:c r="AD496" s="115" t="n">
        <x:v>28.57</x:v>
      </x:c>
      <x:c r="AE496" s="115" t="n">
        <x:v>0</x:v>
      </x:c>
      <x:c r="AF496" s="113" t="str">
        <x:v>B: 공식 2025학년도 정시 일반전형 과목별 70% 백분위 → 단순평균 파생</x:v>
      </x:c>
      <x:c r="AG496" s="112" t="str">
        <x:v>https://www.adiga.kr/ucp/uvt/uni/univDetailSelection.do?menuId=PCUVTINF2000&amp;searchSyr=2026&amp;unvCd=0000013</x:v>
      </x:c>
    </x:row>
    <x:row r="497">
      <x:c r="A497" s="114" t="n">
        <x:v>2025</x:v>
      </x:c>
      <x:c r="B497" s="112" t="str">
        <x:v>부산광역시</x:v>
      </x:c>
      <x:c r="C497" s="112" t="str">
        <x:v>국립</x:v>
      </x:c>
      <x:c r="D497" s="112" t="str">
        <x:v>국립부경대학교</x:v>
      </x:c>
      <x:c r="E497" s="112" t="str">
        <x:v>가</x:v>
      </x:c>
      <x:c r="F497" s="112" t="str">
        <x:v>수능위주(일반전형)</x:v>
      </x:c>
      <x:c r="G497" s="113" t="str">
        <x:v>공과대학 자유전공학부</x:v>
      </x:c>
      <x:c r="H497" s="114" t="n">
        <x:v>40</x:v>
      </x:c>
      <x:c r="I497" s="114" t="n">
        <x:v>4</x:v>
      </x:c>
      <x:c r="J497" s="114" t="n">
        <x:v>44</x:v>
      </x:c>
      <x:c r="K497" s="115" t="n">
        <x:v>4.09</x:v>
      </x:c>
      <x:c r="L497" s="114" t="n">
        <x:v>40</x:v>
      </x:c>
      <x:c r="M497" s="115"/>
      <x:c r="N497" s="115" t="n">
        <x:v>668.05</x:v>
      </x:c>
      <x:c r="O497" s="115" t="n">
        <x:v>1000</x:v>
      </x:c>
      <x:c r="P497" s="115" t="n">
        <x:v>67</x:v>
      </x:c>
      <x:c r="Q497" s="115" t="n">
        <x:v>72.4</x:v>
      </x:c>
      <x:c r="R497" s="115" t="n">
        <x:v>62</x:v>
      </x:c>
      <x:c r="S497" s="115" t="n">
        <x:v>57.2</x:v>
      </x:c>
      <x:c r="T497" s="114" t="n">
        <x:v>3</x:v>
      </x:c>
      <x:c r="U497" s="114" t="n">
        <x:v>3</x:v>
      </x:c>
      <x:c r="V497" s="115"/>
      <x:c r="W497" s="115" t="n">
        <x:v>64.65</x:v>
      </x:c>
      <x:c r="X497" s="115" t="n">
        <x:v>64.65</x:v>
      </x:c>
      <x:c r="Y497" s="115" t="str">
        <x:v>파생 단순평균(참고)</x:v>
      </x:c>
      <x:c r="Z497" s="114" t="n">
        <x:v>80</x:v>
      </x:c>
      <x:c r="AA497" s="115" t="n">
        <x:v>15.349999999999994</x:v>
      </x:c>
      <x:c r="AB497" s="112" t="str">
        <x:v>안정</x:v>
      </x:c>
      <x:c r="AC497" s="115" t="n">
        <x:v>2.32</x:v>
      </x:c>
      <x:c r="AD497" s="115" t="n">
        <x:v>95.34</x:v>
      </x:c>
      <x:c r="AE497" s="115" t="n">
        <x:v>2.32</x:v>
      </x:c>
      <x:c r="AF497" s="113" t="str">
        <x:v>B: 공식 2025학년도 정시 일반전형 과목별 70% 백분위 → 단순평균 파생</x:v>
      </x:c>
      <x:c r="AG497" s="112" t="str">
        <x:v>https://www.adiga.kr/ucp/uvt/uni/univDetailSelection.do?menuId=PCUVTINF2000&amp;searchSyr=2026&amp;unvCd=0000013</x:v>
      </x:c>
    </x:row>
    <x:row r="498">
      <x:c r="A498" s="114" t="n">
        <x:v>2025</x:v>
      </x:c>
      <x:c r="B498" s="112" t="str">
        <x:v>경상남도</x:v>
      </x:c>
      <x:c r="C498" s="112" t="str">
        <x:v>국립</x:v>
      </x:c>
      <x:c r="D498" s="112" t="str">
        <x:v>국립창원대학교</x:v>
      </x:c>
      <x:c r="E498" s="112" t="str">
        <x:v>가</x:v>
      </x:c>
      <x:c r="F498" s="112" t="str">
        <x:v>수능위주(일반전형)</x:v>
      </x:c>
      <x:c r="G498" s="113" t="str">
        <x:v>영어영문학과</x:v>
      </x:c>
      <x:c r="H498" s="114"/>
      <x:c r="I498" s="114"/>
      <x:c r="J498" s="114" t="n">
        <x:v>6</x:v>
      </x:c>
      <x:c r="K498" s="115" t="n">
        <x:v>6</x:v>
      </x:c>
      <x:c r="L498" s="114" t="n">
        <x:v>4</x:v>
      </x:c>
      <x:c r="M498" s="115"/>
      <x:c r="N498" s="115" t="n">
        <x:v>846.8</x:v>
      </x:c>
      <x:c r="O498" s="115" t="n">
        <x:v>1000</x:v>
      </x:c>
      <x:c r="P498" s="115" t="n">
        <x:v>42</x:v>
      </x:c>
      <x:c r="Q498" s="115" t="n">
        <x:v>45</x:v>
      </x:c>
      <x:c r="R498" s="115" t="n">
        <x:v>74</x:v>
      </x:c>
      <x:c r="S498" s="115"/>
      <x:c r="T498" s="114" t="n">
        <x:v>4</x:v>
      </x:c>
      <x:c r="U498" s="114"/>
      <x:c r="V498" s="115"/>
      <x:c r="W498" s="115" t="n">
        <x:v>53.666666666666664</x:v>
      </x:c>
      <x:c r="X498" s="115" t="n">
        <x:v>53.666666666666664</x:v>
      </x:c>
      <x:c r="Y498" s="115" t="str">
        <x:v>파생 단순평균(참고)</x:v>
      </x:c>
      <x:c r="Z498" s="114" t="n">
        <x:v>80</x:v>
      </x:c>
      <x:c r="AA498" s="115" t="n">
        <x:v>26.333333333333336</x:v>
      </x:c>
      <x:c r="AB498" s="112" t="str">
        <x:v>안정</x:v>
      </x:c>
      <x:c r="AC498" s="115" t="n">
        <x:v>83.33</x:v>
      </x:c>
      <x:c r="AD498" s="115" t="n">
        <x:v>16.67</x:v>
      </x:c>
      <x:c r="AE498" s="115" t="n">
        <x:v>0</x:v>
      </x:c>
      <x:c r="AF498" s="113" t="str">
        <x:v>B3: 공식 정시 70% 컷에서 국어·수학·탐구 1과목 백분위를 공개. 탐구2는 임의 추정하지 않음; 파생 평균은 공개된 3개 백분위 평균.</x:v>
      </x:c>
      <x:c r="AG498" s="112" t="str">
        <x:v>https://www.adiga.kr/ucp/uvt/uni/univDetailSelection.do?menuId=PCUVTINF2000&amp;searchSyr=2026&amp;unvCd=0000028</x:v>
      </x:c>
    </x:row>
    <x:row r="499">
      <x:c r="A499" s="114" t="n">
        <x:v>2025</x:v>
      </x:c>
      <x:c r="B499" s="112" t="str">
        <x:v>경상남도</x:v>
      </x:c>
      <x:c r="C499" s="112" t="str">
        <x:v>국립</x:v>
      </x:c>
      <x:c r="D499" s="112" t="str">
        <x:v>국립창원대학교</x:v>
      </x:c>
      <x:c r="E499" s="112" t="str">
        <x:v>가</x:v>
      </x:c>
      <x:c r="F499" s="112" t="str">
        <x:v>수능위주(일반전형)</x:v>
      </x:c>
      <x:c r="G499" s="113" t="str">
        <x:v>사학과</x:v>
      </x:c>
      <x:c r="H499" s="114"/>
      <x:c r="I499" s="114"/>
      <x:c r="J499" s="114" t="n">
        <x:v>4</x:v>
      </x:c>
      <x:c r="K499" s="115" t="n">
        <x:v>6.25</x:v>
      </x:c>
      <x:c r="L499" s="114" t="n">
        <x:v>6</x:v>
      </x:c>
      <x:c r="M499" s="115"/>
      <x:c r="N499" s="115" t="n">
        <x:v>836.4</x:v>
      </x:c>
      <x:c r="O499" s="115" t="n">
        <x:v>1000</x:v>
      </x:c>
      <x:c r="P499" s="115" t="n">
        <x:v>52</x:v>
      </x:c>
      <x:c r="Q499" s="115" t="n">
        <x:v>48</x:v>
      </x:c>
      <x:c r="R499" s="115" t="n">
        <x:v>68</x:v>
      </x:c>
      <x:c r="S499" s="115"/>
      <x:c r="T499" s="114" t="n">
        <x:v>4</x:v>
      </x:c>
      <x:c r="U499" s="114"/>
      <x:c r="V499" s="115"/>
      <x:c r="W499" s="115" t="n">
        <x:v>56</x:v>
      </x:c>
      <x:c r="X499" s="115" t="n">
        <x:v>56</x:v>
      </x:c>
      <x:c r="Y499" s="115" t="str">
        <x:v>파생 단순평균(참고)</x:v>
      </x:c>
      <x:c r="Z499" s="114" t="n">
        <x:v>80</x:v>
      </x:c>
      <x:c r="AA499" s="115" t="n">
        <x:v>24</x:v>
      </x:c>
      <x:c r="AB499" s="112" t="str">
        <x:v>안정</x:v>
      </x:c>
      <x:c r="AC499" s="115" t="n">
        <x:v>75</x:v>
      </x:c>
      <x:c r="AD499" s="115" t="n">
        <x:v>25</x:v>
      </x:c>
      <x:c r="AE499" s="115" t="n">
        <x:v>0</x:v>
      </x:c>
      <x:c r="AF499" s="113" t="str">
        <x:v>B3: 공식 정시 70% 컷에서 국어·수학·탐구 1과목 백분위를 공개. 탐구2는 임의 추정하지 않음; 파생 평균은 공개된 3개 백분위 평균.</x:v>
      </x:c>
      <x:c r="AG499" s="112" t="str">
        <x:v>https://www.adiga.kr/ucp/uvt/uni/univDetailSelection.do?menuId=PCUVTINF2000&amp;searchSyr=2026&amp;unvCd=0000028</x:v>
      </x:c>
    </x:row>
    <x:row r="500">
      <x:c r="A500" s="114" t="n">
        <x:v>2025</x:v>
      </x:c>
      <x:c r="B500" s="112" t="str">
        <x:v>경상남도</x:v>
      </x:c>
      <x:c r="C500" s="112" t="str">
        <x:v>국립</x:v>
      </x:c>
      <x:c r="D500" s="112" t="str">
        <x:v>국립창원대학교</x:v>
      </x:c>
      <x:c r="E500" s="112" t="str">
        <x:v>가</x:v>
      </x:c>
      <x:c r="F500" s="112" t="str">
        <x:v>수능위주(일반전형)</x:v>
      </x:c>
      <x:c r="G500" s="113" t="str">
        <x:v>특수교육과</x:v>
      </x:c>
      <x:c r="H500" s="114"/>
      <x:c r="I500" s="114"/>
      <x:c r="J500" s="114" t="n">
        <x:v>2</x:v>
      </x:c>
      <x:c r="K500" s="115" t="n">
        <x:v>5</x:v>
      </x:c>
      <x:c r="L500" s="114" t="n">
        <x:v>3</x:v>
      </x:c>
      <x:c r="M500" s="115"/>
      <x:c r="N500" s="115" t="n">
        <x:v>844.8</x:v>
      </x:c>
      <x:c r="O500" s="115" t="n">
        <x:v>1000</x:v>
      </x:c>
      <x:c r="P500" s="115" t="n">
        <x:v>39</x:v>
      </x:c>
      <x:c r="Q500" s="115" t="n">
        <x:v>34</x:v>
      </x:c>
      <x:c r="R500" s="115" t="n">
        <x:v>85</x:v>
      </x:c>
      <x:c r="S500" s="115"/>
      <x:c r="T500" s="114" t="n">
        <x:v>4</x:v>
      </x:c>
      <x:c r="U500" s="114"/>
      <x:c r="V500" s="115"/>
      <x:c r="W500" s="115" t="n">
        <x:v>52.666666666666664</x:v>
      </x:c>
      <x:c r="X500" s="115" t="n">
        <x:v>52.666666666666664</x:v>
      </x:c>
      <x:c r="Y500" s="115" t="str">
        <x:v>파생 단순평균(참고)</x:v>
      </x:c>
      <x:c r="Z500" s="114" t="n">
        <x:v>80</x:v>
      </x:c>
      <x:c r="AA500" s="115" t="n">
        <x:v>27.333333333333336</x:v>
      </x:c>
      <x:c r="AB500" s="112" t="str">
        <x:v>안정</x:v>
      </x:c>
      <x:c r="AC500" s="115" t="n">
        <x:v>66.67</x:v>
      </x:c>
      <x:c r="AD500" s="115" t="n">
        <x:v>0</x:v>
      </x:c>
      <x:c r="AE500" s="115" t="n">
        <x:v>33.33</x:v>
      </x:c>
      <x:c r="AF500" s="113" t="str">
        <x:v>B3: 공식 정시 70% 컷에서 국어·수학·탐구 1과목 백분위를 공개. 탐구2는 임의 추정하지 않음; 파생 평균은 공개된 3개 백분위 평균.</x:v>
      </x:c>
      <x:c r="AG500" s="112" t="str">
        <x:v>https://www.adiga.kr/ucp/uvt/uni/univDetailSelection.do?menuId=PCUVTINF2000&amp;searchSyr=2026&amp;unvCd=0000028</x:v>
      </x:c>
    </x:row>
    <x:row r="501">
      <x:c r="A501" s="114" t="n">
        <x:v>2025</x:v>
      </x:c>
      <x:c r="B501" s="112" t="str">
        <x:v>경상남도</x:v>
      </x:c>
      <x:c r="C501" s="112" t="str">
        <x:v>국립</x:v>
      </x:c>
      <x:c r="D501" s="112" t="str">
        <x:v>국립창원대학교</x:v>
      </x:c>
      <x:c r="E501" s="112" t="str">
        <x:v>가</x:v>
      </x:c>
      <x:c r="F501" s="112" t="str">
        <x:v>수능위주(일반전형)</x:v>
      </x:c>
      <x:c r="G501" s="113" t="str">
        <x:v>인문계열자율전공학부</x:v>
      </x:c>
      <x:c r="H501" s="114"/>
      <x:c r="I501" s="114"/>
      <x:c r="J501" s="114" t="n">
        <x:v>3</x:v>
      </x:c>
      <x:c r="K501" s="115" t="n">
        <x:v>6.67</x:v>
      </x:c>
      <x:c r="L501" s="114" t="n">
        <x:v>1</x:v>
      </x:c>
      <x:c r="M501" s="115"/>
      <x:c r="N501" s="115" t="n">
        <x:v>842.8</x:v>
      </x:c>
      <x:c r="O501" s="115" t="n">
        <x:v>1000</x:v>
      </x:c>
      <x:c r="P501" s="115" t="n">
        <x:v>42</x:v>
      </x:c>
      <x:c r="Q501" s="115" t="n">
        <x:v>50</x:v>
      </x:c>
      <x:c r="R501" s="115" t="n">
        <x:v>68</x:v>
      </x:c>
      <x:c r="S501" s="115"/>
      <x:c r="T501" s="114" t="n">
        <x:v>5</x:v>
      </x:c>
      <x:c r="U501" s="114"/>
      <x:c r="V501" s="115"/>
      <x:c r="W501" s="115" t="n">
        <x:v>53.333333333333336</x:v>
      </x:c>
      <x:c r="X501" s="115" t="n">
        <x:v>53.333333333333336</x:v>
      </x:c>
      <x:c r="Y501" s="115" t="str">
        <x:v>파생 단순평균(참고)</x:v>
      </x:c>
      <x:c r="Z501" s="114" t="n">
        <x:v>80</x:v>
      </x:c>
      <x:c r="AA501" s="115" t="n">
        <x:v>26.666666666666664</x:v>
      </x:c>
      <x:c r="AB501" s="112" t="str">
        <x:v>안정</x:v>
      </x:c>
      <x:c r="AC501" s="115" t="n">
        <x:v>100</x:v>
      </x:c>
      <x:c r="AD501" s="115" t="n">
        <x:v>0</x:v>
      </x:c>
      <x:c r="AE501" s="115" t="n">
        <x:v>0</x:v>
      </x:c>
      <x:c r="AF501" s="113" t="str">
        <x:v>B3: 공식 정시 70% 컷에서 국어·수학·탐구 1과목 백분위를 공개. 탐구2는 임의 추정하지 않음; 파생 평균은 공개된 3개 백분위 평균.</x:v>
      </x:c>
      <x:c r="AG501" s="112" t="str">
        <x:v>https://www.adiga.kr/ucp/uvt/uni/univDetailSelection.do?menuId=PCUVTINF2000&amp;searchSyr=2026&amp;unvCd=0000028</x:v>
      </x:c>
    </x:row>
    <x:row r="502">
      <x:c r="A502" s="114" t="n">
        <x:v>2025</x:v>
      </x:c>
      <x:c r="B502" s="112" t="str">
        <x:v>경상남도</x:v>
      </x:c>
      <x:c r="C502" s="112" t="str">
        <x:v>국립</x:v>
      </x:c>
      <x:c r="D502" s="112" t="str">
        <x:v>국립창원대학교</x:v>
      </x:c>
      <x:c r="E502" s="112" t="str">
        <x:v>가</x:v>
      </x:c>
      <x:c r="F502" s="112" t="str">
        <x:v>수능위주(일반전형)</x:v>
      </x:c>
      <x:c r="G502" s="113" t="str">
        <x:v>사회계열자율전공학부</x:v>
      </x:c>
      <x:c r="H502" s="114"/>
      <x:c r="I502" s="114"/>
      <x:c r="J502" s="114" t="n">
        <x:v>5</x:v>
      </x:c>
      <x:c r="K502" s="115" t="n">
        <x:v>8</x:v>
      </x:c>
      <x:c r="L502" s="114" t="n">
        <x:v>2</x:v>
      </x:c>
      <x:c r="M502" s="115"/>
      <x:c r="N502" s="115" t="n">
        <x:v>843.2</x:v>
      </x:c>
      <x:c r="O502" s="115" t="n">
        <x:v>1000</x:v>
      </x:c>
      <x:c r="P502" s="115" t="n">
        <x:v>56</x:v>
      </x:c>
      <x:c r="Q502" s="115" t="n">
        <x:v>39</x:v>
      </x:c>
      <x:c r="R502" s="115" t="n">
        <x:v>59</x:v>
      </x:c>
      <x:c r="S502" s="115"/>
      <x:c r="T502" s="114" t="n">
        <x:v>4</x:v>
      </x:c>
      <x:c r="U502" s="114"/>
      <x:c r="V502" s="115"/>
      <x:c r="W502" s="115" t="n">
        <x:v>51.333333333333336</x:v>
      </x:c>
      <x:c r="X502" s="115" t="n">
        <x:v>51.333333333333336</x:v>
      </x:c>
      <x:c r="Y502" s="115" t="str">
        <x:v>파생 단순평균(참고)</x:v>
      </x:c>
      <x:c r="Z502" s="114" t="n">
        <x:v>80</x:v>
      </x:c>
      <x:c r="AA502" s="115" t="n">
        <x:v>28.666666666666664</x:v>
      </x:c>
      <x:c r="AB502" s="112" t="str">
        <x:v>안정</x:v>
      </x:c>
      <x:c r="AC502" s="115" t="n">
        <x:v>100</x:v>
      </x:c>
      <x:c r="AD502" s="115" t="n">
        <x:v>0</x:v>
      </x:c>
      <x:c r="AE502" s="115" t="n">
        <x:v>0</x:v>
      </x:c>
      <x:c r="AF502" s="113" t="str">
        <x:v>B3: 공식 정시 70% 컷에서 국어·수학·탐구 1과목 백분위를 공개. 탐구2는 임의 추정하지 않음; 파생 평균은 공개된 3개 백분위 평균.</x:v>
      </x:c>
      <x:c r="AG502" s="112" t="str">
        <x:v>https://www.adiga.kr/ucp/uvt/uni/univDetailSelection.do?menuId=PCUVTINF2000&amp;searchSyr=2026&amp;unvCd=0000028</x:v>
      </x:c>
    </x:row>
    <x:row r="503">
      <x:c r="A503" s="114" t="n">
        <x:v>2025</x:v>
      </x:c>
      <x:c r="B503" s="112" t="str">
        <x:v>경상남도</x:v>
      </x:c>
      <x:c r="C503" s="112" t="str">
        <x:v>국립</x:v>
      </x:c>
      <x:c r="D503" s="112" t="str">
        <x:v>국립창원대학교</x:v>
      </x:c>
      <x:c r="E503" s="112" t="str">
        <x:v>가</x:v>
      </x:c>
      <x:c r="F503" s="112" t="str">
        <x:v>수능위주(일반전형)</x:v>
      </x:c>
      <x:c r="G503" s="113" t="str">
        <x:v>행정학과</x:v>
      </x:c>
      <x:c r="H503" s="114"/>
      <x:c r="I503" s="114"/>
      <x:c r="J503" s="114" t="n">
        <x:v>6</x:v>
      </x:c>
      <x:c r="K503" s="115" t="n">
        <x:v>4.67</x:v>
      </x:c>
      <x:c r="L503" s="114" t="n">
        <x:v>3</x:v>
      </x:c>
      <x:c r="M503" s="115"/>
      <x:c r="N503" s="115" t="n">
        <x:v>848.6</x:v>
      </x:c>
      <x:c r="O503" s="115" t="n">
        <x:v>1000</x:v>
      </x:c>
      <x:c r="P503" s="115" t="n">
        <x:v>58</x:v>
      </x:c>
      <x:c r="Q503" s="115" t="n">
        <x:v>41</x:v>
      </x:c>
      <x:c r="R503" s="115" t="n">
        <x:v>72</x:v>
      </x:c>
      <x:c r="S503" s="115"/>
      <x:c r="T503" s="114" t="n">
        <x:v>4</x:v>
      </x:c>
      <x:c r="U503" s="114"/>
      <x:c r="V503" s="115"/>
      <x:c r="W503" s="115" t="n">
        <x:v>57</x:v>
      </x:c>
      <x:c r="X503" s="115" t="n">
        <x:v>57</x:v>
      </x:c>
      <x:c r="Y503" s="115" t="str">
        <x:v>파생 단순평균(참고)</x:v>
      </x:c>
      <x:c r="Z503" s="114" t="n">
        <x:v>80</x:v>
      </x:c>
      <x:c r="AA503" s="115" t="n">
        <x:v>23</x:v>
      </x:c>
      <x:c r="AB503" s="112" t="str">
        <x:v>안정</x:v>
      </x:c>
      <x:c r="AC503" s="115" t="n">
        <x:v>83.33</x:v>
      </x:c>
      <x:c r="AD503" s="115" t="n">
        <x:v>16.67</x:v>
      </x:c>
      <x:c r="AE503" s="115" t="n">
        <x:v>0</x:v>
      </x:c>
      <x:c r="AF503" s="113" t="str">
        <x:v>B3: 공식 정시 70% 컷에서 국어·수학·탐구 1과목 백분위를 공개. 탐구2는 임의 추정하지 않음; 파생 평균은 공개된 3개 백분위 평균.</x:v>
      </x:c>
      <x:c r="AG503" s="112" t="str">
        <x:v>https://www.adiga.kr/ucp/uvt/uni/univDetailSelection.do?menuId=PCUVTINF2000&amp;searchSyr=2026&amp;unvCd=0000028</x:v>
      </x:c>
    </x:row>
    <x:row r="504">
      <x:c r="A504" s="114" t="n">
        <x:v>2025</x:v>
      </x:c>
      <x:c r="B504" s="112" t="str">
        <x:v>경상남도</x:v>
      </x:c>
      <x:c r="C504" s="112" t="str">
        <x:v>국립</x:v>
      </x:c>
      <x:c r="D504" s="112" t="str">
        <x:v>국립창원대학교</x:v>
      </x:c>
      <x:c r="E504" s="112" t="str">
        <x:v>가</x:v>
      </x:c>
      <x:c r="F504" s="112" t="str">
        <x:v>수능위주(일반전형)</x:v>
      </x:c>
      <x:c r="G504" s="113" t="str">
        <x:v>미디어커뮤니케이션학과</x:v>
      </x:c>
      <x:c r="H504" s="114"/>
      <x:c r="I504" s="114"/>
      <x:c r="J504" s="114" t="n">
        <x:v>2</x:v>
      </x:c>
      <x:c r="K504" s="115" t="n">
        <x:v>4</x:v>
      </x:c>
      <x:c r="L504" s="114" t="n">
        <x:v>2</x:v>
      </x:c>
      <x:c r="M504" s="115"/>
      <x:c r="N504" s="115" t="n">
        <x:v>849</x:v>
      </x:c>
      <x:c r="O504" s="115" t="n">
        <x:v>1000</x:v>
      </x:c>
      <x:c r="P504" s="115" t="n">
        <x:v>52</x:v>
      </x:c>
      <x:c r="Q504" s="115" t="n">
        <x:v>56</x:v>
      </x:c>
      <x:c r="R504" s="115" t="n">
        <x:v>74</x:v>
      </x:c>
      <x:c r="S504" s="115"/>
      <x:c r="T504" s="114" t="n">
        <x:v>4</x:v>
      </x:c>
      <x:c r="U504" s="114"/>
      <x:c r="V504" s="115"/>
      <x:c r="W504" s="115" t="n">
        <x:v>60.666666666666664</x:v>
      </x:c>
      <x:c r="X504" s="115" t="n">
        <x:v>60.666666666666664</x:v>
      </x:c>
      <x:c r="Y504" s="115" t="str">
        <x:v>파생 단순평균(참고)</x:v>
      </x:c>
      <x:c r="Z504" s="114" t="n">
        <x:v>80</x:v>
      </x:c>
      <x:c r="AA504" s="115" t="n">
        <x:v>19.333333333333336</x:v>
      </x:c>
      <x:c r="AB504" s="112" t="str">
        <x:v>안정</x:v>
      </x:c>
      <x:c r="AC504" s="115" t="n">
        <x:v>100</x:v>
      </x:c>
      <x:c r="AD504" s="115" t="n">
        <x:v>0</x:v>
      </x:c>
      <x:c r="AE504" s="115" t="n">
        <x:v>0</x:v>
      </x:c>
      <x:c r="AF504" s="113" t="str">
        <x:v>B3: 공식 정시 70% 컷에서 국어·수학·탐구 1과목 백분위를 공개. 탐구2는 임의 추정하지 않음; 파생 평균은 공개된 3개 백분위 평균.</x:v>
      </x:c>
      <x:c r="AG504" s="112" t="str">
        <x:v>https://www.adiga.kr/ucp/uvt/uni/univDetailSelection.do?menuId=PCUVTINF2000&amp;searchSyr=2026&amp;unvCd=0000028</x:v>
      </x:c>
    </x:row>
    <x:row r="505">
      <x:c r="A505" s="114" t="n">
        <x:v>2025</x:v>
      </x:c>
      <x:c r="B505" s="112" t="str">
        <x:v>경상남도</x:v>
      </x:c>
      <x:c r="C505" s="112" t="str">
        <x:v>국립</x:v>
      </x:c>
      <x:c r="D505" s="112" t="str">
        <x:v>국립창원대학교</x:v>
      </x:c>
      <x:c r="E505" s="112" t="str">
        <x:v>가</x:v>
      </x:c>
      <x:c r="F505" s="112" t="str">
        <x:v>수능위주(일반전형)</x:v>
      </x:c>
      <x:c r="G505" s="113" t="str">
        <x:v>사회복지학과</x:v>
      </x:c>
      <x:c r="H505" s="114"/>
      <x:c r="I505" s="114"/>
      <x:c r="J505" s="114" t="n">
        <x:v>4</x:v>
      </x:c>
      <x:c r="K505" s="115" t="n">
        <x:v>7</x:v>
      </x:c>
      <x:c r="L505" s="114" t="n">
        <x:v>8</x:v>
      </x:c>
      <x:c r="M505" s="115"/>
      <x:c r="N505" s="115" t="n">
        <x:v>837</x:v>
      </x:c>
      <x:c r="O505" s="115" t="n">
        <x:v>1000</x:v>
      </x:c>
      <x:c r="P505" s="115" t="n">
        <x:v>52</x:v>
      </x:c>
      <x:c r="Q505" s="115" t="n">
        <x:v>39</x:v>
      </x:c>
      <x:c r="R505" s="115" t="n">
        <x:v>74</x:v>
      </x:c>
      <x:c r="S505" s="115"/>
      <x:c r="T505" s="114" t="n">
        <x:v>3</x:v>
      </x:c>
      <x:c r="U505" s="114"/>
      <x:c r="V505" s="115"/>
      <x:c r="W505" s="115" t="n">
        <x:v>55</x:v>
      </x:c>
      <x:c r="X505" s="115" t="n">
        <x:v>55</x:v>
      </x:c>
      <x:c r="Y505" s="115" t="str">
        <x:v>파생 단순평균(참고)</x:v>
      </x:c>
      <x:c r="Z505" s="114" t="n">
        <x:v>80</x:v>
      </x:c>
      <x:c r="AA505" s="115" t="n">
        <x:v>25</x:v>
      </x:c>
      <x:c r="AB505" s="112" t="str">
        <x:v>안정</x:v>
      </x:c>
      <x:c r="AC505" s="115" t="n">
        <x:v>100</x:v>
      </x:c>
      <x:c r="AD505" s="115" t="n">
        <x:v>0</x:v>
      </x:c>
      <x:c r="AE505" s="115" t="n">
        <x:v>0</x:v>
      </x:c>
      <x:c r="AF505" s="113" t="str">
        <x:v>B3: 공식 정시 70% 컷에서 국어·수학·탐구 1과목 백분위를 공개. 탐구2는 임의 추정하지 않음; 파생 평균은 공개된 3개 백분위 평균.</x:v>
      </x:c>
      <x:c r="AG505" s="112" t="str">
        <x:v>https://www.adiga.kr/ucp/uvt/uni/univDetailSelection.do?menuId=PCUVTINF2000&amp;searchSyr=2026&amp;unvCd=0000028</x:v>
      </x:c>
    </x:row>
    <x:row r="506">
      <x:c r="A506" s="114" t="n">
        <x:v>2025</x:v>
      </x:c>
      <x:c r="B506" s="112" t="str">
        <x:v>경상남도</x:v>
      </x:c>
      <x:c r="C506" s="112" t="str">
        <x:v>국립</x:v>
      </x:c>
      <x:c r="D506" s="112" t="str">
        <x:v>국립창원대학교</x:v>
      </x:c>
      <x:c r="E506" s="112" t="str">
        <x:v>가</x:v>
      </x:c>
      <x:c r="F506" s="112" t="str">
        <x:v>수능위주(일반전형)</x:v>
      </x:c>
      <x:c r="G506" s="113" t="str">
        <x:v>경영계열자율전공학부</x:v>
      </x:c>
      <x:c r="H506" s="114"/>
      <x:c r="I506" s="114"/>
      <x:c r="J506" s="114" t="n">
        <x:v>6</x:v>
      </x:c>
      <x:c r="K506" s="115" t="n">
        <x:v>5.67</x:v>
      </x:c>
      <x:c r="L506" s="114" t="n">
        <x:v>8</x:v>
      </x:c>
      <x:c r="M506" s="115"/>
      <x:c r="N506" s="115" t="n">
        <x:v>849</x:v>
      </x:c>
      <x:c r="O506" s="115" t="n">
        <x:v>1000</x:v>
      </x:c>
      <x:c r="P506" s="115" t="n">
        <x:v>60</x:v>
      </x:c>
      <x:c r="Q506" s="115" t="n">
        <x:v>41</x:v>
      </x:c>
      <x:c r="R506" s="115" t="n">
        <x:v>67</x:v>
      </x:c>
      <x:c r="S506" s="115"/>
      <x:c r="T506" s="114" t="n">
        <x:v>4</x:v>
      </x:c>
      <x:c r="U506" s="114"/>
      <x:c r="V506" s="115"/>
      <x:c r="W506" s="115" t="n">
        <x:v>56</x:v>
      </x:c>
      <x:c r="X506" s="115" t="n">
        <x:v>56</x:v>
      </x:c>
      <x:c r="Y506" s="115" t="str">
        <x:v>파생 단순평균(참고)</x:v>
      </x:c>
      <x:c r="Z506" s="114" t="n">
        <x:v>80</x:v>
      </x:c>
      <x:c r="AA506" s="115" t="n">
        <x:v>24</x:v>
      </x:c>
      <x:c r="AB506" s="112" t="str">
        <x:v>안정</x:v>
      </x:c>
      <x:c r="AC506" s="115" t="n">
        <x:v>83.33</x:v>
      </x:c>
      <x:c r="AD506" s="115" t="n">
        <x:v>0</x:v>
      </x:c>
      <x:c r="AE506" s="115" t="n">
        <x:v>16.67</x:v>
      </x:c>
      <x:c r="AF506" s="113" t="str">
        <x:v>B3: 공식 정시 70% 컷에서 국어·수학·탐구 1과목 백분위를 공개. 탐구2는 임의 추정하지 않음; 파생 평균은 공개된 3개 백분위 평균.</x:v>
      </x:c>
      <x:c r="AG506" s="112" t="str">
        <x:v>https://www.adiga.kr/ucp/uvt/uni/univDetailSelection.do?menuId=PCUVTINF2000&amp;searchSyr=2026&amp;unvCd=0000028</x:v>
      </x:c>
    </x:row>
    <x:row r="507">
      <x:c r="A507" s="114" t="n">
        <x:v>2025</x:v>
      </x:c>
      <x:c r="B507" s="112" t="str">
        <x:v>경상남도</x:v>
      </x:c>
      <x:c r="C507" s="112" t="str">
        <x:v>국립</x:v>
      </x:c>
      <x:c r="D507" s="112" t="str">
        <x:v>국립창원대학교</x:v>
      </x:c>
      <x:c r="E507" s="112" t="str">
        <x:v>가</x:v>
      </x:c>
      <x:c r="F507" s="112" t="str">
        <x:v>수능위주(일반전형)</x:v>
      </x:c>
      <x:c r="G507" s="113" t="str">
        <x:v>회계학과</x:v>
      </x:c>
      <x:c r="H507" s="114"/>
      <x:c r="I507" s="114"/>
      <x:c r="J507" s="114" t="n">
        <x:v>6</x:v>
      </x:c>
      <x:c r="K507" s="115" t="n">
        <x:v>5.17</x:v>
      </x:c>
      <x:c r="L507" s="114" t="n">
        <x:v>7</x:v>
      </x:c>
      <x:c r="M507" s="115"/>
      <x:c r="N507" s="115" t="n">
        <x:v>835.2</x:v>
      </x:c>
      <x:c r="O507" s="115" t="n">
        <x:v>1000</x:v>
      </x:c>
      <x:c r="P507" s="115" t="n">
        <x:v>60</x:v>
      </x:c>
      <x:c r="Q507" s="115" t="n">
        <x:v>50</x:v>
      </x:c>
      <x:c r="R507" s="115" t="n">
        <x:v>56</x:v>
      </x:c>
      <x:c r="S507" s="115"/>
      <x:c r="T507" s="114" t="n">
        <x:v>4</x:v>
      </x:c>
      <x:c r="U507" s="114"/>
      <x:c r="V507" s="115"/>
      <x:c r="W507" s="115" t="n">
        <x:v>55.333333333333336</x:v>
      </x:c>
      <x:c r="X507" s="115" t="n">
        <x:v>55.333333333333336</x:v>
      </x:c>
      <x:c r="Y507" s="115" t="str">
        <x:v>파생 단순평균(참고)</x:v>
      </x:c>
      <x:c r="Z507" s="114" t="n">
        <x:v>80</x:v>
      </x:c>
      <x:c r="AA507" s="115" t="n">
        <x:v>24.666666666666664</x:v>
      </x:c>
      <x:c r="AB507" s="112" t="str">
        <x:v>안정</x:v>
      </x:c>
      <x:c r="AC507" s="115" t="n">
        <x:v>42.86</x:v>
      </x:c>
      <x:c r="AD507" s="115" t="n">
        <x:v>28.57</x:v>
      </x:c>
      <x:c r="AE507" s="115" t="n">
        <x:v>28.57</x:v>
      </x:c>
      <x:c r="AF507" s="113" t="str">
        <x:v>B3: 공식 정시 70% 컷에서 국어·수학·탐구 1과목 백분위를 공개. 탐구2는 임의 추정하지 않음; 파생 평균은 공개된 3개 백분위 평균.</x:v>
      </x:c>
      <x:c r="AG507" s="112" t="str">
        <x:v>https://www.adiga.kr/ucp/uvt/uni/univDetailSelection.do?menuId=PCUVTINF2000&amp;searchSyr=2026&amp;unvCd=0000028</x:v>
      </x:c>
    </x:row>
    <x:row r="508">
      <x:c r="A508" s="114" t="n">
        <x:v>2025</x:v>
      </x:c>
      <x:c r="B508" s="112" t="str">
        <x:v>경상남도</x:v>
      </x:c>
      <x:c r="C508" s="112" t="str">
        <x:v>국립</x:v>
      </x:c>
      <x:c r="D508" s="112" t="str">
        <x:v>국립창원대학교</x:v>
      </x:c>
      <x:c r="E508" s="112" t="str">
        <x:v>가</x:v>
      </x:c>
      <x:c r="F508" s="112" t="str">
        <x:v>수능위주(일반전형)</x:v>
      </x:c>
      <x:c r="G508" s="113" t="str">
        <x:v>세무학과</x:v>
      </x:c>
      <x:c r="H508" s="114"/>
      <x:c r="I508" s="114"/>
      <x:c r="J508" s="114" t="n">
        <x:v>4</x:v>
      </x:c>
      <x:c r="K508" s="115" t="n">
        <x:v>4.75</x:v>
      </x:c>
      <x:c r="L508" s="114" t="n">
        <x:v>2</x:v>
      </x:c>
      <x:c r="M508" s="115"/>
      <x:c r="N508" s="115" t="n">
        <x:v>880.2</x:v>
      </x:c>
      <x:c r="O508" s="115" t="n">
        <x:v>1000</x:v>
      </x:c>
      <x:c r="P508" s="115" t="n">
        <x:v>68</x:v>
      </x:c>
      <x:c r="Q508" s="115" t="n">
        <x:v>54</x:v>
      </x:c>
      <x:c r="R508" s="115" t="n">
        <x:v>74</x:v>
      </x:c>
      <x:c r="S508" s="115"/>
      <x:c r="T508" s="114" t="n">
        <x:v>3</x:v>
      </x:c>
      <x:c r="U508" s="114"/>
      <x:c r="V508" s="115"/>
      <x:c r="W508" s="115" t="n">
        <x:v>65.33333333333333</x:v>
      </x:c>
      <x:c r="X508" s="115" t="n">
        <x:v>65.33333333333333</x:v>
      </x:c>
      <x:c r="Y508" s="115" t="str">
        <x:v>파생 단순평균(참고)</x:v>
      </x:c>
      <x:c r="Z508" s="114" t="n">
        <x:v>80</x:v>
      </x:c>
      <x:c r="AA508" s="115" t="n">
        <x:v>14.666666666666671</x:v>
      </x:c>
      <x:c r="AB508" s="112" t="str">
        <x:v>안정</x:v>
      </x:c>
      <x:c r="AC508" s="115" t="n">
        <x:v>50</x:v>
      </x:c>
      <x:c r="AD508" s="115" t="n">
        <x:v>50</x:v>
      </x:c>
      <x:c r="AE508" s="115" t="n">
        <x:v>0</x:v>
      </x:c>
      <x:c r="AF508" s="113" t="str">
        <x:v>B3: 공식 정시 70% 컷에서 국어·수학·탐구 1과목 백분위를 공개. 탐구2는 임의 추정하지 않음; 파생 평균은 공개된 3개 백분위 평균.</x:v>
      </x:c>
      <x:c r="AG508" s="112" t="str">
        <x:v>https://www.adiga.kr/ucp/uvt/uni/univDetailSelection.do?menuId=PCUVTINF2000&amp;searchSyr=2026&amp;unvCd=0000028</x:v>
      </x:c>
    </x:row>
    <x:row r="509">
      <x:c r="A509" s="114" t="n">
        <x:v>2025</x:v>
      </x:c>
      <x:c r="B509" s="112" t="str">
        <x:v>경상남도</x:v>
      </x:c>
      <x:c r="C509" s="112" t="str">
        <x:v>국립</x:v>
      </x:c>
      <x:c r="D509" s="112" t="str">
        <x:v>국립창원대학교</x:v>
      </x:c>
      <x:c r="E509" s="112" t="str">
        <x:v>가</x:v>
      </x:c>
      <x:c r="F509" s="112" t="str">
        <x:v>수능위주(일반전형)</x:v>
      </x:c>
      <x:c r="G509" s="113" t="str">
        <x:v>식품영양학과</x:v>
      </x:c>
      <x:c r="H509" s="114"/>
      <x:c r="I509" s="114"/>
      <x:c r="J509" s="114" t="n">
        <x:v>2</x:v>
      </x:c>
      <x:c r="K509" s="115" t="n">
        <x:v>8</x:v>
      </x:c>
      <x:c r="L509" s="114" t="n">
        <x:v>2</x:v>
      </x:c>
      <x:c r="M509" s="115"/>
      <x:c r="N509" s="115" t="n">
        <x:v>837</x:v>
      </x:c>
      <x:c r="O509" s="115" t="n">
        <x:v>1000</x:v>
      </x:c>
      <x:c r="P509" s="115" t="n">
        <x:v>52</x:v>
      </x:c>
      <x:c r="Q509" s="115" t="n">
        <x:v>39</x:v>
      </x:c>
      <x:c r="R509" s="115" t="n">
        <x:v>74</x:v>
      </x:c>
      <x:c r="S509" s="115"/>
      <x:c r="T509" s="114" t="n">
        <x:v>3</x:v>
      </x:c>
      <x:c r="U509" s="114"/>
      <x:c r="V509" s="115"/>
      <x:c r="W509" s="115" t="n">
        <x:v>55</x:v>
      </x:c>
      <x:c r="X509" s="115" t="n">
        <x:v>55</x:v>
      </x:c>
      <x:c r="Y509" s="115" t="str">
        <x:v>파생 단순평균(참고)</x:v>
      </x:c>
      <x:c r="Z509" s="114" t="n">
        <x:v>80</x:v>
      </x:c>
      <x:c r="AA509" s="115" t="n">
        <x:v>25</x:v>
      </x:c>
      <x:c r="AB509" s="112" t="str">
        <x:v>안정</x:v>
      </x:c>
      <x:c r="AC509" s="115" t="n">
        <x:v>0</x:v>
      </x:c>
      <x:c r="AD509" s="115" t="n">
        <x:v>100</x:v>
      </x:c>
      <x:c r="AE509" s="115" t="n">
        <x:v>0</x:v>
      </x:c>
      <x:c r="AF509" s="113" t="str">
        <x:v>B3: 공식 정시 70% 컷에서 국어·수학·탐구 1과목 백분위를 공개. 탐구2는 임의 추정하지 않음; 파생 평균은 공개된 3개 백분위 평균.</x:v>
      </x:c>
      <x:c r="AG509" s="112" t="str">
        <x:v>https://www.adiga.kr/ucp/uvt/uni/univDetailSelection.do?menuId=PCUVTINF2000&amp;searchSyr=2026&amp;unvCd=0000028</x:v>
      </x:c>
    </x:row>
    <x:row r="510">
      <x:c r="A510" s="114" t="n">
        <x:v>2025</x:v>
      </x:c>
      <x:c r="B510" s="112" t="str">
        <x:v>경상남도</x:v>
      </x:c>
      <x:c r="C510" s="112" t="str">
        <x:v>국립</x:v>
      </x:c>
      <x:c r="D510" s="112" t="str">
        <x:v>국립창원대학교</x:v>
      </x:c>
      <x:c r="E510" s="112" t="str">
        <x:v>가</x:v>
      </x:c>
      <x:c r="F510" s="112" t="str">
        <x:v>수능위주(일반전형)</x:v>
      </x:c>
      <x:c r="G510" s="113" t="str">
        <x:v>통계학과</x:v>
      </x:c>
      <x:c r="H510" s="114"/>
      <x:c r="I510" s="114"/>
      <x:c r="J510" s="114" t="n">
        <x:v>6</x:v>
      </x:c>
      <x:c r="K510" s="115" t="n">
        <x:v>5.83</x:v>
      </x:c>
      <x:c r="L510" s="114" t="n">
        <x:v>12</x:v>
      </x:c>
      <x:c r="M510" s="115"/>
      <x:c r="N510" s="115" t="n">
        <x:v>830.6</x:v>
      </x:c>
      <x:c r="O510" s="115" t="n">
        <x:v>1000</x:v>
      </x:c>
      <x:c r="P510" s="115" t="n">
        <x:v>40</x:v>
      </x:c>
      <x:c r="Q510" s="115" t="n">
        <x:v>48</x:v>
      </x:c>
      <x:c r="R510" s="115" t="n">
        <x:v>55</x:v>
      </x:c>
      <x:c r="S510" s="115"/>
      <x:c r="T510" s="114" t="n">
        <x:v>4</x:v>
      </x:c>
      <x:c r="U510" s="114"/>
      <x:c r="V510" s="115"/>
      <x:c r="W510" s="115" t="n">
        <x:v>47.666666666666664</x:v>
      </x:c>
      <x:c r="X510" s="115" t="n">
        <x:v>47.666666666666664</x:v>
      </x:c>
      <x:c r="Y510" s="115" t="str">
        <x:v>파생 단순평균(참고)</x:v>
      </x:c>
      <x:c r="Z510" s="114" t="n">
        <x:v>80</x:v>
      </x:c>
      <x:c r="AA510" s="115" t="n">
        <x:v>32.333333333333336</x:v>
      </x:c>
      <x:c r="AB510" s="112" t="str">
        <x:v>안정</x:v>
      </x:c>
      <x:c r="AC510" s="115" t="n">
        <x:v>42.86</x:v>
      </x:c>
      <x:c r="AD510" s="115" t="n">
        <x:v>57.14</x:v>
      </x:c>
      <x:c r="AE510" s="115" t="n">
        <x:v>0</x:v>
      </x:c>
      <x:c r="AF510" s="113" t="str">
        <x:v>B3: 공식 정시 70% 컷에서 국어·수학·탐구 1과목 백분위를 공개. 탐구2는 임의 추정하지 않음; 파생 평균은 공개된 3개 백분위 평균.</x:v>
      </x:c>
      <x:c r="AG510" s="112" t="str">
        <x:v>https://www.adiga.kr/ucp/uvt/uni/univDetailSelection.do?menuId=PCUVTINF2000&amp;searchSyr=2026&amp;unvCd=0000028</x:v>
      </x:c>
    </x:row>
    <x:row r="511">
      <x:c r="A511" s="114" t="n">
        <x:v>2025</x:v>
      </x:c>
      <x:c r="B511" s="112" t="str">
        <x:v>경상남도</x:v>
      </x:c>
      <x:c r="C511" s="112" t="str">
        <x:v>국립</x:v>
      </x:c>
      <x:c r="D511" s="112" t="str">
        <x:v>국립창원대학교</x:v>
      </x:c>
      <x:c r="E511" s="112" t="str">
        <x:v>가</x:v>
      </x:c>
      <x:c r="F511" s="112" t="str">
        <x:v>수능위주(일반전형)</x:v>
      </x:c>
      <x:c r="G511" s="113" t="str">
        <x:v>간호학과</x:v>
      </x:c>
      <x:c r="H511" s="114"/>
      <x:c r="I511" s="114"/>
      <x:c r="J511" s="114" t="n">
        <x:v>6</x:v>
      </x:c>
      <x:c r="K511" s="115" t="n">
        <x:v>3.67</x:v>
      </x:c>
      <x:c r="L511" s="114" t="n">
        <x:v>4</x:v>
      </x:c>
      <x:c r="M511" s="115"/>
      <x:c r="N511" s="115" t="n">
        <x:v>892.8</x:v>
      </x:c>
      <x:c r="O511" s="115" t="n">
        <x:v>1000</x:v>
      </x:c>
      <x:c r="P511" s="115" t="n">
        <x:v>68</x:v>
      </x:c>
      <x:c r="Q511" s="115" t="n">
        <x:v>74</x:v>
      </x:c>
      <x:c r="R511" s="115" t="n">
        <x:v>69</x:v>
      </x:c>
      <x:c r="S511" s="115"/>
      <x:c r="T511" s="114" t="n">
        <x:v>4</x:v>
      </x:c>
      <x:c r="U511" s="114"/>
      <x:c r="V511" s="115"/>
      <x:c r="W511" s="115" t="n">
        <x:v>70.33333333333333</x:v>
      </x:c>
      <x:c r="X511" s="115" t="n">
        <x:v>70.33333333333333</x:v>
      </x:c>
      <x:c r="Y511" s="115" t="str">
        <x:v>파생 단순평균(참고)</x:v>
      </x:c>
      <x:c r="Z511" s="114" t="n">
        <x:v>80</x:v>
      </x:c>
      <x:c r="AA511" s="115" t="n">
        <x:v>9.666666666666671</x:v>
      </x:c>
      <x:c r="AB511" s="112" t="str">
        <x:v>안정</x:v>
      </x:c>
      <x:c r="AC511" s="115" t="n">
        <x:v>16.67</x:v>
      </x:c>
      <x:c r="AD511" s="115" t="n">
        <x:v>83.33</x:v>
      </x:c>
      <x:c r="AE511" s="115" t="n">
        <x:v>0</x:v>
      </x:c>
      <x:c r="AF511" s="113" t="str">
        <x:v>B3: 공식 정시 70% 컷에서 국어·수학·탐구 1과목 백분위를 공개. 탐구2는 임의 추정하지 않음; 파생 평균은 공개된 3개 백분위 평균.</x:v>
      </x:c>
      <x:c r="AG511" s="112" t="str">
        <x:v>https://www.adiga.kr/ucp/uvt/uni/univDetailSelection.do?menuId=PCUVTINF2000&amp;searchSyr=2026&amp;unvCd=0000028</x:v>
      </x:c>
    </x:row>
    <x:row r="512">
      <x:c r="A512" s="114" t="n">
        <x:v>2025</x:v>
      </x:c>
      <x:c r="B512" s="112" t="str">
        <x:v>경상남도</x:v>
      </x:c>
      <x:c r="C512" s="112" t="str">
        <x:v>국립</x:v>
      </x:c>
      <x:c r="D512" s="112" t="str">
        <x:v>국립창원대학교</x:v>
      </x:c>
      <x:c r="E512" s="112" t="str">
        <x:v>가</x:v>
      </x:c>
      <x:c r="F512" s="112" t="str">
        <x:v>수능위주(일반전형)</x:v>
      </x:c>
      <x:c r="G512" s="113" t="str">
        <x:v>공학계열자율전공학부</x:v>
      </x:c>
      <x:c r="H512" s="114"/>
      <x:c r="I512" s="114"/>
      <x:c r="J512" s="114" t="n">
        <x:v>12</x:v>
      </x:c>
      <x:c r="K512" s="115" t="n">
        <x:v>5.17</x:v>
      </x:c>
      <x:c r="L512" s="114" t="n">
        <x:v>19</x:v>
      </x:c>
      <x:c r="M512" s="115"/>
      <x:c r="N512" s="115" t="n">
        <x:v>853</x:v>
      </x:c>
      <x:c r="O512" s="115" t="n">
        <x:v>1000</x:v>
      </x:c>
      <x:c r="P512" s="115" t="n">
        <x:v>63</x:v>
      </x:c>
      <x:c r="Q512" s="115" t="n">
        <x:v>63</x:v>
      </x:c>
      <x:c r="R512" s="115" t="n">
        <x:v>52</x:v>
      </x:c>
      <x:c r="S512" s="115"/>
      <x:c r="T512" s="114" t="n">
        <x:v>4</x:v>
      </x:c>
      <x:c r="U512" s="114"/>
      <x:c r="V512" s="115"/>
      <x:c r="W512" s="115" t="n">
        <x:v>59.333333333333336</x:v>
      </x:c>
      <x:c r="X512" s="115" t="n">
        <x:v>59.333333333333336</x:v>
      </x:c>
      <x:c r="Y512" s="115" t="str">
        <x:v>파생 단순평균(참고)</x:v>
      </x:c>
      <x:c r="Z512" s="114" t="n">
        <x:v>80</x:v>
      </x:c>
      <x:c r="AA512" s="115" t="n">
        <x:v>20.666666666666664</x:v>
      </x:c>
      <x:c r="AB512" s="112" t="str">
        <x:v>안정</x:v>
      </x:c>
      <x:c r="AC512" s="115" t="n">
        <x:v>25</x:v>
      </x:c>
      <x:c r="AD512" s="115" t="n">
        <x:v>58.33</x:v>
      </x:c>
      <x:c r="AE512" s="115" t="n">
        <x:v>16.67</x:v>
      </x:c>
      <x:c r="AF512" s="113" t="str">
        <x:v>B3: 공식 정시 70% 컷에서 국어·수학·탐구 1과목 백분위를 공개. 탐구2는 임의 추정하지 않음; 파생 평균은 공개된 3개 백분위 평균.</x:v>
      </x:c>
      <x:c r="AG512" s="112" t="str">
        <x:v>https://www.adiga.kr/ucp/uvt/uni/univDetailSelection.do?menuId=PCUVTINF2000&amp;searchSyr=2026&amp;unvCd=0000028</x:v>
      </x:c>
    </x:row>
    <x:row r="513">
      <x:c r="A513" s="114" t="n">
        <x:v>2025</x:v>
      </x:c>
      <x:c r="B513" s="112" t="str">
        <x:v>경상남도</x:v>
      </x:c>
      <x:c r="C513" s="112" t="str">
        <x:v>국립</x:v>
      </x:c>
      <x:c r="D513" s="112" t="str">
        <x:v>국립창원대학교</x:v>
      </x:c>
      <x:c r="E513" s="112" t="str">
        <x:v>가</x:v>
      </x:c>
      <x:c r="F513" s="112" t="str">
        <x:v>수능위주(일반전형)</x:v>
      </x:c>
      <x:c r="G513" s="113" t="str">
        <x:v>컴퓨터공학과</x:v>
      </x:c>
      <x:c r="H513" s="114"/>
      <x:c r="I513" s="114"/>
      <x:c r="J513" s="114" t="n">
        <x:v>10</x:v>
      </x:c>
      <x:c r="K513" s="115" t="n">
        <x:v>4.3</x:v>
      </x:c>
      <x:c r="L513" s="114" t="n">
        <x:v>16</x:v>
      </x:c>
      <x:c r="M513" s="115"/>
      <x:c r="N513" s="115" t="n">
        <x:v>858.8</x:v>
      </x:c>
      <x:c r="O513" s="115" t="n">
        <x:v>1000</x:v>
      </x:c>
      <x:c r="P513" s="115" t="n">
        <x:v>52</x:v>
      </x:c>
      <x:c r="Q513" s="115" t="n">
        <x:v>59</x:v>
      </x:c>
      <x:c r="R513" s="115" t="n">
        <x:v>67</x:v>
      </x:c>
      <x:c r="S513" s="115"/>
      <x:c r="T513" s="114" t="n">
        <x:v>4</x:v>
      </x:c>
      <x:c r="U513" s="114"/>
      <x:c r="V513" s="115"/>
      <x:c r="W513" s="115" t="n">
        <x:v>59.333333333333336</x:v>
      </x:c>
      <x:c r="X513" s="115" t="n">
        <x:v>59.333333333333336</x:v>
      </x:c>
      <x:c r="Y513" s="115" t="str">
        <x:v>파생 단순평균(참고)</x:v>
      </x:c>
      <x:c r="Z513" s="114" t="n">
        <x:v>80</x:v>
      </x:c>
      <x:c r="AA513" s="115" t="n">
        <x:v>20.666666666666664</x:v>
      </x:c>
      <x:c r="AB513" s="112" t="str">
        <x:v>안정</x:v>
      </x:c>
      <x:c r="AC513" s="115" t="n">
        <x:v>11.11</x:v>
      </x:c>
      <x:c r="AD513" s="115" t="n">
        <x:v>77.78</x:v>
      </x:c>
      <x:c r="AE513" s="115" t="n">
        <x:v>11.11</x:v>
      </x:c>
      <x:c r="AF513" s="113" t="str">
        <x:v>B3: 공식 정시 70% 컷에서 국어·수학·탐구 1과목 백분위를 공개. 탐구2는 임의 추정하지 않음; 파생 평균은 공개된 3개 백분위 평균.</x:v>
      </x:c>
      <x:c r="AG513" s="112" t="str">
        <x:v>https://www.adiga.kr/ucp/uvt/uni/univDetailSelection.do?menuId=PCUVTINF2000&amp;searchSyr=2026&amp;unvCd=0000028</x:v>
      </x:c>
    </x:row>
    <x:row r="514">
      <x:c r="A514" s="114" t="n">
        <x:v>2025</x:v>
      </x:c>
      <x:c r="B514" s="112" t="str">
        <x:v>경상남도</x:v>
      </x:c>
      <x:c r="C514" s="112" t="str">
        <x:v>국립</x:v>
      </x:c>
      <x:c r="D514" s="112" t="str">
        <x:v>국립창원대학교</x:v>
      </x:c>
      <x:c r="E514" s="112" t="str">
        <x:v>가</x:v>
      </x:c>
      <x:c r="F514" s="112" t="str">
        <x:v>수능위주(일반전형)</x:v>
      </x:c>
      <x:c r="G514" s="113" t="str">
        <x:v>건축학부 건축학전공</x:v>
      </x:c>
      <x:c r="H514" s="114"/>
      <x:c r="I514" s="114"/>
      <x:c r="J514" s="114" t="n">
        <x:v>5</x:v>
      </x:c>
      <x:c r="K514" s="115" t="n">
        <x:v>5.4</x:v>
      </x:c>
      <x:c r="L514" s="114" t="n">
        <x:v>4</x:v>
      </x:c>
      <x:c r="M514" s="115"/>
      <x:c r="N514" s="115" t="n">
        <x:v>872.6</x:v>
      </x:c>
      <x:c r="O514" s="115" t="n">
        <x:v>1000</x:v>
      </x:c>
      <x:c r="P514" s="115" t="n">
        <x:v>60</x:v>
      </x:c>
      <x:c r="Q514" s="115" t="n">
        <x:v>48</x:v>
      </x:c>
      <x:c r="R514" s="115" t="n">
        <x:v>59</x:v>
      </x:c>
      <x:c r="S514" s="115"/>
      <x:c r="T514" s="114" t="n">
        <x:v>3</x:v>
      </x:c>
      <x:c r="U514" s="114"/>
      <x:c r="V514" s="115"/>
      <x:c r="W514" s="115" t="n">
        <x:v>55.666666666666664</x:v>
      </x:c>
      <x:c r="X514" s="115" t="n">
        <x:v>55.666666666666664</x:v>
      </x:c>
      <x:c r="Y514" s="115" t="str">
        <x:v>파생 단순평균(참고)</x:v>
      </x:c>
      <x:c r="Z514" s="114" t="n">
        <x:v>80</x:v>
      </x:c>
      <x:c r="AA514" s="115" t="n">
        <x:v>24.333333333333336</x:v>
      </x:c>
      <x:c r="AB514" s="112" t="str">
        <x:v>안정</x:v>
      </x:c>
      <x:c r="AC514" s="115" t="n">
        <x:v>16.67</x:v>
      </x:c>
      <x:c r="AD514" s="115" t="n">
        <x:v>83.33</x:v>
      </x:c>
      <x:c r="AE514" s="115" t="n">
        <x:v>0</x:v>
      </x:c>
      <x:c r="AF514" s="113" t="str">
        <x:v>B3: 공식 정시 70% 컷에서 국어·수학·탐구 1과목 백분위를 공개. 탐구2는 임의 추정하지 않음; 파생 평균은 공개된 3개 백분위 평균.</x:v>
      </x:c>
      <x:c r="AG514" s="112" t="str">
        <x:v>https://www.adiga.kr/ucp/uvt/uni/univDetailSelection.do?menuId=PCUVTINF2000&amp;searchSyr=2026&amp;unvCd=0000028</x:v>
      </x:c>
    </x:row>
    <x:row r="515">
      <x:c r="A515" s="114" t="n">
        <x:v>2025</x:v>
      </x:c>
      <x:c r="B515" s="112" t="str">
        <x:v>경상남도</x:v>
      </x:c>
      <x:c r="C515" s="112" t="str">
        <x:v>국립</x:v>
      </x:c>
      <x:c r="D515" s="112" t="str">
        <x:v>국립창원대학교</x:v>
      </x:c>
      <x:c r="E515" s="112" t="str">
        <x:v>가</x:v>
      </x:c>
      <x:c r="F515" s="112" t="str">
        <x:v>수능위주(일반전형)</x:v>
      </x:c>
      <x:c r="G515" s="113" t="str">
        <x:v>건축학부 건축공학전공</x:v>
      </x:c>
      <x:c r="H515" s="114"/>
      <x:c r="I515" s="114"/>
      <x:c r="J515" s="114" t="n">
        <x:v>6</x:v>
      </x:c>
      <x:c r="K515" s="115" t="n">
        <x:v>4.83</x:v>
      </x:c>
      <x:c r="L515" s="114" t="n">
        <x:v>8</x:v>
      </x:c>
      <x:c r="M515" s="115"/>
      <x:c r="N515" s="115" t="n">
        <x:v>842.2</x:v>
      </x:c>
      <x:c r="O515" s="115" t="n">
        <x:v>1000</x:v>
      </x:c>
      <x:c r="P515" s="115" t="n">
        <x:v>47</x:v>
      </x:c>
      <x:c r="Q515" s="115" t="n">
        <x:v>57</x:v>
      </x:c>
      <x:c r="R515" s="115" t="n">
        <x:v>51</x:v>
      </x:c>
      <x:c r="S515" s="115"/>
      <x:c r="T515" s="114" t="n">
        <x:v>5</x:v>
      </x:c>
      <x:c r="U515" s="114"/>
      <x:c r="V515" s="115"/>
      <x:c r="W515" s="115" t="n">
        <x:v>51.666666666666664</x:v>
      </x:c>
      <x:c r="X515" s="115" t="n">
        <x:v>51.666666666666664</x:v>
      </x:c>
      <x:c r="Y515" s="115" t="str">
        <x:v>파생 단순평균(참고)</x:v>
      </x:c>
      <x:c r="Z515" s="114" t="n">
        <x:v>80</x:v>
      </x:c>
      <x:c r="AA515" s="115" t="n">
        <x:v>28.333333333333336</x:v>
      </x:c>
      <x:c r="AB515" s="112" t="str">
        <x:v>안정</x:v>
      </x:c>
      <x:c r="AC515" s="115" t="n">
        <x:v>16.67</x:v>
      </x:c>
      <x:c r="AD515" s="115" t="n">
        <x:v>83.33</x:v>
      </x:c>
      <x:c r="AE515" s="115" t="n">
        <x:v>0</x:v>
      </x:c>
      <x:c r="AF515" s="113" t="str">
        <x:v>B3: 공식 정시 70% 컷에서 국어·수학·탐구 1과목 백분위를 공개. 탐구2는 임의 추정하지 않음; 파생 평균은 공개된 3개 백분위 평균.</x:v>
      </x:c>
      <x:c r="AG515" s="112" t="str">
        <x:v>https://www.adiga.kr/ucp/uvt/uni/univDetailSelection.do?menuId=PCUVTINF2000&amp;searchSyr=2026&amp;unvCd=0000028</x:v>
      </x:c>
    </x:row>
    <x:row r="516">
      <x:c r="A516" s="114" t="n">
        <x:v>2025</x:v>
      </x:c>
      <x:c r="B516" s="112" t="str">
        <x:v>전라남도</x:v>
      </x:c>
      <x:c r="C516" s="112" t="str">
        <x:v>국립</x:v>
      </x:c>
      <x:c r="D516" s="112" t="str">
        <x:v>국립목포대학교</x:v>
      </x:c>
      <x:c r="E516" s="112" t="str">
        <x:v>다</x:v>
      </x:c>
      <x:c r="F516" s="112" t="str">
        <x:v>수능위주(일반전형)</x:v>
      </x:c>
      <x:c r="G516" s="113" t="str">
        <x:v>국어국문·문예창작학부</x:v>
      </x:c>
      <x:c r="H516" s="114" t="n">
        <x:v>1</x:v>
      </x:c>
      <x:c r="I516" s="114" t="n">
        <x:v>7</x:v>
      </x:c>
      <x:c r="J516" s="114" t="n">
        <x:v>8</x:v>
      </x:c>
      <x:c r="K516" s="115" t="n">
        <x:v>5</x:v>
      </x:c>
      <x:c r="L516" s="114" t="n">
        <x:v>11</x:v>
      </x:c>
      <x:c r="M516" s="115"/>
      <x:c r="N516" s="115" t="n">
        <x:v>645</x:v>
      </x:c>
      <x:c r="O516" s="115" t="n">
        <x:v>1000</x:v>
      </x:c>
      <x:c r="P516" s="115" t="n">
        <x:v>60</x:v>
      </x:c>
      <x:c r="Q516" s="115" t="n">
        <x:v>25</x:v>
      </x:c>
      <x:c r="R516" s="115" t="n">
        <x:v>50</x:v>
      </x:c>
      <x:c r="S516" s="115" t="n">
        <x:v>48</x:v>
      </x:c>
      <x:c r="T516" s="114" t="n">
        <x:v>4</x:v>
      </x:c>
      <x:c r="U516" s="114"/>
      <x:c r="V516" s="115"/>
      <x:c r="W516" s="115" t="n">
        <x:v>45.75</x:v>
      </x:c>
      <x:c r="X516" s="115" t="n">
        <x:v>45.75</x:v>
      </x:c>
      <x:c r="Y516" s="115" t="str">
        <x:v>파생 단순평균(참고)</x:v>
      </x:c>
      <x:c r="Z516" s="114" t="n">
        <x:v>80</x:v>
      </x:c>
      <x:c r="AA516" s="115" t="n">
        <x:v>34.25</x:v>
      </x:c>
      <x:c r="AB516" s="112" t="str">
        <x:v>안정</x:v>
      </x:c>
      <x:c r="AC516" s="115" t="n">
        <x:v>90</x:v>
      </x:c>
      <x:c r="AD516" s="115" t="n">
        <x:v>10</x:v>
      </x:c>
      <x:c r="AE516" s="115" t="n">
        <x:v>0</x:v>
      </x:c>
      <x:c r="AF516" s="113" t="str">
        <x:v>B: 공식 2025학년도 정시 과목별 70% 백분위 → 단순평균 파생</x:v>
      </x:c>
      <x:c r="AG516" s="112" t="str">
        <x:v>https://www.adiga.kr/ucp/uvt/uni/univDetailSelection.do?menuId=PCUVTINF2000&amp;searchSyr=2026&amp;unvCd=0000011</x:v>
      </x:c>
    </x:row>
    <x:row r="517">
      <x:c r="A517" s="114" t="n">
        <x:v>2025</x:v>
      </x:c>
      <x:c r="B517" s="112" t="str">
        <x:v>전라남도</x:v>
      </x:c>
      <x:c r="C517" s="112" t="str">
        <x:v>국립</x:v>
      </x:c>
      <x:c r="D517" s="112" t="str">
        <x:v>국립목포대학교</x:v>
      </x:c>
      <x:c r="E517" s="112" t="str">
        <x:v>다</x:v>
      </x:c>
      <x:c r="F517" s="112" t="str">
        <x:v>수능위주(일반전형)</x:v>
      </x:c>
      <x:c r="G517" s="113" t="str">
        <x:v>인문콘텐츠학부</x:v>
      </x:c>
      <x:c r="H517" s="114" t="n">
        <x:v>0</x:v>
      </x:c>
      <x:c r="I517" s="114" t="n">
        <x:v>23</x:v>
      </x:c>
      <x:c r="J517" s="114" t="n">
        <x:v>23</x:v>
      </x:c>
      <x:c r="K517" s="115" t="n">
        <x:v>5.22</x:v>
      </x:c>
      <x:c r="L517" s="114" t="n">
        <x:v>38</x:v>
      </x:c>
      <x:c r="M517" s="115"/>
      <x:c r="N517" s="115" t="n">
        <x:v>618.1</x:v>
      </x:c>
      <x:c r="O517" s="115" t="n">
        <x:v>1000</x:v>
      </x:c>
      <x:c r="P517" s="115" t="n">
        <x:v>52</x:v>
      </x:c>
      <x:c r="Q517" s="115" t="n">
        <x:v>47</x:v>
      </x:c>
      <x:c r="R517" s="115" t="n">
        <x:v>21</x:v>
      </x:c>
      <x:c r="S517" s="115" t="n">
        <x:v>32</x:v>
      </x:c>
      <x:c r="T517" s="114" t="n">
        <x:v>4</x:v>
      </x:c>
      <x:c r="U517" s="114"/>
      <x:c r="V517" s="115"/>
      <x:c r="W517" s="115" t="n">
        <x:v>38</x:v>
      </x:c>
      <x:c r="X517" s="115" t="n">
        <x:v>38</x:v>
      </x:c>
      <x:c r="Y517" s="115" t="str">
        <x:v>파생 단순평균(참고)</x:v>
      </x:c>
      <x:c r="Z517" s="114" t="n">
        <x:v>80</x:v>
      </x:c>
      <x:c r="AA517" s="115" t="n">
        <x:v>42</x:v>
      </x:c>
      <x:c r="AB517" s="112" t="str">
        <x:v>안정</x:v>
      </x:c>
      <x:c r="AC517" s="115" t="n">
        <x:v>80</x:v>
      </x:c>
      <x:c r="AD517" s="115" t="n">
        <x:v>20</x:v>
      </x:c>
      <x:c r="AE517" s="115" t="n">
        <x:v>0</x:v>
      </x:c>
      <x:c r="AF517" s="113" t="str">
        <x:v>B: 공식 2025학년도 정시 과목별 70% 백분위 → 단순평균 파생</x:v>
      </x:c>
      <x:c r="AG517" s="112" t="str">
        <x:v>https://www.adiga.kr/ucp/uvt/uni/univDetailSelection.do?menuId=PCUVTINF2000&amp;searchSyr=2026&amp;unvCd=0000011</x:v>
      </x:c>
    </x:row>
    <x:row r="518">
      <x:c r="A518" s="114" t="n">
        <x:v>2025</x:v>
      </x:c>
      <x:c r="B518" s="112" t="str">
        <x:v>전라남도</x:v>
      </x:c>
      <x:c r="C518" s="112" t="str">
        <x:v>국립</x:v>
      </x:c>
      <x:c r="D518" s="112" t="str">
        <x:v>국립목포대학교</x:v>
      </x:c>
      <x:c r="E518" s="112" t="str">
        <x:v>다</x:v>
      </x:c>
      <x:c r="F518" s="112" t="str">
        <x:v>수능위주(일반전형)</x:v>
      </x:c>
      <x:c r="G518" s="113" t="str">
        <x:v>간호학과</x:v>
      </x:c>
      <x:c r="H518" s="114" t="n">
        <x:v>0</x:v>
      </x:c>
      <x:c r="I518" s="114" t="n">
        <x:v>12</x:v>
      </x:c>
      <x:c r="J518" s="114" t="n">
        <x:v>12</x:v>
      </x:c>
      <x:c r="K518" s="115" t="n">
        <x:v>3.92</x:v>
      </x:c>
      <x:c r="L518" s="114" t="n">
        <x:v>8</x:v>
      </x:c>
      <x:c r="M518" s="115"/>
      <x:c r="N518" s="115" t="n">
        <x:v>825</x:v>
      </x:c>
      <x:c r="O518" s="115" t="n">
        <x:v>1000</x:v>
      </x:c>
      <x:c r="P518" s="115" t="n">
        <x:v>60</x:v>
      </x:c>
      <x:c r="Q518" s="115" t="n">
        <x:v>66</x:v>
      </x:c>
      <x:c r="R518" s="115" t="n">
        <x:v>84</x:v>
      </x:c>
      <x:c r="S518" s="115" t="n">
        <x:v>12</x:v>
      </x:c>
      <x:c r="T518" s="114" t="n">
        <x:v>3</x:v>
      </x:c>
      <x:c r="U518" s="114"/>
      <x:c r="V518" s="115"/>
      <x:c r="W518" s="115" t="n">
        <x:v>55.5</x:v>
      </x:c>
      <x:c r="X518" s="115" t="n">
        <x:v>55.5</x:v>
      </x:c>
      <x:c r="Y518" s="115" t="str">
        <x:v>파생 단순평균(참고)</x:v>
      </x:c>
      <x:c r="Z518" s="114" t="n">
        <x:v>80</x:v>
      </x:c>
      <x:c r="AA518" s="115" t="n">
        <x:v>24.5</x:v>
      </x:c>
      <x:c r="AB518" s="112" t="str">
        <x:v>안정</x:v>
      </x:c>
      <x:c r="AC518" s="115" t="n">
        <x:v>0</x:v>
      </x:c>
      <x:c r="AD518" s="115" t="n">
        <x:v>100</x:v>
      </x:c>
      <x:c r="AE518" s="115" t="n">
        <x:v>0</x:v>
      </x:c>
      <x:c r="AF518" s="113" t="str">
        <x:v>B: 공식 2025학년도 정시 과목별 70% 백분위 → 단순평균 파생</x:v>
      </x:c>
      <x:c r="AG518" s="112" t="str">
        <x:v>https://www.adiga.kr/ucp/uvt/uni/univDetailSelection.do?menuId=PCUVTINF2000&amp;searchSyr=2026&amp;unvCd=0000011</x:v>
      </x:c>
    </x:row>
    <x:row r="519">
      <x:c r="A519" s="114" t="n">
        <x:v>2025</x:v>
      </x:c>
      <x:c r="B519" s="112" t="str">
        <x:v>전라남도</x:v>
      </x:c>
      <x:c r="C519" s="112" t="str">
        <x:v>국립</x:v>
      </x:c>
      <x:c r="D519" s="112" t="str">
        <x:v>국립목포대학교</x:v>
      </x:c>
      <x:c r="E519" s="112" t="str">
        <x:v>다</x:v>
      </x:c>
      <x:c r="F519" s="112" t="str">
        <x:v>수능위주(일반전형)</x:v>
      </x:c>
      <x:c r="G519" s="113" t="str">
        <x:v>반도체공학과</x:v>
      </x:c>
      <x:c r="H519" s="114" t="n">
        <x:v>0</x:v>
      </x:c>
      <x:c r="I519" s="114" t="n">
        <x:v>15</x:v>
      </x:c>
      <x:c r="J519" s="114" t="n">
        <x:v>15</x:v>
      </x:c>
      <x:c r="K519" s="115" t="n">
        <x:v>3.2</x:v>
      </x:c>
      <x:c r="L519" s="114" t="n">
        <x:v>12</x:v>
      </x:c>
      <x:c r="M519" s="115"/>
      <x:c r="N519" s="115" t="n">
        <x:v>700.5</x:v>
      </x:c>
      <x:c r="O519" s="115" t="n">
        <x:v>1000</x:v>
      </x:c>
      <x:c r="P519" s="115" t="n">
        <x:v>22</x:v>
      </x:c>
      <x:c r="Q519" s="115" t="n">
        <x:v>54</x:v>
      </x:c>
      <x:c r="R519" s="115" t="n">
        <x:v>66</x:v>
      </x:c>
      <x:c r="S519" s="115" t="n">
        <x:v>40</x:v>
      </x:c>
      <x:c r="T519" s="114" t="n">
        <x:v>4</x:v>
      </x:c>
      <x:c r="U519" s="114"/>
      <x:c r="V519" s="115"/>
      <x:c r="W519" s="115" t="n">
        <x:v>45.5</x:v>
      </x:c>
      <x:c r="X519" s="115" t="n">
        <x:v>45.5</x:v>
      </x:c>
      <x:c r="Y519" s="115" t="str">
        <x:v>파생 단순평균(참고)</x:v>
      </x:c>
      <x:c r="Z519" s="114" t="n">
        <x:v>80</x:v>
      </x:c>
      <x:c r="AA519" s="115" t="n">
        <x:v>34.5</x:v>
      </x:c>
      <x:c r="AB519" s="112" t="str">
        <x:v>안정</x:v>
      </x:c>
      <x:c r="AC519" s="115" t="n">
        <x:v>0</x:v>
      </x:c>
      <x:c r="AD519" s="115" t="n">
        <x:v>100</x:v>
      </x:c>
      <x:c r="AE519" s="115" t="n">
        <x:v>0</x:v>
      </x:c>
      <x:c r="AF519" s="113" t="str">
        <x:v>B: 공식 2025학년도 정시 과목별 70% 백분위 → 단순평균 파생</x:v>
      </x:c>
      <x:c r="AG519" s="112" t="str">
        <x:v>https://www.adiga.kr/ucp/uvt/uni/univDetailSelection.do?menuId=PCUVTINF2000&amp;searchSyr=2026&amp;unvCd=0000011</x:v>
      </x:c>
    </x:row>
    <x:row r="520">
      <x:c r="A520" s="114" t="n">
        <x:v>2025</x:v>
      </x:c>
      <x:c r="B520" s="112" t="str">
        <x:v>전라남도</x:v>
      </x:c>
      <x:c r="C520" s="112" t="str">
        <x:v>국립</x:v>
      </x:c>
      <x:c r="D520" s="112" t="str">
        <x:v>국립목포대학교</x:v>
      </x:c>
      <x:c r="E520" s="112" t="str">
        <x:v>다</x:v>
      </x:c>
      <x:c r="F520" s="112" t="str">
        <x:v>수능위주(일반전형)</x:v>
      </x:c>
      <x:c r="G520" s="113" t="str">
        <x:v>기계조선해양공학부</x:v>
      </x:c>
      <x:c r="H520" s="114" t="n">
        <x:v>0</x:v>
      </x:c>
      <x:c r="I520" s="114" t="n">
        <x:v>8</x:v>
      </x:c>
      <x:c r="J520" s="114" t="n">
        <x:v>8</x:v>
      </x:c>
      <x:c r="K520" s="115" t="n">
        <x:v>5.13</x:v>
      </x:c>
      <x:c r="L520" s="114" t="n">
        <x:v>14</x:v>
      </x:c>
      <x:c r="M520" s="115"/>
      <x:c r="N520" s="115" t="n">
        <x:v>676</x:v>
      </x:c>
      <x:c r="O520" s="115" t="n">
        <x:v>1000</x:v>
      </x:c>
      <x:c r="P520" s="115" t="n">
        <x:v>17</x:v>
      </x:c>
      <x:c r="Q520" s="115" t="n">
        <x:v>59</x:v>
      </x:c>
      <x:c r="R520" s="115" t="n">
        <x:v>9</x:v>
      </x:c>
      <x:c r="S520" s="115" t="n">
        <x:v>56</x:v>
      </x:c>
      <x:c r="T520" s="114" t="n">
        <x:v>5</x:v>
      </x:c>
      <x:c r="U520" s="114"/>
      <x:c r="V520" s="115"/>
      <x:c r="W520" s="115" t="n">
        <x:v>35.25</x:v>
      </x:c>
      <x:c r="X520" s="115" t="n">
        <x:v>35.25</x:v>
      </x:c>
      <x:c r="Y520" s="115" t="str">
        <x:v>파생 단순평균(참고)</x:v>
      </x:c>
      <x:c r="Z520" s="114" t="n">
        <x:v>80</x:v>
      </x:c>
      <x:c r="AA520" s="115" t="n">
        <x:v>44.75</x:v>
      </x:c>
      <x:c r="AB520" s="112" t="str">
        <x:v>안정</x:v>
      </x:c>
      <x:c r="AC520" s="115" t="n">
        <x:v>0</x:v>
      </x:c>
      <x:c r="AD520" s="115" t="n">
        <x:v>100</x:v>
      </x:c>
      <x:c r="AE520" s="115" t="n">
        <x:v>0</x:v>
      </x:c>
      <x:c r="AF520" s="113" t="str">
        <x:v>B: 공식 2025학년도 정시 과목별 70% 백분위 → 단순평균 파생</x:v>
      </x:c>
      <x:c r="AG520" s="112" t="str">
        <x:v>https://www.adiga.kr/ucp/uvt/uni/univDetailSelection.do?menuId=PCUVTINF2000&amp;searchSyr=2026&amp;unvCd=0000011</x:v>
      </x:c>
    </x:row>
    <x:row r="521">
      <x:c r="A521" s="114" t="n">
        <x:v>2025</x:v>
      </x:c>
      <x:c r="B521" s="112" t="str">
        <x:v>전라남도</x:v>
      </x:c>
      <x:c r="C521" s="112" t="str">
        <x:v>국립</x:v>
      </x:c>
      <x:c r="D521" s="112" t="str">
        <x:v>국립목포대학교</x:v>
      </x:c>
      <x:c r="E521" s="112" t="str">
        <x:v>다</x:v>
      </x:c>
      <x:c r="F521" s="112" t="str">
        <x:v>수능위주(일반전형)</x:v>
      </x:c>
      <x:c r="G521" s="113" t="str">
        <x:v>인공지능공학과</x:v>
      </x:c>
      <x:c r="H521" s="114" t="n">
        <x:v>0</x:v>
      </x:c>
      <x:c r="I521" s="114" t="n">
        <x:v>11</x:v>
      </x:c>
      <x:c r="J521" s="114" t="n">
        <x:v>11</x:v>
      </x:c>
      <x:c r="K521" s="115" t="n">
        <x:v>3.64</x:v>
      </x:c>
      <x:c r="L521" s="114" t="n">
        <x:v>7</x:v>
      </x:c>
      <x:c r="M521" s="115"/>
      <x:c r="N521" s="115" t="n">
        <x:v>684.8</x:v>
      </x:c>
      <x:c r="O521" s="115" t="n">
        <x:v>1000</x:v>
      </x:c>
      <x:c r="P521" s="115" t="n">
        <x:v>67</x:v>
      </x:c>
      <x:c r="Q521" s="115" t="n">
        <x:v>52</x:v>
      </x:c>
      <x:c r="R521" s="115" t="n">
        <x:v>25</x:v>
      </x:c>
      <x:c r="S521" s="115" t="n">
        <x:v>31</x:v>
      </x:c>
      <x:c r="T521" s="114" t="n">
        <x:v>4</x:v>
      </x:c>
      <x:c r="U521" s="114"/>
      <x:c r="V521" s="115"/>
      <x:c r="W521" s="115" t="n">
        <x:v>43.75</x:v>
      </x:c>
      <x:c r="X521" s="115" t="n">
        <x:v>43.75</x:v>
      </x:c>
      <x:c r="Y521" s="115" t="str">
        <x:v>파생 단순평균(참고)</x:v>
      </x:c>
      <x:c r="Z521" s="114" t="n">
        <x:v>80</x:v>
      </x:c>
      <x:c r="AA521" s="115" t="n">
        <x:v>36.25</x:v>
      </x:c>
      <x:c r="AB521" s="112" t="str">
        <x:v>안정</x:v>
      </x:c>
      <x:c r="AC521" s="115" t="n">
        <x:v>0</x:v>
      </x:c>
      <x:c r="AD521" s="115" t="n">
        <x:v>90</x:v>
      </x:c>
      <x:c r="AE521" s="115" t="n">
        <x:v>10</x:v>
      </x:c>
      <x:c r="AF521" s="113" t="str">
        <x:v>B: 공식 2025학년도 정시 과목별 70% 백분위 → 단순평균 파생</x:v>
      </x:c>
      <x:c r="AG521" s="112" t="str">
        <x:v>https://www.adiga.kr/ucp/uvt/uni/univDetailSelection.do?menuId=PCUVTINF2000&amp;searchSyr=2026&amp;unvCd=0000011</x:v>
      </x:c>
    </x:row>
    <x:row r="522">
      <x:c r="A522" s="114" t="n">
        <x:v>2025</x:v>
      </x:c>
      <x:c r="B522" s="112" t="str">
        <x:v>전라남도</x:v>
      </x:c>
      <x:c r="C522" s="112" t="str">
        <x:v>국립</x:v>
      </x:c>
      <x:c r="D522" s="112" t="str">
        <x:v>국립목포대학교</x:v>
      </x:c>
      <x:c r="E522" s="112" t="str">
        <x:v>다</x:v>
      </x:c>
      <x:c r="F522" s="112" t="str">
        <x:v>수능위주(일반전형)</x:v>
      </x:c>
      <x:c r="G522" s="113" t="str">
        <x:v>컴퓨터학부</x:v>
      </x:c>
      <x:c r="H522" s="114" t="n">
        <x:v>0</x:v>
      </x:c>
      <x:c r="I522" s="114" t="n">
        <x:v>17</x:v>
      </x:c>
      <x:c r="J522" s="114" t="n">
        <x:v>17</x:v>
      </x:c>
      <x:c r="K522" s="115" t="n">
        <x:v>2.76</x:v>
      </x:c>
      <x:c r="L522" s="114" t="n">
        <x:v>27</x:v>
      </x:c>
      <x:c r="M522" s="115"/>
      <x:c r="N522" s="115" t="n">
        <x:v>694.9</x:v>
      </x:c>
      <x:c r="O522" s="115" t="n">
        <x:v>1000</x:v>
      </x:c>
      <x:c r="P522" s="115" t="n">
        <x:v>52</x:v>
      </x:c>
      <x:c r="Q522" s="115" t="n">
        <x:v>59</x:v>
      </x:c>
      <x:c r="R522" s="115" t="n">
        <x:v>62</x:v>
      </x:c>
      <x:c r="S522" s="115" t="n">
        <x:v>45</x:v>
      </x:c>
      <x:c r="T522" s="114" t="n">
        <x:v>5</x:v>
      </x:c>
      <x:c r="U522" s="114"/>
      <x:c r="V522" s="115"/>
      <x:c r="W522" s="115" t="n">
        <x:v>54.5</x:v>
      </x:c>
      <x:c r="X522" s="115" t="n">
        <x:v>54.5</x:v>
      </x:c>
      <x:c r="Y522" s="115" t="str">
        <x:v>파생 단순평균(참고)</x:v>
      </x:c>
      <x:c r="Z522" s="114" t="n">
        <x:v>80</x:v>
      </x:c>
      <x:c r="AA522" s="115" t="n">
        <x:v>25.5</x:v>
      </x:c>
      <x:c r="AB522" s="112" t="str">
        <x:v>안정</x:v>
      </x:c>
      <x:c r="AC522" s="115" t="n">
        <x:v>5</x:v>
      </x:c>
      <x:c r="AD522" s="115" t="n">
        <x:v>95</x:v>
      </x:c>
      <x:c r="AE522" s="115" t="n">
        <x:v>0</x:v>
      </x:c>
      <x:c r="AF522" s="113" t="str">
        <x:v>B: 공식 2025학년도 정시 과목별 70% 백분위 → 단순평균 파생</x:v>
      </x:c>
      <x:c r="AG522" s="112" t="str">
        <x:v>https://www.adiga.kr/ucp/uvt/uni/univDetailSelection.do?menuId=PCUVTINF2000&amp;searchSyr=2026&amp;unvCd=0000011</x:v>
      </x:c>
    </x:row>
    <x:row r="523">
      <x:c r="A523" s="114" t="n">
        <x:v>2025</x:v>
      </x:c>
      <x:c r="B523" s="112" t="str">
        <x:v>전라남도</x:v>
      </x:c>
      <x:c r="C523" s="112" t="str">
        <x:v>국립</x:v>
      </x:c>
      <x:c r="D523" s="112" t="str">
        <x:v>국립목포대학교</x:v>
      </x:c>
      <x:c r="E523" s="112" t="str">
        <x:v>다</x:v>
      </x:c>
      <x:c r="F523" s="112" t="str">
        <x:v>수능위주(일반전형)</x:v>
      </x:c>
      <x:c r="G523" s="113" t="str">
        <x:v>경영학부</x:v>
      </x:c>
      <x:c r="H523" s="114" t="n">
        <x:v>0</x:v>
      </x:c>
      <x:c r="I523" s="114" t="n">
        <x:v>11</x:v>
      </x:c>
      <x:c r="J523" s="114" t="n">
        <x:v>11</x:v>
      </x:c>
      <x:c r="K523" s="115" t="n">
        <x:v>6</x:v>
      </x:c>
      <x:c r="L523" s="114" t="n">
        <x:v>22</x:v>
      </x:c>
      <x:c r="M523" s="115"/>
      <x:c r="N523" s="115" t="n">
        <x:v>645</x:v>
      </x:c>
      <x:c r="O523" s="115" t="n">
        <x:v>1000</x:v>
      </x:c>
      <x:c r="P523" s="115" t="n">
        <x:v>51</x:v>
      </x:c>
      <x:c r="Q523" s="115" t="n">
        <x:v>57</x:v>
      </x:c>
      <x:c r="R523" s="115" t="n">
        <x:v>50</x:v>
      </x:c>
      <x:c r="S523" s="115" t="n">
        <x:v>55</x:v>
      </x:c>
      <x:c r="T523" s="114" t="n">
        <x:v>3</x:v>
      </x:c>
      <x:c r="U523" s="114"/>
      <x:c r="V523" s="115"/>
      <x:c r="W523" s="115" t="n">
        <x:v>53.25</x:v>
      </x:c>
      <x:c r="X523" s="115" t="n">
        <x:v>53.25</x:v>
      </x:c>
      <x:c r="Y523" s="115" t="str">
        <x:v>파생 단순평균(참고)</x:v>
      </x:c>
      <x:c r="Z523" s="114" t="n">
        <x:v>80</x:v>
      </x:c>
      <x:c r="AA523" s="115" t="n">
        <x:v>26.75</x:v>
      </x:c>
      <x:c r="AB523" s="112" t="str">
        <x:v>안정</x:v>
      </x:c>
      <x:c r="AC523" s="115" t="n">
        <x:v>70</x:v>
      </x:c>
      <x:c r="AD523" s="115" t="n">
        <x:v>30</x:v>
      </x:c>
      <x:c r="AE523" s="115" t="n">
        <x:v>0</x:v>
      </x:c>
      <x:c r="AF523" s="113" t="str">
        <x:v>B: 공식 2025학년도 정시 과목별 70% 백분위 → 단순평균 파생</x:v>
      </x:c>
      <x:c r="AG523" s="112" t="str">
        <x:v>https://www.adiga.kr/ucp/uvt/uni/univDetailSelection.do?menuId=PCUVTINF2000&amp;searchSyr=2026&amp;unvCd=0000011</x:v>
      </x:c>
    </x:row>
    <x:row r="524">
      <x:c r="A524" s="114" t="n">
        <x:v>2025</x:v>
      </x:c>
      <x:c r="B524" s="112" t="str">
        <x:v>전라남도</x:v>
      </x:c>
      <x:c r="C524" s="112" t="str">
        <x:v>국립</x:v>
      </x:c>
      <x:c r="D524" s="112" t="str">
        <x:v>국립목포대학교</x:v>
      </x:c>
      <x:c r="E524" s="112" t="str">
        <x:v>다</x:v>
      </x:c>
      <x:c r="F524" s="112" t="str">
        <x:v>수능위주(일반전형)</x:v>
      </x:c>
      <x:c r="G524" s="113" t="str">
        <x:v>경제무역학부</x:v>
      </x:c>
      <x:c r="H524" s="114" t="n">
        <x:v>0</x:v>
      </x:c>
      <x:c r="I524" s="114" t="n">
        <x:v>11</x:v>
      </x:c>
      <x:c r="J524" s="114" t="n">
        <x:v>11</x:v>
      </x:c>
      <x:c r="K524" s="115" t="n">
        <x:v>3.82</x:v>
      </x:c>
      <x:c r="L524" s="114" t="n">
        <x:v>12</x:v>
      </x:c>
      <x:c r="M524" s="115"/>
      <x:c r="N524" s="115" t="n">
        <x:v>655</x:v>
      </x:c>
      <x:c r="O524" s="115" t="n">
        <x:v>1000</x:v>
      </x:c>
      <x:c r="P524" s="115" t="n">
        <x:v>49</x:v>
      </x:c>
      <x:c r="Q524" s="115" t="n">
        <x:v>21</x:v>
      </x:c>
      <x:c r="R524" s="115" t="n">
        <x:v>63</x:v>
      </x:c>
      <x:c r="S524" s="115" t="n">
        <x:v>46</x:v>
      </x:c>
      <x:c r="T524" s="114" t="n">
        <x:v>3</x:v>
      </x:c>
      <x:c r="U524" s="114"/>
      <x:c r="V524" s="115"/>
      <x:c r="W524" s="115" t="n">
        <x:v>44.75</x:v>
      </x:c>
      <x:c r="X524" s="115" t="n">
        <x:v>44.75</x:v>
      </x:c>
      <x:c r="Y524" s="115" t="str">
        <x:v>파생 단순평균(참고)</x:v>
      </x:c>
      <x:c r="Z524" s="114" t="n">
        <x:v>80</x:v>
      </x:c>
      <x:c r="AA524" s="115" t="n">
        <x:v>35.25</x:v>
      </x:c>
      <x:c r="AB524" s="112" t="str">
        <x:v>안정</x:v>
      </x:c>
      <x:c r="AC524" s="115" t="n">
        <x:v>100</x:v>
      </x:c>
      <x:c r="AD524" s="115" t="n">
        <x:v>0</x:v>
      </x:c>
      <x:c r="AE524" s="115" t="n">
        <x:v>0</x:v>
      </x:c>
      <x:c r="AF524" s="113" t="str">
        <x:v>B: 공식 2025학년도 정시 과목별 70% 백분위 → 단순평균 파생</x:v>
      </x:c>
      <x:c r="AG524" s="112" t="str">
        <x:v>https://www.adiga.kr/ucp/uvt/uni/univDetailSelection.do?menuId=PCUVTINF2000&amp;searchSyr=2026&amp;unvCd=0000011</x:v>
      </x:c>
    </x:row>
    <x:row r="525">
      <x:c r="A525" s="114" t="n">
        <x:v>2025</x:v>
      </x:c>
      <x:c r="B525" s="112" t="str">
        <x:v>경상남도</x:v>
      </x:c>
      <x:c r="C525" s="112" t="str">
        <x:v>국립</x:v>
      </x:c>
      <x:c r="D525" s="112" t="str">
        <x:v>경상국립대학교</x:v>
      </x:c>
      <x:c r="E525" s="112" t="str">
        <x:v>가</x:v>
      </x:c>
      <x:c r="F525" s="112" t="str">
        <x:v>수능위주(일반전형)</x:v>
      </x:c>
      <x:c r="G525" s="113" t="str">
        <x:v>경제학부</x:v>
      </x:c>
      <x:c r="H525" s="114" t="n">
        <x:v>12</x:v>
      </x:c>
      <x:c r="I525" s="114" t="n">
        <x:v>3</x:v>
      </x:c>
      <x:c r="J525" s="114" t="n">
        <x:v>15</x:v>
      </x:c>
      <x:c r="K525" s="115" t="n">
        <x:v>5.73</x:v>
      </x:c>
      <x:c r="L525" s="114" t="n">
        <x:v>31</x:v>
      </x:c>
      <x:c r="M525" s="115"/>
      <x:c r="N525" s="115" t="n">
        <x:v>831.75</x:v>
      </x:c>
      <x:c r="O525" s="115" t="n">
        <x:v>1000</x:v>
      </x:c>
      <x:c r="P525" s="115" t="n">
        <x:v>65</x:v>
      </x:c>
      <x:c r="Q525" s="115" t="n">
        <x:v>76</x:v>
      </x:c>
      <x:c r="R525" s="115" t="n">
        <x:v>72</x:v>
      </x:c>
      <x:c r="S525" s="115" t="n">
        <x:v>85</x:v>
      </x:c>
      <x:c r="T525" s="114" t="n">
        <x:v>5</x:v>
      </x:c>
      <x:c r="U525" s="114"/>
      <x:c r="V525" s="115"/>
      <x:c r="W525" s="115" t="n">
        <x:v>74.5</x:v>
      </x:c>
      <x:c r="X525" s="115" t="n">
        <x:v>74.5</x:v>
      </x:c>
      <x:c r="Y525" s="115" t="str">
        <x:v>파생 단순평균(참고)</x:v>
      </x:c>
      <x:c r="Z525" s="114" t="n">
        <x:v>80</x:v>
      </x:c>
      <x:c r="AA525" s="115" t="n">
        <x:v>5.5</x:v>
      </x:c>
      <x:c r="AB525" s="112" t="str">
        <x:v>안정</x:v>
      </x:c>
      <x:c r="AC525" s="115" t="n">
        <x:v>61.5</x:v>
      </x:c>
      <x:c r="AD525" s="115" t="n">
        <x:v>30.8</x:v>
      </x:c>
      <x:c r="AE525" s="115" t="n">
        <x:v>7.7</x:v>
      </x:c>
      <x:c r="AF525" s="113" t="str">
        <x:v>B: 공식 2025학년도 정시 일반전형 과목별 70% 백분위 → 단순평균 파생</x:v>
      </x:c>
      <x:c r="AG525" s="112" t="str">
        <x:v>https://www.adiga.kr/ucp/uvt/uni/univDetailSelection.do?menuId=PCUVTINF2000&amp;searchSyr=2026&amp;unvCd=0000007</x:v>
      </x:c>
    </x:row>
    <x:row r="526">
      <x:c r="A526" s="114" t="n">
        <x:v>2025</x:v>
      </x:c>
      <x:c r="B526" s="112" t="str">
        <x:v>경상남도</x:v>
      </x:c>
      <x:c r="C526" s="112" t="str">
        <x:v>국립</x:v>
      </x:c>
      <x:c r="D526" s="112" t="str">
        <x:v>경상국립대학교</x:v>
      </x:c>
      <x:c r="E526" s="112" t="str">
        <x:v>가</x:v>
      </x:c>
      <x:c r="F526" s="112" t="str">
        <x:v>수능위주(일반전형)</x:v>
      </x:c>
      <x:c r="G526" s="113" t="str">
        <x:v>사회복지학부</x:v>
      </x:c>
      <x:c r="H526" s="114" t="n">
        <x:v>9</x:v>
      </x:c>
      <x:c r="I526" s="114" t="n">
        <x:v>3</x:v>
      </x:c>
      <x:c r="J526" s="114" t="n">
        <x:v>12</x:v>
      </x:c>
      <x:c r="K526" s="115" t="n">
        <x:v>7.67</x:v>
      </x:c>
      <x:c r="L526" s="114" t="n">
        <x:v>16</x:v>
      </x:c>
      <x:c r="M526" s="115"/>
      <x:c r="N526" s="115" t="n">
        <x:v>814.63</x:v>
      </x:c>
      <x:c r="O526" s="115" t="n">
        <x:v>1000</x:v>
      </x:c>
      <x:c r="P526" s="115" t="n">
        <x:v>54</x:v>
      </x:c>
      <x:c r="Q526" s="115" t="n">
        <x:v>68</x:v>
      </x:c>
      <x:c r="R526" s="115" t="n">
        <x:v>64</x:v>
      </x:c>
      <x:c r="S526" s="115" t="n">
        <x:v>71</x:v>
      </x:c>
      <x:c r="T526" s="114" t="n">
        <x:v>4</x:v>
      </x:c>
      <x:c r="U526" s="114"/>
      <x:c r="V526" s="115"/>
      <x:c r="W526" s="115" t="n">
        <x:v>64.25</x:v>
      </x:c>
      <x:c r="X526" s="115" t="n">
        <x:v>64.25</x:v>
      </x:c>
      <x:c r="Y526" s="115" t="str">
        <x:v>파생 단순평균(참고)</x:v>
      </x:c>
      <x:c r="Z526" s="114" t="n">
        <x:v>80</x:v>
      </x:c>
      <x:c r="AA526" s="115" t="n">
        <x:v>15.75</x:v>
      </x:c>
      <x:c r="AB526" s="112" t="str">
        <x:v>안정</x:v>
      </x:c>
      <x:c r="AC526" s="115" t="n">
        <x:v>63.6</x:v>
      </x:c>
      <x:c r="AD526" s="115" t="n">
        <x:v>27.3</x:v>
      </x:c>
      <x:c r="AE526" s="115" t="n">
        <x:v>9.1</x:v>
      </x:c>
      <x:c r="AF526" s="113" t="str">
        <x:v>B: 공식 2025학년도 정시 일반전형 과목별 70% 백분위 → 단순평균 파생</x:v>
      </x:c>
      <x:c r="AG526" s="112" t="str">
        <x:v>https://www.adiga.kr/ucp/uvt/uni/univDetailSelection.do?menuId=PCUVTINF2000&amp;searchSyr=2026&amp;unvCd=0000007</x:v>
      </x:c>
    </x:row>
    <x:row r="527">
      <x:c r="A527" s="114" t="n">
        <x:v>2025</x:v>
      </x:c>
      <x:c r="B527" s="112" t="str">
        <x:v>경상남도</x:v>
      </x:c>
      <x:c r="C527" s="112" t="str">
        <x:v>국립</x:v>
      </x:c>
      <x:c r="D527" s="112" t="str">
        <x:v>경상국립대학교</x:v>
      </x:c>
      <x:c r="E527" s="112" t="str">
        <x:v>가</x:v>
      </x:c>
      <x:c r="F527" s="112" t="str">
        <x:v>수능위주(일반전형)</x:v>
      </x:c>
      <x:c r="G527" s="113" t="str">
        <x:v>사회학과</x:v>
      </x:c>
      <x:c r="H527" s="114" t="n">
        <x:v>7</x:v>
      </x:c>
      <x:c r="I527" s="114" t="n">
        <x:v>2</x:v>
      </x:c>
      <x:c r="J527" s="114" t="n">
        <x:v>9</x:v>
      </x:c>
      <x:c r="K527" s="115" t="n">
        <x:v>5.78</x:v>
      </x:c>
      <x:c r="L527" s="114" t="n">
        <x:v>11</x:v>
      </x:c>
      <x:c r="M527" s="115"/>
      <x:c r="N527" s="115" t="n">
        <x:v>817.25</x:v>
      </x:c>
      <x:c r="O527" s="115" t="n">
        <x:v>1000</x:v>
      </x:c>
      <x:c r="P527" s="115" t="n">
        <x:v>47</x:v>
      </x:c>
      <x:c r="Q527" s="115" t="n">
        <x:v>57</x:v>
      </x:c>
      <x:c r="R527" s="115" t="n">
        <x:v>80</x:v>
      </x:c>
      <x:c r="S527" s="115" t="n">
        <x:v>98</x:v>
      </x:c>
      <x:c r="T527" s="114" t="n">
        <x:v>4</x:v>
      </x:c>
      <x:c r="U527" s="114"/>
      <x:c r="V527" s="115"/>
      <x:c r="W527" s="115" t="n">
        <x:v>70.5</x:v>
      </x:c>
      <x:c r="X527" s="115" t="n">
        <x:v>70.5</x:v>
      </x:c>
      <x:c r="Y527" s="115" t="str">
        <x:v>파생 단순평균(참고)</x:v>
      </x:c>
      <x:c r="Z527" s="114" t="n">
        <x:v>80</x:v>
      </x:c>
      <x:c r="AA527" s="115" t="n">
        <x:v>9.5</x:v>
      </x:c>
      <x:c r="AB527" s="112" t="str">
        <x:v>안정</x:v>
      </x:c>
      <x:c r="AC527" s="115" t="n">
        <x:v>100</x:v>
      </x:c>
      <x:c r="AD527" s="115" t="n">
        <x:v>0</x:v>
      </x:c>
      <x:c r="AE527" s="115" t="n">
        <x:v>0</x:v>
      </x:c>
      <x:c r="AF527" s="113" t="str">
        <x:v>B: 공식 2025학년도 정시 일반전형 과목별 70% 백분위 → 단순평균 파생</x:v>
      </x:c>
      <x:c r="AG527" s="112" t="str">
        <x:v>https://www.adiga.kr/ucp/uvt/uni/univDetailSelection.do?menuId=PCUVTINF2000&amp;searchSyr=2026&amp;unvCd=0000007</x:v>
      </x:c>
    </x:row>
    <x:row r="528">
      <x:c r="A528" s="114" t="n">
        <x:v>2025</x:v>
      </x:c>
      <x:c r="B528" s="112" t="str">
        <x:v>경상남도</x:v>
      </x:c>
      <x:c r="C528" s="112" t="str">
        <x:v>국립</x:v>
      </x:c>
      <x:c r="D528" s="112" t="str">
        <x:v>경상국립대학교</x:v>
      </x:c>
      <x:c r="E528" s="112" t="str">
        <x:v>가</x:v>
      </x:c>
      <x:c r="F528" s="112" t="str">
        <x:v>수능위주(일반전형)</x:v>
      </x:c>
      <x:c r="G528" s="113" t="str">
        <x:v>심리학과</x:v>
      </x:c>
      <x:c r="H528" s="114" t="n">
        <x:v>10</x:v>
      </x:c>
      <x:c r="I528" s="114" t="n">
        <x:v>1</x:v>
      </x:c>
      <x:c r="J528" s="114" t="n">
        <x:v>11</x:v>
      </x:c>
      <x:c r="K528" s="115" t="n">
        <x:v>4.36</x:v>
      </x:c>
      <x:c r="L528" s="114" t="n">
        <x:v>5</x:v>
      </x:c>
      <x:c r="M528" s="115"/>
      <x:c r="N528" s="115" t="n">
        <x:v>825.77</x:v>
      </x:c>
      <x:c r="O528" s="115" t="n">
        <x:v>1000</x:v>
      </x:c>
      <x:c r="P528" s="115" t="n">
        <x:v>72</x:v>
      </x:c>
      <x:c r="Q528" s="115" t="n">
        <x:v>52</x:v>
      </x:c>
      <x:c r="R528" s="115" t="n">
        <x:v>66</x:v>
      </x:c>
      <x:c r="S528" s="115" t="n">
        <x:v>81</x:v>
      </x:c>
      <x:c r="T528" s="114" t="n">
        <x:v>4</x:v>
      </x:c>
      <x:c r="U528" s="114"/>
      <x:c r="V528" s="115"/>
      <x:c r="W528" s="115" t="n">
        <x:v>67.75</x:v>
      </x:c>
      <x:c r="X528" s="115" t="n">
        <x:v>67.75</x:v>
      </x:c>
      <x:c r="Y528" s="115" t="str">
        <x:v>파생 단순평균(참고)</x:v>
      </x:c>
      <x:c r="Z528" s="114" t="n">
        <x:v>80</x:v>
      </x:c>
      <x:c r="AA528" s="115" t="n">
        <x:v>12.25</x:v>
      </x:c>
      <x:c r="AB528" s="112" t="str">
        <x:v>안정</x:v>
      </x:c>
      <x:c r="AC528" s="115" t="n">
        <x:v>60</x:v>
      </x:c>
      <x:c r="AD528" s="115" t="n">
        <x:v>20</x:v>
      </x:c>
      <x:c r="AE528" s="115" t="n">
        <x:v>20</x:v>
      </x:c>
      <x:c r="AF528" s="113" t="str">
        <x:v>B: 공식 2025학년도 정시 일반전형 과목별 70% 백분위 → 단순평균 파생</x:v>
      </x:c>
      <x:c r="AG528" s="112" t="str">
        <x:v>https://www.adiga.kr/ucp/uvt/uni/univDetailSelection.do?menuId=PCUVTINF2000&amp;searchSyr=2026&amp;unvCd=0000007</x:v>
      </x:c>
    </x:row>
    <x:row r="529">
      <x:c r="A529" s="114" t="n">
        <x:v>2025</x:v>
      </x:c>
      <x:c r="B529" s="112" t="str">
        <x:v>경상남도</x:v>
      </x:c>
      <x:c r="C529" s="112" t="str">
        <x:v>국립</x:v>
      </x:c>
      <x:c r="D529" s="112" t="str">
        <x:v>경상국립대학교</x:v>
      </x:c>
      <x:c r="E529" s="112" t="str">
        <x:v>가</x:v>
      </x:c>
      <x:c r="F529" s="112" t="str">
        <x:v>수능위주(일반전형)</x:v>
      </x:c>
      <x:c r="G529" s="113" t="str">
        <x:v>정치외교학과</x:v>
      </x:c>
      <x:c r="H529" s="114" t="n">
        <x:v>4</x:v>
      </x:c>
      <x:c r="I529" s="114" t="n">
        <x:v>1</x:v>
      </x:c>
      <x:c r="J529" s="114" t="n">
        <x:v>5</x:v>
      </x:c>
      <x:c r="K529" s="115" t="n">
        <x:v>8.4</x:v>
      </x:c>
      <x:c r="L529" s="114" t="n">
        <x:v>7</x:v>
      </x:c>
      <x:c r="M529" s="115"/>
      <x:c r="N529" s="115" t="n">
        <x:v>811.63</x:v>
      </x:c>
      <x:c r="O529" s="115" t="n">
        <x:v>1000</x:v>
      </x:c>
      <x:c r="P529" s="115" t="n">
        <x:v>61</x:v>
      </x:c>
      <x:c r="Q529" s="115" t="n">
        <x:v>52</x:v>
      </x:c>
      <x:c r="R529" s="115" t="n">
        <x:v>72</x:v>
      </x:c>
      <x:c r="S529" s="115" t="n">
        <x:v>69</x:v>
      </x:c>
      <x:c r="T529" s="114" t="n">
        <x:v>3</x:v>
      </x:c>
      <x:c r="U529" s="114"/>
      <x:c r="V529" s="115"/>
      <x:c r="W529" s="115" t="n">
        <x:v>63.5</x:v>
      </x:c>
      <x:c r="X529" s="115" t="n">
        <x:v>63.5</x:v>
      </x:c>
      <x:c r="Y529" s="115" t="str">
        <x:v>파생 단순평균(참고)</x:v>
      </x:c>
      <x:c r="Z529" s="114" t="n">
        <x:v>80</x:v>
      </x:c>
      <x:c r="AA529" s="115" t="n">
        <x:v>16.5</x:v>
      </x:c>
      <x:c r="AB529" s="112" t="str">
        <x:v>안정</x:v>
      </x:c>
      <x:c r="AC529" s="115" t="n">
        <x:v>80</x:v>
      </x:c>
      <x:c r="AD529" s="115" t="n">
        <x:v>20</x:v>
      </x:c>
      <x:c r="AE529" s="115" t="n">
        <x:v>0</x:v>
      </x:c>
      <x:c r="AF529" s="113" t="str">
        <x:v>B: 공식 2025학년도 정시 일반전형 과목별 70% 백분위 → 단순평균 파생</x:v>
      </x:c>
      <x:c r="AG529" s="112" t="str">
        <x:v>https://www.adiga.kr/ucp/uvt/uni/univDetailSelection.do?menuId=PCUVTINF2000&amp;searchSyr=2026&amp;unvCd=0000007</x:v>
      </x:c>
    </x:row>
    <x:row r="530">
      <x:c r="A530" s="114" t="n">
        <x:v>2025</x:v>
      </x:c>
      <x:c r="B530" s="112" t="str">
        <x:v>경상남도</x:v>
      </x:c>
      <x:c r="C530" s="112" t="str">
        <x:v>국립</x:v>
      </x:c>
      <x:c r="D530" s="112" t="str">
        <x:v>경상국립대학교</x:v>
      </x:c>
      <x:c r="E530" s="112" t="str">
        <x:v>가</x:v>
      </x:c>
      <x:c r="F530" s="112" t="str">
        <x:v>수능위주(일반전형)</x:v>
      </x:c>
      <x:c r="G530" s="113" t="str">
        <x:v>행정학과</x:v>
      </x:c>
      <x:c r="H530" s="114" t="n">
        <x:v>12</x:v>
      </x:c>
      <x:c r="I530" s="114" t="n">
        <x:v>4</x:v>
      </x:c>
      <x:c r="J530" s="114" t="n">
        <x:v>16</x:v>
      </x:c>
      <x:c r="K530" s="115" t="n">
        <x:v>9.06</x:v>
      </x:c>
      <x:c r="L530" s="114" t="n">
        <x:v>20</x:v>
      </x:c>
      <x:c r="M530" s="115"/>
      <x:c r="N530" s="115" t="n">
        <x:v>817.61</x:v>
      </x:c>
      <x:c r="O530" s="115" t="n">
        <x:v>1000</x:v>
      </x:c>
      <x:c r="P530" s="115" t="n">
        <x:v>58</x:v>
      </x:c>
      <x:c r="Q530" s="115" t="n">
        <x:v>74</x:v>
      </x:c>
      <x:c r="R530" s="115" t="n">
        <x:v>56</x:v>
      </x:c>
      <x:c r="S530" s="115" t="n">
        <x:v>78</x:v>
      </x:c>
      <x:c r="T530" s="114" t="n">
        <x:v>4</x:v>
      </x:c>
      <x:c r="U530" s="114"/>
      <x:c r="V530" s="115"/>
      <x:c r="W530" s="115" t="n">
        <x:v>66.5</x:v>
      </x:c>
      <x:c r="X530" s="115" t="n">
        <x:v>66.5</x:v>
      </x:c>
      <x:c r="Y530" s="115" t="str">
        <x:v>파생 단순평균(참고)</x:v>
      </x:c>
      <x:c r="Z530" s="114" t="n">
        <x:v>80</x:v>
      </x:c>
      <x:c r="AA530" s="115" t="n">
        <x:v>13.5</x:v>
      </x:c>
      <x:c r="AB530" s="112" t="str">
        <x:v>안정</x:v>
      </x:c>
      <x:c r="AC530" s="115" t="n">
        <x:v>80</x:v>
      </x:c>
      <x:c r="AD530" s="115" t="n">
        <x:v>20</x:v>
      </x:c>
      <x:c r="AE530" s="115" t="n">
        <x:v>0</x:v>
      </x:c>
      <x:c r="AF530" s="113" t="str">
        <x:v>B: 공식 2025학년도 정시 일반전형 과목별 70% 백분위 → 단순평균 파생</x:v>
      </x:c>
      <x:c r="AG530" s="112" t="str">
        <x:v>https://www.adiga.kr/ucp/uvt/uni/univDetailSelection.do?menuId=PCUVTINF2000&amp;searchSyr=2026&amp;unvCd=0000007</x:v>
      </x:c>
    </x:row>
    <x:row r="531">
      <x:c r="A531" s="114" t="n">
        <x:v>2025</x:v>
      </x:c>
      <x:c r="B531" s="112" t="str">
        <x:v>경상남도</x:v>
      </x:c>
      <x:c r="C531" s="112" t="str">
        <x:v>국립</x:v>
      </x:c>
      <x:c r="D531" s="112" t="str">
        <x:v>경상국립대학교</x:v>
      </x:c>
      <x:c r="E531" s="112" t="str">
        <x:v>가</x:v>
      </x:c>
      <x:c r="F531" s="112" t="str">
        <x:v>수능위주(일반전형)</x:v>
      </x:c>
      <x:c r="G531" s="113" t="str">
        <x:v>아동가족학과</x:v>
      </x:c>
      <x:c r="H531" s="114" t="n">
        <x:v>6</x:v>
      </x:c>
      <x:c r="I531" s="114" t="n">
        <x:v>2</x:v>
      </x:c>
      <x:c r="J531" s="114" t="n">
        <x:v>8</x:v>
      </x:c>
      <x:c r="K531" s="115" t="n">
        <x:v>7.13</x:v>
      </x:c>
      <x:c r="L531" s="114" t="n">
        <x:v>12</x:v>
      </x:c>
      <x:c r="M531" s="115"/>
      <x:c r="N531" s="115" t="n">
        <x:v>799.84</x:v>
      </x:c>
      <x:c r="O531" s="115" t="n">
        <x:v>1000</x:v>
      </x:c>
      <x:c r="P531" s="115" t="n">
        <x:v>63</x:v>
      </x:c>
      <x:c r="Q531" s="115" t="n">
        <x:v>52</x:v>
      </x:c>
      <x:c r="R531" s="115" t="n">
        <x:v>59</x:v>
      </x:c>
      <x:c r="S531" s="115" t="n">
        <x:v>78</x:v>
      </x:c>
      <x:c r="T531" s="114" t="n">
        <x:v>5</x:v>
      </x:c>
      <x:c r="U531" s="114"/>
      <x:c r="V531" s="115"/>
      <x:c r="W531" s="115" t="n">
        <x:v>63</x:v>
      </x:c>
      <x:c r="X531" s="115" t="n">
        <x:v>63</x:v>
      </x:c>
      <x:c r="Y531" s="115" t="str">
        <x:v>파생 단순평균(참고)</x:v>
      </x:c>
      <x:c r="Z531" s="114" t="n">
        <x:v>80</x:v>
      </x:c>
      <x:c r="AA531" s="115" t="n">
        <x:v>17</x:v>
      </x:c>
      <x:c r="AB531" s="112" t="str">
        <x:v>안정</x:v>
      </x:c>
      <x:c r="AC531" s="115" t="n">
        <x:v>62.5</x:v>
      </x:c>
      <x:c r="AD531" s="115" t="n">
        <x:v>37.5</x:v>
      </x:c>
      <x:c r="AE531" s="115" t="n">
        <x:v>0</x:v>
      </x:c>
      <x:c r="AF531" s="113" t="str">
        <x:v>B: 공식 2025학년도 정시 일반전형 과목별 70% 백분위 → 단순평균 파생</x:v>
      </x:c>
      <x:c r="AG531" s="112" t="str">
        <x:v>https://www.adiga.kr/ucp/uvt/uni/univDetailSelection.do?menuId=PCUVTINF2000&amp;searchSyr=2026&amp;unvCd=0000007</x:v>
      </x:c>
    </x:row>
    <x:row r="532">
      <x:c r="A532" s="114" t="n">
        <x:v>2025</x:v>
      </x:c>
      <x:c r="B532" s="112" t="str">
        <x:v>경상남도</x:v>
      </x:c>
      <x:c r="C532" s="112" t="str">
        <x:v>국립</x:v>
      </x:c>
      <x:c r="D532" s="112" t="str">
        <x:v>경상국립대학교</x:v>
      </x:c>
      <x:c r="E532" s="112" t="str">
        <x:v>가</x:v>
      </x:c>
      <x:c r="F532" s="112" t="str">
        <x:v>수능위주(일반전형)</x:v>
      </x:c>
      <x:c r="G532" s="113" t="str">
        <x:v>미디어커뮤니케이션학과</x:v>
      </x:c>
      <x:c r="H532" s="114" t="n">
        <x:v>6</x:v>
      </x:c>
      <x:c r="I532" s="114" t="n">
        <x:v>2</x:v>
      </x:c>
      <x:c r="J532" s="114" t="n">
        <x:v>8</x:v>
      </x:c>
      <x:c r="K532" s="115" t="n">
        <x:v>5.38</x:v>
      </x:c>
      <x:c r="L532" s="114" t="n">
        <x:v>8</x:v>
      </x:c>
      <x:c r="M532" s="115"/>
      <x:c r="N532" s="115" t="n">
        <x:v>831.03</x:v>
      </x:c>
      <x:c r="O532" s="115" t="n">
        <x:v>1000</x:v>
      </x:c>
      <x:c r="P532" s="115" t="n">
        <x:v>58</x:v>
      </x:c>
      <x:c r="Q532" s="115" t="n">
        <x:v>59</x:v>
      </x:c>
      <x:c r="R532" s="115" t="n">
        <x:v>67</x:v>
      </x:c>
      <x:c r="S532" s="115" t="n">
        <x:v>78</x:v>
      </x:c>
      <x:c r="T532" s="114" t="n">
        <x:v>2</x:v>
      </x:c>
      <x:c r="U532" s="114"/>
      <x:c r="V532" s="115"/>
      <x:c r="W532" s="115" t="n">
        <x:v>65.5</x:v>
      </x:c>
      <x:c r="X532" s="115" t="n">
        <x:v>65.5</x:v>
      </x:c>
      <x:c r="Y532" s="115" t="str">
        <x:v>파생 단순평균(참고)</x:v>
      </x:c>
      <x:c r="Z532" s="114" t="n">
        <x:v>80</x:v>
      </x:c>
      <x:c r="AA532" s="115" t="n">
        <x:v>14.5</x:v>
      </x:c>
      <x:c r="AB532" s="112" t="str">
        <x:v>안정</x:v>
      </x:c>
      <x:c r="AC532" s="115" t="n">
        <x:v>75</x:v>
      </x:c>
      <x:c r="AD532" s="115" t="n">
        <x:v>25</x:v>
      </x:c>
      <x:c r="AE532" s="115" t="n">
        <x:v>0</x:v>
      </x:c>
      <x:c r="AF532" s="113" t="str">
        <x:v>B: 공식 2025학년도 정시 일반전형 과목별 70% 백분위 → 단순평균 파생</x:v>
      </x:c>
      <x:c r="AG532" s="112" t="str">
        <x:v>https://www.adiga.kr/ucp/uvt/uni/univDetailSelection.do?menuId=PCUVTINF2000&amp;searchSyr=2026&amp;unvCd=0000007</x:v>
      </x:c>
    </x:row>
    <x:row r="533">
      <x:c r="A533" s="114" t="n">
        <x:v>2025</x:v>
      </x:c>
      <x:c r="B533" s="112" t="str">
        <x:v>경상남도</x:v>
      </x:c>
      <x:c r="C533" s="112" t="str">
        <x:v>국립</x:v>
      </x:c>
      <x:c r="D533" s="112" t="str">
        <x:v>경상국립대학교</x:v>
      </x:c>
      <x:c r="E533" s="112" t="str">
        <x:v>가</x:v>
      </x:c>
      <x:c r="F533" s="112" t="str">
        <x:v>수능위주(일반전형)</x:v>
      </x:c>
      <x:c r="G533" s="113" t="str">
        <x:v>법학부</x:v>
      </x:c>
      <x:c r="H533" s="114" t="n">
        <x:v>20</x:v>
      </x:c>
      <x:c r="I533" s="114" t="n">
        <x:v>2</x:v>
      </x:c>
      <x:c r="J533" s="114" t="n">
        <x:v>22</x:v>
      </x:c>
      <x:c r="K533" s="115" t="n">
        <x:v>4.5</x:v>
      </x:c>
      <x:c r="L533" s="114" t="n">
        <x:v>19</x:v>
      </x:c>
      <x:c r="M533" s="115"/>
      <x:c r="N533" s="115" t="n">
        <x:v>827.74</x:v>
      </x:c>
      <x:c r="O533" s="115" t="n">
        <x:v>1000</x:v>
      </x:c>
      <x:c r="P533" s="115" t="n">
        <x:v>72</x:v>
      </x:c>
      <x:c r="Q533" s="115" t="n">
        <x:v>66</x:v>
      </x:c>
      <x:c r="R533" s="115" t="n">
        <x:v>58</x:v>
      </x:c>
      <x:c r="S533" s="115" t="n">
        <x:v>64</x:v>
      </x:c>
      <x:c r="T533" s="114" t="n">
        <x:v>4</x:v>
      </x:c>
      <x:c r="U533" s="114"/>
      <x:c r="V533" s="115"/>
      <x:c r="W533" s="115" t="n">
        <x:v>65</x:v>
      </x:c>
      <x:c r="X533" s="115" t="n">
        <x:v>65</x:v>
      </x:c>
      <x:c r="Y533" s="115" t="str">
        <x:v>파생 단순평균(참고)</x:v>
      </x:c>
      <x:c r="Z533" s="114" t="n">
        <x:v>80</x:v>
      </x:c>
      <x:c r="AA533" s="115" t="n">
        <x:v>15</x:v>
      </x:c>
      <x:c r="AB533" s="112" t="str">
        <x:v>안정</x:v>
      </x:c>
      <x:c r="AC533" s="115" t="n">
        <x:v>89.5</x:v>
      </x:c>
      <x:c r="AD533" s="115" t="n">
        <x:v>10.5</x:v>
      </x:c>
      <x:c r="AE533" s="115" t="n">
        <x:v>0</x:v>
      </x:c>
      <x:c r="AF533" s="113" t="str">
        <x:v>B: 공식 2025학년도 정시 일반전형 과목별 70% 백분위 → 단순평균 파생</x:v>
      </x:c>
      <x:c r="AG533" s="112" t="str">
        <x:v>https://www.adiga.kr/ucp/uvt/uni/univDetailSelection.do?menuId=PCUVTINF2000&amp;searchSyr=2026&amp;unvCd=0000007</x:v>
      </x:c>
    </x:row>
    <x:row r="534">
      <x:c r="A534" s="114" t="n">
        <x:v>2025</x:v>
      </x:c>
      <x:c r="B534" s="112" t="str">
        <x:v>경상남도</x:v>
      </x:c>
      <x:c r="C534" s="112" t="str">
        <x:v>국립</x:v>
      </x:c>
      <x:c r="D534" s="112" t="str">
        <x:v>경상국립대학교</x:v>
      </x:c>
      <x:c r="E534" s="112" t="str">
        <x:v>가</x:v>
      </x:c>
      <x:c r="F534" s="112" t="str">
        <x:v>수능위주(일반전형)</x:v>
      </x:c>
      <x:c r="G534" s="113" t="str">
        <x:v>교육학과</x:v>
      </x:c>
      <x:c r="H534" s="114" t="n">
        <x:v>5</x:v>
      </x:c>
      <x:c r="I534" s="114" t="n">
        <x:v>1</x:v>
      </x:c>
      <x:c r="J534" s="114" t="n">
        <x:v>6</x:v>
      </x:c>
      <x:c r="K534" s="115" t="n">
        <x:v>3.83</x:v>
      </x:c>
      <x:c r="L534" s="114" t="n">
        <x:v>5</x:v>
      </x:c>
      <x:c r="M534" s="115"/>
      <x:c r="N534" s="115" t="n">
        <x:v>829.94</x:v>
      </x:c>
      <x:c r="O534" s="115" t="n">
        <x:v>1000</x:v>
      </x:c>
      <x:c r="P534" s="115" t="n">
        <x:v>52</x:v>
      </x:c>
      <x:c r="Q534" s="115" t="n">
        <x:v>78</x:v>
      </x:c>
      <x:c r="R534" s="115" t="n">
        <x:v>90</x:v>
      </x:c>
      <x:c r="S534" s="115" t="n">
        <x:v>77</x:v>
      </x:c>
      <x:c r="T534" s="114" t="n">
        <x:v>3</x:v>
      </x:c>
      <x:c r="U534" s="114"/>
      <x:c r="V534" s="115"/>
      <x:c r="W534" s="115" t="n">
        <x:v>74.25</x:v>
      </x:c>
      <x:c r="X534" s="115" t="n">
        <x:v>74.25</x:v>
      </x:c>
      <x:c r="Y534" s="115" t="str">
        <x:v>파생 단순평균(참고)</x:v>
      </x:c>
      <x:c r="Z534" s="114" t="n">
        <x:v>80</x:v>
      </x:c>
      <x:c r="AA534" s="115" t="n">
        <x:v>5.75</x:v>
      </x:c>
      <x:c r="AB534" s="112" t="str">
        <x:v>안정</x:v>
      </x:c>
      <x:c r="AC534" s="115" t="n">
        <x:v>83.3</x:v>
      </x:c>
      <x:c r="AD534" s="115" t="n">
        <x:v>16.7</x:v>
      </x:c>
      <x:c r="AE534" s="115" t="n">
        <x:v>0</x:v>
      </x:c>
      <x:c r="AF534" s="113" t="str">
        <x:v>B: 공식 2025학년도 정시 일반전형 과목별 70% 백분위 → 단순평균 파생</x:v>
      </x:c>
      <x:c r="AG534" s="112" t="str">
        <x:v>https://www.adiga.kr/ucp/uvt/uni/univDetailSelection.do?menuId=PCUVTINF2000&amp;searchSyr=2026&amp;unvCd=0000007</x:v>
      </x:c>
    </x:row>
    <x:row r="535">
      <x:c r="A535" s="114" t="n">
        <x:v>2025</x:v>
      </x:c>
      <x:c r="B535" s="112" t="str">
        <x:v>경상남도</x:v>
      </x:c>
      <x:c r="C535" s="112" t="str">
        <x:v>국립</x:v>
      </x:c>
      <x:c r="D535" s="112" t="str">
        <x:v>경상국립대학교</x:v>
      </x:c>
      <x:c r="E535" s="112" t="str">
        <x:v>가</x:v>
      </x:c>
      <x:c r="F535" s="112" t="str">
        <x:v>수능위주(일반전형)</x:v>
      </x:c>
      <x:c r="G535" s="113" t="str">
        <x:v>국어교육과</x:v>
      </x:c>
      <x:c r="H535" s="114" t="n">
        <x:v>10</x:v>
      </x:c>
      <x:c r="I535" s="114" t="n">
        <x:v>1</x:v>
      </x:c>
      <x:c r="J535" s="114" t="n">
        <x:v>11</x:v>
      </x:c>
      <x:c r="K535" s="115" t="n">
        <x:v>5.36</x:v>
      </x:c>
      <x:c r="L535" s="114" t="n">
        <x:v>8</x:v>
      </x:c>
      <x:c r="M535" s="115"/>
      <x:c r="N535" s="115" t="n">
        <x:v>846.17</x:v>
      </x:c>
      <x:c r="O535" s="115" t="n">
        <x:v>1000</x:v>
      </x:c>
      <x:c r="P535" s="115" t="n">
        <x:v>94</x:v>
      </x:c>
      <x:c r="Q535" s="115" t="n">
        <x:v>47</x:v>
      </x:c>
      <x:c r="R535" s="115" t="n">
        <x:v>77</x:v>
      </x:c>
      <x:c r="S535" s="115" t="n">
        <x:v>59</x:v>
      </x:c>
      <x:c r="T535" s="114" t="n">
        <x:v>3</x:v>
      </x:c>
      <x:c r="U535" s="114"/>
      <x:c r="V535" s="115"/>
      <x:c r="W535" s="115" t="n">
        <x:v>69.25</x:v>
      </x:c>
      <x:c r="X535" s="115" t="n">
        <x:v>69.25</x:v>
      </x:c>
      <x:c r="Y535" s="115" t="str">
        <x:v>파생 단순평균(참고)</x:v>
      </x:c>
      <x:c r="Z535" s="114" t="n">
        <x:v>80</x:v>
      </x:c>
      <x:c r="AA535" s="115" t="n">
        <x:v>10.75</x:v>
      </x:c>
      <x:c r="AB535" s="112" t="str">
        <x:v>안정</x:v>
      </x:c>
      <x:c r="AC535" s="115" t="n">
        <x:v>72.7</x:v>
      </x:c>
      <x:c r="AD535" s="115" t="n">
        <x:v>18.2</x:v>
      </x:c>
      <x:c r="AE535" s="115" t="n">
        <x:v>9.1</x:v>
      </x:c>
      <x:c r="AF535" s="113" t="str">
        <x:v>B: 공식 2025학년도 정시 일반전형 과목별 70% 백분위 → 단순평균 파생</x:v>
      </x:c>
      <x:c r="AG535" s="112" t="str">
        <x:v>https://www.adiga.kr/ucp/uvt/uni/univDetailSelection.do?menuId=PCUVTINF2000&amp;searchSyr=2026&amp;unvCd=0000007</x:v>
      </x:c>
    </x:row>
    <x:row r="536">
      <x:c r="A536" s="114" t="n">
        <x:v>2025</x:v>
      </x:c>
      <x:c r="B536" s="112" t="str">
        <x:v>경상남도</x:v>
      </x:c>
      <x:c r="C536" s="112" t="str">
        <x:v>국립</x:v>
      </x:c>
      <x:c r="D536" s="112" t="str">
        <x:v>경상국립대학교</x:v>
      </x:c>
      <x:c r="E536" s="112" t="str">
        <x:v>가</x:v>
      </x:c>
      <x:c r="F536" s="112" t="str">
        <x:v>수능위주(일반전형)</x:v>
      </x:c>
      <x:c r="G536" s="113" t="str">
        <x:v>역사교육과</x:v>
      </x:c>
      <x:c r="H536" s="114" t="n">
        <x:v>8</x:v>
      </x:c>
      <x:c r="I536" s="114" t="n">
        <x:v>0</x:v>
      </x:c>
      <x:c r="J536" s="114" t="n">
        <x:v>8</x:v>
      </x:c>
      <x:c r="K536" s="115" t="n">
        <x:v>4.63</x:v>
      </x:c>
      <x:c r="L536" s="114" t="n">
        <x:v>5</x:v>
      </x:c>
      <x:c r="M536" s="115"/>
      <x:c r="N536" s="115" t="n">
        <x:v>839.14</x:v>
      </x:c>
      <x:c r="O536" s="115" t="n">
        <x:v>1000</x:v>
      </x:c>
      <x:c r="P536" s="115" t="n">
        <x:v>70</x:v>
      </x:c>
      <x:c r="Q536" s="115" t="n">
        <x:v>57</x:v>
      </x:c>
      <x:c r="R536" s="115" t="n">
        <x:v>66</x:v>
      </x:c>
      <x:c r="S536" s="115" t="n">
        <x:v>80</x:v>
      </x:c>
      <x:c r="T536" s="114" t="n">
        <x:v>5</x:v>
      </x:c>
      <x:c r="U536" s="114"/>
      <x:c r="V536" s="115"/>
      <x:c r="W536" s="115" t="n">
        <x:v>68.25</x:v>
      </x:c>
      <x:c r="X536" s="115" t="n">
        <x:v>68.25</x:v>
      </x:c>
      <x:c r="Y536" s="115" t="str">
        <x:v>파생 단순평균(참고)</x:v>
      </x:c>
      <x:c r="Z536" s="114" t="n">
        <x:v>80</x:v>
      </x:c>
      <x:c r="AA536" s="115" t="n">
        <x:v>11.75</x:v>
      </x:c>
      <x:c r="AB536" s="112" t="str">
        <x:v>안정</x:v>
      </x:c>
      <x:c r="AC536" s="115" t="n">
        <x:v>87.5</x:v>
      </x:c>
      <x:c r="AD536" s="115" t="n">
        <x:v>0</x:v>
      </x:c>
      <x:c r="AE536" s="115" t="n">
        <x:v>12.5</x:v>
      </x:c>
      <x:c r="AF536" s="113" t="str">
        <x:v>B: 공식 2025학년도 정시 일반전형 과목별 70% 백분위 → 단순평균 파생</x:v>
      </x:c>
      <x:c r="AG536" s="112" t="str">
        <x:v>https://www.adiga.kr/ucp/uvt/uni/univDetailSelection.do?menuId=PCUVTINF2000&amp;searchSyr=2026&amp;unvCd=0000007</x:v>
      </x:c>
    </x:row>
    <x:row r="537">
      <x:c r="A537" s="114" t="n">
        <x:v>2025</x:v>
      </x:c>
      <x:c r="B537" s="112" t="str">
        <x:v>경상남도</x:v>
      </x:c>
      <x:c r="C537" s="112" t="str">
        <x:v>국립</x:v>
      </x:c>
      <x:c r="D537" s="112" t="str">
        <x:v>경상국립대학교</x:v>
      </x:c>
      <x:c r="E537" s="112" t="str">
        <x:v>가</x:v>
      </x:c>
      <x:c r="F537" s="112" t="str">
        <x:v>수능위주(일반전형)</x:v>
      </x:c>
      <x:c r="G537" s="113" t="str">
        <x:v>영어교육과</x:v>
      </x:c>
      <x:c r="H537" s="114" t="n">
        <x:v>7</x:v>
      </x:c>
      <x:c r="I537" s="114" t="n">
        <x:v>4</x:v>
      </x:c>
      <x:c r="J537" s="114" t="n">
        <x:v>11</x:v>
      </x:c>
      <x:c r="K537" s="115" t="n">
        <x:v>4.36</x:v>
      </x:c>
      <x:c r="L537" s="114" t="n">
        <x:v>15</x:v>
      </x:c>
      <x:c r="M537" s="115"/>
      <x:c r="N537" s="115" t="n">
        <x:v>831.76</x:v>
      </x:c>
      <x:c r="O537" s="115" t="n">
        <x:v>1000</x:v>
      </x:c>
      <x:c r="P537" s="115" t="n">
        <x:v>70</x:v>
      </x:c>
      <x:c r="Q537" s="115" t="n">
        <x:v>52</x:v>
      </x:c>
      <x:c r="R537" s="115" t="n">
        <x:v>95</x:v>
      </x:c>
      <x:c r="S537" s="115" t="n">
        <x:v>59</x:v>
      </x:c>
      <x:c r="T537" s="114" t="n">
        <x:v>3</x:v>
      </x:c>
      <x:c r="U537" s="114"/>
      <x:c r="V537" s="115"/>
      <x:c r="W537" s="115" t="n">
        <x:v>69</x:v>
      </x:c>
      <x:c r="X537" s="115" t="n">
        <x:v>69</x:v>
      </x:c>
      <x:c r="Y537" s="115" t="str">
        <x:v>파생 단순평균(참고)</x:v>
      </x:c>
      <x:c r="Z537" s="114" t="n">
        <x:v>80</x:v>
      </x:c>
      <x:c r="AA537" s="115" t="n">
        <x:v>11</x:v>
      </x:c>
      <x:c r="AB537" s="112" t="str">
        <x:v>안정</x:v>
      </x:c>
      <x:c r="AC537" s="115" t="n">
        <x:v>72.7</x:v>
      </x:c>
      <x:c r="AD537" s="115" t="n">
        <x:v>27.3</x:v>
      </x:c>
      <x:c r="AE537" s="115" t="n">
        <x:v>0</x:v>
      </x:c>
      <x:c r="AF537" s="113" t="str">
        <x:v>B: 공식 2025학년도 정시 일반전형 과목별 70% 백분위 → 단순평균 파생</x:v>
      </x:c>
      <x:c r="AG537" s="112" t="str">
        <x:v>https://www.adiga.kr/ucp/uvt/uni/univDetailSelection.do?menuId=PCUVTINF2000&amp;searchSyr=2026&amp;unvCd=0000007</x:v>
      </x:c>
    </x:row>
    <x:row r="538">
      <x:c r="A538" s="114" t="n">
        <x:v>2025</x:v>
      </x:c>
      <x:c r="B538" s="112" t="str">
        <x:v>경상남도</x:v>
      </x:c>
      <x:c r="C538" s="112" t="str">
        <x:v>국립</x:v>
      </x:c>
      <x:c r="D538" s="112" t="str">
        <x:v>경상국립대학교</x:v>
      </x:c>
      <x:c r="E538" s="112" t="str">
        <x:v>가</x:v>
      </x:c>
      <x:c r="F538" s="112" t="str">
        <x:v>수능위주(일반전형)</x:v>
      </x:c>
      <x:c r="G538" s="113" t="str">
        <x:v>유아교육과</x:v>
      </x:c>
      <x:c r="H538" s="114" t="n">
        <x:v>6</x:v>
      </x:c>
      <x:c r="I538" s="114" t="n">
        <x:v>1</x:v>
      </x:c>
      <x:c r="J538" s="114" t="n">
        <x:v>7</x:v>
      </x:c>
      <x:c r="K538" s="115" t="n">
        <x:v>4.57</x:v>
      </x:c>
      <x:c r="L538" s="114" t="n">
        <x:v>5</x:v>
      </x:c>
      <x:c r="M538" s="115"/>
      <x:c r="N538" s="115" t="n">
        <x:v>822.09</x:v>
      </x:c>
      <x:c r="O538" s="115" t="n">
        <x:v>1000</x:v>
      </x:c>
      <x:c r="P538" s="115" t="n">
        <x:v>74</x:v>
      </x:c>
      <x:c r="Q538" s="115" t="n">
        <x:v>43</x:v>
      </x:c>
      <x:c r="R538" s="115" t="n">
        <x:v>85</x:v>
      </x:c>
      <x:c r="S538" s="115" t="n">
        <x:v>82</x:v>
      </x:c>
      <x:c r="T538" s="114" t="n">
        <x:v>3</x:v>
      </x:c>
      <x:c r="U538" s="114"/>
      <x:c r="V538" s="115"/>
      <x:c r="W538" s="115" t="n">
        <x:v>71</x:v>
      </x:c>
      <x:c r="X538" s="115" t="n">
        <x:v>71</x:v>
      </x:c>
      <x:c r="Y538" s="115" t="str">
        <x:v>파생 단순평균(참고)</x:v>
      </x:c>
      <x:c r="Z538" s="114" t="n">
        <x:v>80</x:v>
      </x:c>
      <x:c r="AA538" s="115" t="n">
        <x:v>9</x:v>
      </x:c>
      <x:c r="AB538" s="112" t="str">
        <x:v>안정</x:v>
      </x:c>
      <x:c r="AC538" s="115" t="n">
        <x:v>71.4</x:v>
      </x:c>
      <x:c r="AD538" s="115" t="n">
        <x:v>28.6</x:v>
      </x:c>
      <x:c r="AE538" s="115" t="n">
        <x:v>0</x:v>
      </x:c>
      <x:c r="AF538" s="113" t="str">
        <x:v>B: 공식 2025학년도 정시 일반전형 과목별 70% 백분위 → 단순평균 파생</x:v>
      </x:c>
      <x:c r="AG538" s="112" t="str">
        <x:v>https://www.adiga.kr/ucp/uvt/uni/univDetailSelection.do?menuId=PCUVTINF2000&amp;searchSyr=2026&amp;unvCd=0000007</x:v>
      </x:c>
    </x:row>
    <x:row r="539">
      <x:c r="A539" s="114" t="n">
        <x:v>2025</x:v>
      </x:c>
      <x:c r="B539" s="112" t="str">
        <x:v>경상남도</x:v>
      </x:c>
      <x:c r="C539" s="112" t="str">
        <x:v>국립</x:v>
      </x:c>
      <x:c r="D539" s="112" t="str">
        <x:v>경상국립대학교</x:v>
      </x:c>
      <x:c r="E539" s="112" t="str">
        <x:v>가</x:v>
      </x:c>
      <x:c r="F539" s="112" t="str">
        <x:v>수능위주(일반전형)</x:v>
      </x:c>
      <x:c r="G539" s="113" t="str">
        <x:v>윤리교육과</x:v>
      </x:c>
      <x:c r="H539" s="114" t="n">
        <x:v>5</x:v>
      </x:c>
      <x:c r="I539" s="114" t="n">
        <x:v>0</x:v>
      </x:c>
      <x:c r="J539" s="114" t="n">
        <x:v>5</x:v>
      </x:c>
      <x:c r="K539" s="115" t="n">
        <x:v>4.2</x:v>
      </x:c>
      <x:c r="L539" s="114" t="n">
        <x:v>8</x:v>
      </x:c>
      <x:c r="M539" s="115"/>
      <x:c r="N539" s="115" t="n">
        <x:v>841.71</x:v>
      </x:c>
      <x:c r="O539" s="115" t="n">
        <x:v>1000</x:v>
      </x:c>
      <x:c r="P539" s="115" t="n">
        <x:v>70</x:v>
      </x:c>
      <x:c r="Q539" s="115" t="n">
        <x:v>59</x:v>
      </x:c>
      <x:c r="R539" s="115" t="n">
        <x:v>92</x:v>
      </x:c>
      <x:c r="S539" s="115" t="n">
        <x:v>90</x:v>
      </x:c>
      <x:c r="T539" s="114" t="n">
        <x:v>4</x:v>
      </x:c>
      <x:c r="U539" s="114"/>
      <x:c r="V539" s="115"/>
      <x:c r="W539" s="115" t="n">
        <x:v>77.75</x:v>
      </x:c>
      <x:c r="X539" s="115" t="n">
        <x:v>77.75</x:v>
      </x:c>
      <x:c r="Y539" s="115" t="str">
        <x:v>파생 단순평균(참고)</x:v>
      </x:c>
      <x:c r="Z539" s="114" t="n">
        <x:v>80</x:v>
      </x:c>
      <x:c r="AA539" s="115" t="n">
        <x:v>2.25</x:v>
      </x:c>
      <x:c r="AB539" s="112" t="str">
        <x:v>적정</x:v>
      </x:c>
      <x:c r="AC539" s="115" t="n">
        <x:v>100</x:v>
      </x:c>
      <x:c r="AD539" s="115" t="n">
        <x:v>0</x:v>
      </x:c>
      <x:c r="AE539" s="115" t="n">
        <x:v>0</x:v>
      </x:c>
      <x:c r="AF539" s="113" t="str">
        <x:v>B: 공식 2025학년도 정시 일반전형 과목별 70% 백분위 → 단순평균 파생</x:v>
      </x:c>
      <x:c r="AG539" s="112" t="str">
        <x:v>https://www.adiga.kr/ucp/uvt/uni/univDetailSelection.do?menuId=PCUVTINF2000&amp;searchSyr=2026&amp;unvCd=0000007</x:v>
      </x:c>
    </x:row>
    <x:row r="540">
      <x:c r="A540" s="114" t="n">
        <x:v>2025</x:v>
      </x:c>
      <x:c r="B540" s="112" t="str">
        <x:v>경상남도</x:v>
      </x:c>
      <x:c r="C540" s="112" t="str">
        <x:v>국립</x:v>
      </x:c>
      <x:c r="D540" s="112" t="str">
        <x:v>경상국립대학교</x:v>
      </x:c>
      <x:c r="E540" s="112" t="str">
        <x:v>가</x:v>
      </x:c>
      <x:c r="F540" s="112" t="str">
        <x:v>수능위주(일반전형)</x:v>
      </x:c>
      <x:c r="G540" s="113" t="str">
        <x:v>일반사회교육과</x:v>
      </x:c>
      <x:c r="H540" s="114" t="n">
        <x:v>5</x:v>
      </x:c>
      <x:c r="I540" s="114" t="n">
        <x:v>1</x:v>
      </x:c>
      <x:c r="J540" s="114" t="n">
        <x:v>6</x:v>
      </x:c>
      <x:c r="K540" s="115" t="n">
        <x:v>5.33</x:v>
      </x:c>
      <x:c r="L540" s="114" t="n">
        <x:v>6</x:v>
      </x:c>
      <x:c r="M540" s="115"/>
      <x:c r="N540" s="115" t="n">
        <x:v>857.27</x:v>
      </x:c>
      <x:c r="O540" s="115" t="n">
        <x:v>1000</x:v>
      </x:c>
      <x:c r="P540" s="115" t="n">
        <x:v>74</x:v>
      </x:c>
      <x:c r="Q540" s="115" t="n">
        <x:v>68</x:v>
      </x:c>
      <x:c r="R540" s="115" t="n">
        <x:v>83</x:v>
      </x:c>
      <x:c r="S540" s="115" t="n">
        <x:v>59</x:v>
      </x:c>
      <x:c r="T540" s="114" t="n">
        <x:v>3</x:v>
      </x:c>
      <x:c r="U540" s="114"/>
      <x:c r="V540" s="115"/>
      <x:c r="W540" s="115" t="n">
        <x:v>71</x:v>
      </x:c>
      <x:c r="X540" s="115" t="n">
        <x:v>71</x:v>
      </x:c>
      <x:c r="Y540" s="115" t="str">
        <x:v>파생 단순평균(참고)</x:v>
      </x:c>
      <x:c r="Z540" s="114" t="n">
        <x:v>80</x:v>
      </x:c>
      <x:c r="AA540" s="115" t="n">
        <x:v>9</x:v>
      </x:c>
      <x:c r="AB540" s="112" t="str">
        <x:v>안정</x:v>
      </x:c>
      <x:c r="AC540" s="115" t="n">
        <x:v>83.3</x:v>
      </x:c>
      <x:c r="AD540" s="115" t="n">
        <x:v>16.7</x:v>
      </x:c>
      <x:c r="AE540" s="115" t="n">
        <x:v>0</x:v>
      </x:c>
      <x:c r="AF540" s="113" t="str">
        <x:v>B: 공식 2025학년도 정시 일반전형 과목별 70% 백분위 → 단순평균 파생</x:v>
      </x:c>
      <x:c r="AG540" s="112" t="str">
        <x:v>https://www.adiga.kr/ucp/uvt/uni/univDetailSelection.do?menuId=PCUVTINF2000&amp;searchSyr=2026&amp;unvCd=0000007</x:v>
      </x:c>
    </x:row>
    <x:row r="541">
      <x:c r="A541" s="114" t="n">
        <x:v>2025</x:v>
      </x:c>
      <x:c r="B541" s="112" t="str">
        <x:v>경상남도</x:v>
      </x:c>
      <x:c r="C541" s="112" t="str">
        <x:v>국립</x:v>
      </x:c>
      <x:c r="D541" s="112" t="str">
        <x:v>경상국립대학교</x:v>
      </x:c>
      <x:c r="E541" s="112" t="str">
        <x:v>가</x:v>
      </x:c>
      <x:c r="F541" s="112" t="str">
        <x:v>수능위주(일반전형)</x:v>
      </x:c>
      <x:c r="G541" s="113" t="str">
        <x:v>일어교육과</x:v>
      </x:c>
      <x:c r="H541" s="114" t="n">
        <x:v>3</x:v>
      </x:c>
      <x:c r="I541" s="114" t="n">
        <x:v>0</x:v>
      </x:c>
      <x:c r="J541" s="114" t="n">
        <x:v>3</x:v>
      </x:c>
      <x:c r="K541" s="115" t="n">
        <x:v>6</x:v>
      </x:c>
      <x:c r="L541" s="114" t="n">
        <x:v>3</x:v>
      </x:c>
      <x:c r="M541" s="115"/>
      <x:c r="N541" s="115" t="n">
        <x:v>814.22</x:v>
      </x:c>
      <x:c r="O541" s="115" t="n">
        <x:v>1000</x:v>
      </x:c>
      <x:c r="P541" s="115" t="n">
        <x:v>68</x:v>
      </x:c>
      <x:c r="Q541" s="115" t="n">
        <x:v>54</x:v>
      </x:c>
      <x:c r="R541" s="115" t="n">
        <x:v>80</x:v>
      </x:c>
      <x:c r="S541" s="115" t="n">
        <x:v>55</x:v>
      </x:c>
      <x:c r="T541" s="114" t="n">
        <x:v>4</x:v>
      </x:c>
      <x:c r="U541" s="114"/>
      <x:c r="V541" s="115"/>
      <x:c r="W541" s="115" t="n">
        <x:v>64.25</x:v>
      </x:c>
      <x:c r="X541" s="115" t="n">
        <x:v>64.25</x:v>
      </x:c>
      <x:c r="Y541" s="115" t="str">
        <x:v>파생 단순평균(참고)</x:v>
      </x:c>
      <x:c r="Z541" s="114" t="n">
        <x:v>80</x:v>
      </x:c>
      <x:c r="AA541" s="115" t="n">
        <x:v>15.75</x:v>
      </x:c>
      <x:c r="AB541" s="112" t="str">
        <x:v>안정</x:v>
      </x:c>
      <x:c r="AC541" s="115" t="n">
        <x:v>66.7</x:v>
      </x:c>
      <x:c r="AD541" s="115" t="n">
        <x:v>33.3</x:v>
      </x:c>
      <x:c r="AE541" s="115" t="n">
        <x:v>0</x:v>
      </x:c>
      <x:c r="AF541" s="113" t="str">
        <x:v>B: 공식 2025학년도 정시 일반전형 과목별 70% 백분위 → 단순평균 파생</x:v>
      </x:c>
      <x:c r="AG541" s="112" t="str">
        <x:v>https://www.adiga.kr/ucp/uvt/uni/univDetailSelection.do?menuId=PCUVTINF2000&amp;searchSyr=2026&amp;unvCd=0000007</x:v>
      </x:c>
    </x:row>
    <x:row r="542">
      <x:c r="A542" s="114" t="n">
        <x:v>2025</x:v>
      </x:c>
      <x:c r="B542" s="112" t="str">
        <x:v>경상남도</x:v>
      </x:c>
      <x:c r="C542" s="112" t="str">
        <x:v>국립</x:v>
      </x:c>
      <x:c r="D542" s="112" t="str">
        <x:v>경상국립대학교</x:v>
      </x:c>
      <x:c r="E542" s="112" t="str">
        <x:v>가</x:v>
      </x:c>
      <x:c r="F542" s="112" t="str">
        <x:v>수능위주(일반전형)</x:v>
      </x:c>
      <x:c r="G542" s="113" t="str">
        <x:v>지리교육과</x:v>
      </x:c>
      <x:c r="H542" s="114" t="n">
        <x:v>4</x:v>
      </x:c>
      <x:c r="I542" s="114" t="n">
        <x:v>0</x:v>
      </x:c>
      <x:c r="J542" s="114" t="n">
        <x:v>4</x:v>
      </x:c>
      <x:c r="K542" s="115" t="n">
        <x:v>4</x:v>
      </x:c>
      <x:c r="L542" s="114" t="n">
        <x:v>6</x:v>
      </x:c>
      <x:c r="M542" s="115"/>
      <x:c r="N542" s="115" t="n">
        <x:v>837.33</x:v>
      </x:c>
      <x:c r="O542" s="115" t="n">
        <x:v>1000</x:v>
      </x:c>
      <x:c r="P542" s="115" t="n">
        <x:v>67</x:v>
      </x:c>
      <x:c r="Q542" s="115" t="n">
        <x:v>57</x:v>
      </x:c>
      <x:c r="R542" s="115" t="n">
        <x:v>65</x:v>
      </x:c>
      <x:c r="S542" s="115" t="n">
        <x:v>95</x:v>
      </x:c>
      <x:c r="T542" s="114" t="n">
        <x:v>5</x:v>
      </x:c>
      <x:c r="U542" s="114"/>
      <x:c r="V542" s="115"/>
      <x:c r="W542" s="115" t="n">
        <x:v>71</x:v>
      </x:c>
      <x:c r="X542" s="115" t="n">
        <x:v>71</x:v>
      </x:c>
      <x:c r="Y542" s="115" t="str">
        <x:v>파생 단순평균(참고)</x:v>
      </x:c>
      <x:c r="Z542" s="114" t="n">
        <x:v>80</x:v>
      </x:c>
      <x:c r="AA542" s="115" t="n">
        <x:v>9</x:v>
      </x:c>
      <x:c r="AB542" s="112" t="str">
        <x:v>안정</x:v>
      </x:c>
      <x:c r="AC542" s="115" t="n">
        <x:v>100</x:v>
      </x:c>
      <x:c r="AD542" s="115" t="n">
        <x:v>0</x:v>
      </x:c>
      <x:c r="AE542" s="115" t="n">
        <x:v>0</x:v>
      </x:c>
      <x:c r="AF542" s="113" t="str">
        <x:v>B: 공식 2025학년도 정시 일반전형 과목별 70% 백분위 → 단순평균 파생</x:v>
      </x:c>
      <x:c r="AG542" s="112" t="str">
        <x:v>https://www.adiga.kr/ucp/uvt/uni/univDetailSelection.do?menuId=PCUVTINF2000&amp;searchSyr=2026&amp;unvCd=0000007</x:v>
      </x:c>
    </x:row>
    <x:row r="543">
      <x:c r="A543" s="114" t="n">
        <x:v>2025</x:v>
      </x:c>
      <x:c r="B543" s="112" t="str">
        <x:v>경상남도</x:v>
      </x:c>
      <x:c r="C543" s="112" t="str">
        <x:v>국립</x:v>
      </x:c>
      <x:c r="D543" s="112" t="str">
        <x:v>경상국립대학교</x:v>
      </x:c>
      <x:c r="E543" s="112" t="str">
        <x:v>가</x:v>
      </x:c>
      <x:c r="F543" s="112" t="str">
        <x:v>수능위주(일반전형)</x:v>
      </x:c>
      <x:c r="G543" s="113" t="str">
        <x:v>물리교육과</x:v>
      </x:c>
      <x:c r="H543" s="114" t="n">
        <x:v>3</x:v>
      </x:c>
      <x:c r="I543" s="114" t="n">
        <x:v>1</x:v>
      </x:c>
      <x:c r="J543" s="114" t="n">
        <x:v>4</x:v>
      </x:c>
      <x:c r="K543" s="115" t="n">
        <x:v>8.5</x:v>
      </x:c>
      <x:c r="L543" s="114" t="n">
        <x:v>7</x:v>
      </x:c>
      <x:c r="M543" s="115"/>
      <x:c r="N543" s="115" t="n">
        <x:v>828.91</x:v>
      </x:c>
      <x:c r="O543" s="115" t="n">
        <x:v>1000</x:v>
      </x:c>
      <x:c r="P543" s="115" t="n">
        <x:v>72</x:v>
      </x:c>
      <x:c r="Q543" s="115" t="n">
        <x:v>74</x:v>
      </x:c>
      <x:c r="R543" s="115" t="n">
        <x:v>66</x:v>
      </x:c>
      <x:c r="S543" s="115" t="n">
        <x:v>64</x:v>
      </x:c>
      <x:c r="T543" s="114" t="n">
        <x:v>4</x:v>
      </x:c>
      <x:c r="U543" s="114"/>
      <x:c r="V543" s="115"/>
      <x:c r="W543" s="115" t="n">
        <x:v>69</x:v>
      </x:c>
      <x:c r="X543" s="115" t="n">
        <x:v>69</x:v>
      </x:c>
      <x:c r="Y543" s="115" t="str">
        <x:v>파생 단순평균(참고)</x:v>
      </x:c>
      <x:c r="Z543" s="114" t="n">
        <x:v>80</x:v>
      </x:c>
      <x:c r="AA543" s="115" t="n">
        <x:v>11</x:v>
      </x:c>
      <x:c r="AB543" s="112" t="str">
        <x:v>안정</x:v>
      </x:c>
      <x:c r="AC543" s="115" t="n">
        <x:v>25</x:v>
      </x:c>
      <x:c r="AD543" s="115" t="n">
        <x:v>50</x:v>
      </x:c>
      <x:c r="AE543" s="115" t="n">
        <x:v>25</x:v>
      </x:c>
      <x:c r="AF543" s="113" t="str">
        <x:v>B: 공식 2025학년도 정시 일반전형 과목별 70% 백분위 → 단순평균 파생</x:v>
      </x:c>
      <x:c r="AG543" s="112" t="str">
        <x:v>https://www.adiga.kr/ucp/uvt/uni/univDetailSelection.do?menuId=PCUVTINF2000&amp;searchSyr=2026&amp;unvCd=0000007</x:v>
      </x:c>
    </x:row>
    <x:row r="544">
      <x:c r="A544" s="114" t="n">
        <x:v>2025</x:v>
      </x:c>
      <x:c r="B544" s="112" t="str">
        <x:v>경상남도</x:v>
      </x:c>
      <x:c r="C544" s="112" t="str">
        <x:v>국립</x:v>
      </x:c>
      <x:c r="D544" s="112" t="str">
        <x:v>경상국립대학교</x:v>
      </x:c>
      <x:c r="E544" s="112" t="str">
        <x:v>가</x:v>
      </x:c>
      <x:c r="F544" s="112" t="str">
        <x:v>수능위주(일반전형)</x:v>
      </x:c>
      <x:c r="G544" s="113" t="str">
        <x:v>생물교육과</x:v>
      </x:c>
      <x:c r="H544" s="114" t="n">
        <x:v>5</x:v>
      </x:c>
      <x:c r="I544" s="114" t="n">
        <x:v>0</x:v>
      </x:c>
      <x:c r="J544" s="114" t="n">
        <x:v>5</x:v>
      </x:c>
      <x:c r="K544" s="115" t="n">
        <x:v>5.4</x:v>
      </x:c>
      <x:c r="L544" s="114" t="n">
        <x:v>0</x:v>
      </x:c>
      <x:c r="M544" s="115"/>
      <x:c r="N544" s="115" t="n">
        <x:v>844.91</x:v>
      </x:c>
      <x:c r="O544" s="115" t="n">
        <x:v>1000</x:v>
      </x:c>
      <x:c r="P544" s="115" t="n">
        <x:v>60</x:v>
      </x:c>
      <x:c r="Q544" s="115" t="n">
        <x:v>68</x:v>
      </x:c>
      <x:c r="R544" s="115" t="n">
        <x:v>95</x:v>
      </x:c>
      <x:c r="S544" s="115" t="n">
        <x:v>75</x:v>
      </x:c>
      <x:c r="T544" s="114" t="n">
        <x:v>4</x:v>
      </x:c>
      <x:c r="U544" s="114"/>
      <x:c r="V544" s="115"/>
      <x:c r="W544" s="115" t="n">
        <x:v>74.5</x:v>
      </x:c>
      <x:c r="X544" s="115" t="n">
        <x:v>74.5</x:v>
      </x:c>
      <x:c r="Y544" s="115" t="str">
        <x:v>파생 단순평균(참고)</x:v>
      </x:c>
      <x:c r="Z544" s="114" t="n">
        <x:v>80</x:v>
      </x:c>
      <x:c r="AA544" s="115" t="n">
        <x:v>5.5</x:v>
      </x:c>
      <x:c r="AB544" s="112" t="str">
        <x:v>안정</x:v>
      </x:c>
      <x:c r="AC544" s="115" t="n">
        <x:v>20</x:v>
      </x:c>
      <x:c r="AD544" s="115" t="n">
        <x:v>60</x:v>
      </x:c>
      <x:c r="AE544" s="115" t="n">
        <x:v>20</x:v>
      </x:c>
      <x:c r="AF544" s="113" t="str">
        <x:v>B: 공식 2025학년도 정시 일반전형 과목별 70% 백분위 → 단순평균 파생</x:v>
      </x:c>
      <x:c r="AG544" s="112" t="str">
        <x:v>https://www.adiga.kr/ucp/uvt/uni/univDetailSelection.do?menuId=PCUVTINF2000&amp;searchSyr=2026&amp;unvCd=0000007</x:v>
      </x:c>
    </x:row>
    <x:row r="545">
      <x:c r="A545" s="114" t="n">
        <x:v>2025</x:v>
      </x:c>
      <x:c r="B545" s="112" t="str">
        <x:v>경상남도</x:v>
      </x:c>
      <x:c r="C545" s="112" t="str">
        <x:v>국립</x:v>
      </x:c>
      <x:c r="D545" s="112" t="str">
        <x:v>경상국립대학교</x:v>
      </x:c>
      <x:c r="E545" s="112" t="str">
        <x:v>가</x:v>
      </x:c>
      <x:c r="F545" s="112" t="str">
        <x:v>수능위주(일반전형)</x:v>
      </x:c>
      <x:c r="G545" s="113" t="str">
        <x:v>수학교육과</x:v>
      </x:c>
      <x:c r="H545" s="114" t="n">
        <x:v>4</x:v>
      </x:c>
      <x:c r="I545" s="114" t="n">
        <x:v>6</x:v>
      </x:c>
      <x:c r="J545" s="114" t="n">
        <x:v>10</x:v>
      </x:c>
      <x:c r="K545" s="115" t="n">
        <x:v>4.7</x:v>
      </x:c>
      <x:c r="L545" s="114" t="n">
        <x:v>8</x:v>
      </x:c>
      <x:c r="M545" s="115"/>
      <x:c r="N545" s="115" t="n">
        <x:v>847.87</x:v>
      </x:c>
      <x:c r="O545" s="115" t="n">
        <x:v>1000</x:v>
      </x:c>
      <x:c r="P545" s="115" t="n">
        <x:v>61</x:v>
      </x:c>
      <x:c r="Q545" s="115" t="n">
        <x:v>92</x:v>
      </x:c>
      <x:c r="R545" s="115" t="n">
        <x:v>74</x:v>
      </x:c>
      <x:c r="S545" s="115" t="n">
        <x:v>75</x:v>
      </x:c>
      <x:c r="T545" s="114" t="n">
        <x:v>6</x:v>
      </x:c>
      <x:c r="U545" s="114"/>
      <x:c r="V545" s="115"/>
      <x:c r="W545" s="115" t="n">
        <x:v>75.5</x:v>
      </x:c>
      <x:c r="X545" s="115" t="n">
        <x:v>75.5</x:v>
      </x:c>
      <x:c r="Y545" s="115" t="str">
        <x:v>파생 단순평균(참고)</x:v>
      </x:c>
      <x:c r="Z545" s="114" t="n">
        <x:v>80</x:v>
      </x:c>
      <x:c r="AA545" s="115" t="n">
        <x:v>4.5</x:v>
      </x:c>
      <x:c r="AB545" s="112" t="str">
        <x:v>적정</x:v>
      </x:c>
      <x:c r="AC545" s="115" t="n">
        <x:v>20</x:v>
      </x:c>
      <x:c r="AD545" s="115" t="n">
        <x:v>80</x:v>
      </x:c>
      <x:c r="AE545" s="115" t="n">
        <x:v>0</x:v>
      </x:c>
      <x:c r="AF545" s="113" t="str">
        <x:v>B: 공식 2025학년도 정시 일반전형 과목별 70% 백분위 → 단순평균 파생</x:v>
      </x:c>
      <x:c r="AG545" s="112" t="str">
        <x:v>https://www.adiga.kr/ucp/uvt/uni/univDetailSelection.do?menuId=PCUVTINF2000&amp;searchSyr=2026&amp;unvCd=0000007</x:v>
      </x:c>
    </x:row>
    <x:row r="546">
      <x:c r="A546" s="114" t="n">
        <x:v>2025</x:v>
      </x:c>
      <x:c r="B546" s="112" t="str">
        <x:v>경상남도</x:v>
      </x:c>
      <x:c r="C546" s="112" t="str">
        <x:v>국립</x:v>
      </x:c>
      <x:c r="D546" s="112" t="str">
        <x:v>경상국립대학교</x:v>
      </x:c>
      <x:c r="E546" s="112" t="str">
        <x:v>가</x:v>
      </x:c>
      <x:c r="F546" s="112" t="str">
        <x:v>수능위주(일반전형)</x:v>
      </x:c>
      <x:c r="G546" s="113" t="str">
        <x:v>화학교육과</x:v>
      </x:c>
      <x:c r="H546" s="114" t="n">
        <x:v>9</x:v>
      </x:c>
      <x:c r="I546" s="114" t="n">
        <x:v>5</x:v>
      </x:c>
      <x:c r="J546" s="114" t="n">
        <x:v>14</x:v>
      </x:c>
      <x:c r="K546" s="115" t="n">
        <x:v>4.5</x:v>
      </x:c>
      <x:c r="L546" s="114" t="n">
        <x:v>13</x:v>
      </x:c>
      <x:c r="M546" s="115"/>
      <x:c r="N546" s="115" t="n">
        <x:v>823.43</x:v>
      </x:c>
      <x:c r="O546" s="115" t="n">
        <x:v>1000</x:v>
      </x:c>
      <x:c r="P546" s="115" t="n">
        <x:v>60</x:v>
      </x:c>
      <x:c r="Q546" s="115" t="n">
        <x:v>66</x:v>
      </x:c>
      <x:c r="R546" s="115" t="n">
        <x:v>81</x:v>
      </x:c>
      <x:c r="S546" s="115" t="n">
        <x:v>64</x:v>
      </x:c>
      <x:c r="T546" s="114" t="n">
        <x:v>4</x:v>
      </x:c>
      <x:c r="U546" s="114"/>
      <x:c r="V546" s="115"/>
      <x:c r="W546" s="115" t="n">
        <x:v>67.75</x:v>
      </x:c>
      <x:c r="X546" s="115" t="n">
        <x:v>67.75</x:v>
      </x:c>
      <x:c r="Y546" s="115" t="str">
        <x:v>파생 단순평균(참고)</x:v>
      </x:c>
      <x:c r="Z546" s="114" t="n">
        <x:v>80</x:v>
      </x:c>
      <x:c r="AA546" s="115" t="n">
        <x:v>12.25</x:v>
      </x:c>
      <x:c r="AB546" s="112" t="str">
        <x:v>안정</x:v>
      </x:c>
      <x:c r="AC546" s="115" t="n">
        <x:v>7.1</x:v>
      </x:c>
      <x:c r="AD546" s="115" t="n">
        <x:v>92.9</x:v>
      </x:c>
      <x:c r="AE546" s="115" t="n">
        <x:v>0</x:v>
      </x:c>
      <x:c r="AF546" s="113" t="str">
        <x:v>B: 공식 2025학년도 정시 일반전형 과목별 70% 백분위 → 단순평균 파생</x:v>
      </x:c>
      <x:c r="AG546" s="112" t="str">
        <x:v>https://www.adiga.kr/ucp/uvt/uni/univDetailSelection.do?menuId=PCUVTINF2000&amp;searchSyr=2026&amp;unvCd=0000007</x:v>
      </x:c>
    </x:row>
    <x:row r="547">
      <x:c r="A547" s="114" t="n">
        <x:v>2025</x:v>
      </x:c>
      <x:c r="B547" s="112" t="str">
        <x:v>경상남도</x:v>
      </x:c>
      <x:c r="C547" s="112" t="str">
        <x:v>국립</x:v>
      </x:c>
      <x:c r="D547" s="112" t="str">
        <x:v>경상국립대학교</x:v>
      </x:c>
      <x:c r="E547" s="112" t="str">
        <x:v>가</x:v>
      </x:c>
      <x:c r="F547" s="112" t="str">
        <x:v>수능위주(일반전형)</x:v>
      </x:c>
      <x:c r="G547" s="113" t="str">
        <x:v>수의예과</x:v>
      </x:c>
      <x:c r="H547" s="114" t="n">
        <x:v>5</x:v>
      </x:c>
      <x:c r="I547" s="114" t="n">
        <x:v>2</x:v>
      </x:c>
      <x:c r="J547" s="114" t="n">
        <x:v>7</x:v>
      </x:c>
      <x:c r="K547" s="115" t="n">
        <x:v>13.14</x:v>
      </x:c>
      <x:c r="L547" s="114" t="n">
        <x:v>11</x:v>
      </x:c>
      <x:c r="M547" s="115"/>
      <x:c r="N547" s="115" t="n">
        <x:v>963.48</x:v>
      </x:c>
      <x:c r="O547" s="115" t="n">
        <x:v>1000</x:v>
      </x:c>
      <x:c r="P547" s="115" t="n">
        <x:v>92</x:v>
      </x:c>
      <x:c r="Q547" s="115" t="n">
        <x:v>99</x:v>
      </x:c>
      <x:c r="R547" s="115" t="n">
        <x:v>79</x:v>
      </x:c>
      <x:c r="S547" s="115" t="n">
        <x:v>95</x:v>
      </x:c>
      <x:c r="T547" s="114" t="n">
        <x:v>1</x:v>
      </x:c>
      <x:c r="U547" s="114"/>
      <x:c r="V547" s="115"/>
      <x:c r="W547" s="115" t="n">
        <x:v>91.25</x:v>
      </x:c>
      <x:c r="X547" s="115" t="n">
        <x:v>91.25</x:v>
      </x:c>
      <x:c r="Y547" s="115" t="str">
        <x:v>파생 단순평균(참고)</x:v>
      </x:c>
      <x:c r="Z547" s="114" t="n">
        <x:v>80</x:v>
      </x:c>
      <x:c r="AA547" s="115" t="n">
        <x:v>-11.25</x:v>
      </x:c>
      <x:c r="AB547" s="112" t="str">
        <x:v>상향</x:v>
      </x:c>
      <x:c r="AC547" s="115" t="n">
        <x:v>0</x:v>
      </x:c>
      <x:c r="AD547" s="115" t="n">
        <x:v>85.7</x:v>
      </x:c>
      <x:c r="AE547" s="115" t="n">
        <x:v>14.3</x:v>
      </x:c>
      <x:c r="AF547" s="113" t="str">
        <x:v>B: 공식 2025학년도 정시 일반전형 과목별 70% 백분위 → 단순평균 파생</x:v>
      </x:c>
      <x:c r="AG547" s="112" t="str">
        <x:v>https://www.adiga.kr/ucp/uvt/uni/univDetailSelection.do?menuId=PCUVTINF2000&amp;searchSyr=2026&amp;unvCd=0000007</x:v>
      </x:c>
    </x:row>
    <x:row r="548">
      <x:c r="A548" s="114" t="n">
        <x:v>2025</x:v>
      </x:c>
      <x:c r="B548" s="112" t="str">
        <x:v>경상남도</x:v>
      </x:c>
      <x:c r="C548" s="112" t="str">
        <x:v>국립</x:v>
      </x:c>
      <x:c r="D548" s="112" t="str">
        <x:v>경상국립대학교</x:v>
      </x:c>
      <x:c r="E548" s="112" t="str">
        <x:v>가</x:v>
      </x:c>
      <x:c r="F548" s="112" t="str">
        <x:v>수능위주(일반전형)</x:v>
      </x:c>
      <x:c r="G548" s="113" t="str">
        <x:v>의예과</x:v>
      </x:c>
      <x:c r="H548" s="114" t="n">
        <x:v>11</x:v>
      </x:c>
      <x:c r="I548" s="114" t="n">
        <x:v>2</x:v>
      </x:c>
      <x:c r="J548" s="114" t="n">
        <x:v>13</x:v>
      </x:c>
      <x:c r="K548" s="115" t="n">
        <x:v>8.31</x:v>
      </x:c>
      <x:c r="L548" s="114" t="n">
        <x:v>17</x:v>
      </x:c>
      <x:c r="M548" s="115"/>
      <x:c r="N548" s="115" t="n">
        <x:v>978.57</x:v>
      </x:c>
      <x:c r="O548" s="115" t="n">
        <x:v>1000</x:v>
      </x:c>
      <x:c r="P548" s="115" t="n">
        <x:v>96</x:v>
      </x:c>
      <x:c r="Q548" s="115" t="n">
        <x:v>99</x:v>
      </x:c>
      <x:c r="R548" s="115" t="n">
        <x:v>97</x:v>
      </x:c>
      <x:c r="S548" s="115" t="n">
        <x:v>96</x:v>
      </x:c>
      <x:c r="T548" s="114" t="n">
        <x:v>2</x:v>
      </x:c>
      <x:c r="U548" s="114"/>
      <x:c r="V548" s="115"/>
      <x:c r="W548" s="115" t="n">
        <x:v>97</x:v>
      </x:c>
      <x:c r="X548" s="115" t="n">
        <x:v>97</x:v>
      </x:c>
      <x:c r="Y548" s="115" t="str">
        <x:v>파생 단순평균(참고)</x:v>
      </x:c>
      <x:c r="Z548" s="114" t="n">
        <x:v>80</x:v>
      </x:c>
      <x:c r="AA548" s="115" t="n">
        <x:v>-17</x:v>
      </x:c>
      <x:c r="AB548" s="112" t="str">
        <x:v>상향</x:v>
      </x:c>
      <x:c r="AC548" s="115" t="n">
        <x:v>0</x:v>
      </x:c>
      <x:c r="AD548" s="115" t="n">
        <x:v>92.3</x:v>
      </x:c>
      <x:c r="AE548" s="115" t="n">
        <x:v>7.7</x:v>
      </x:c>
      <x:c r="AF548" s="113" t="str">
        <x:v>B: 공식 2025학년도 정시 일반전형 과목별 70% 백분위 → 단순평균 파생</x:v>
      </x:c>
      <x:c r="AG548" s="112" t="str">
        <x:v>https://www.adiga.kr/ucp/uvt/uni/univDetailSelection.do?menuId=PCUVTINF2000&amp;searchSyr=2026&amp;unvCd=0000007</x:v>
      </x:c>
    </x:row>
    <x:row r="549">
      <x:c r="A549" s="114" t="n">
        <x:v>2025</x:v>
      </x:c>
      <x:c r="B549" s="112" t="str">
        <x:v>경상남도</x:v>
      </x:c>
      <x:c r="C549" s="112" t="str">
        <x:v>국립</x:v>
      </x:c>
      <x:c r="D549" s="112" t="str">
        <x:v>경상국립대학교</x:v>
      </x:c>
      <x:c r="E549" s="112" t="str">
        <x:v>가</x:v>
      </x:c>
      <x:c r="F549" s="112" t="str">
        <x:v>수능위주(일반전형)</x:v>
      </x:c>
      <x:c r="G549" s="113" t="str">
        <x:v>간호학과</x:v>
      </x:c>
      <x:c r="H549" s="114" t="n">
        <x:v>12</x:v>
      </x:c>
      <x:c r="I549" s="114" t="n">
        <x:v>3</x:v>
      </x:c>
      <x:c r="J549" s="114" t="n">
        <x:v>15</x:v>
      </x:c>
      <x:c r="K549" s="115" t="n">
        <x:v>3.67</x:v>
      </x:c>
      <x:c r="L549" s="114" t="n">
        <x:v>24</x:v>
      </x:c>
      <x:c r="M549" s="115"/>
      <x:c r="N549" s="115" t="n">
        <x:v>850.95</x:v>
      </x:c>
      <x:c r="O549" s="115" t="n">
        <x:v>1000</x:v>
      </x:c>
      <x:c r="P549" s="115" t="n">
        <x:v>49</x:v>
      </x:c>
      <x:c r="Q549" s="115" t="n">
        <x:v>90</x:v>
      </x:c>
      <x:c r="R549" s="115" t="n">
        <x:v>80</x:v>
      </x:c>
      <x:c r="S549" s="115" t="n">
        <x:v>74</x:v>
      </x:c>
      <x:c r="T549" s="114" t="n">
        <x:v>4</x:v>
      </x:c>
      <x:c r="U549" s="114"/>
      <x:c r="V549" s="115"/>
      <x:c r="W549" s="115" t="n">
        <x:v>73.25</x:v>
      </x:c>
      <x:c r="X549" s="115" t="n">
        <x:v>73.25</x:v>
      </x:c>
      <x:c r="Y549" s="115" t="str">
        <x:v>파생 단순평균(참고)</x:v>
      </x:c>
      <x:c r="Z549" s="114" t="n">
        <x:v>80</x:v>
      </x:c>
      <x:c r="AA549" s="115" t="n">
        <x:v>6.75</x:v>
      </x:c>
      <x:c r="AB549" s="112" t="str">
        <x:v>안정</x:v>
      </x:c>
      <x:c r="AC549" s="115" t="n">
        <x:v>33.3</x:v>
      </x:c>
      <x:c r="AD549" s="115" t="n">
        <x:v>60</x:v>
      </x:c>
      <x:c r="AE549" s="115" t="n">
        <x:v>6.7</x:v>
      </x:c>
      <x:c r="AF549" s="113" t="str">
        <x:v>B: 공식 2025학년도 정시 일반전형 과목별 70% 백분위 → 단순평균 파생</x:v>
      </x:c>
      <x:c r="AG549" s="112" t="str">
        <x:v>https://www.adiga.kr/ucp/uvt/uni/univDetailSelection.do?menuId=PCUVTINF2000&amp;searchSyr=2026&amp;unvCd=0000007</x:v>
      </x:c>
    </x:row>
    <x:row r="550">
      <x:c r="A550" s="114" t="n">
        <x:v>2025</x:v>
      </x:c>
      <x:c r="B550" s="112" t="str">
        <x:v>경상남도</x:v>
      </x:c>
      <x:c r="C550" s="112" t="str">
        <x:v>국립</x:v>
      </x:c>
      <x:c r="D550" s="112" t="str">
        <x:v>경상국립대학교</x:v>
      </x:c>
      <x:c r="E550" s="112" t="str">
        <x:v>가</x:v>
      </x:c>
      <x:c r="F550" s="112" t="str">
        <x:v>수능위주(일반전형)</x:v>
      </x:c>
      <x:c r="G550" s="113" t="str">
        <x:v>약학과</x:v>
      </x:c>
      <x:c r="H550" s="114" t="n">
        <x:v>6</x:v>
      </x:c>
      <x:c r="I550" s="114" t="n">
        <x:v>0</x:v>
      </x:c>
      <x:c r="J550" s="114" t="n">
        <x:v>6</x:v>
      </x:c>
      <x:c r="K550" s="115" t="n">
        <x:v>13</x:v>
      </x:c>
      <x:c r="L550" s="114" t="n">
        <x:v>10</x:v>
      </x:c>
      <x:c r="M550" s="115"/>
      <x:c r="N550" s="115" t="n">
        <x:v>966.91</x:v>
      </x:c>
      <x:c r="O550" s="115" t="n">
        <x:v>1000</x:v>
      </x:c>
      <x:c r="P550" s="115" t="n">
        <x:v>77</x:v>
      </x:c>
      <x:c r="Q550" s="115" t="n">
        <x:v>100</x:v>
      </x:c>
      <x:c r="R550" s="115" t="n">
        <x:v>93</x:v>
      </x:c>
      <x:c r="S550" s="115" t="n">
        <x:v>100</x:v>
      </x:c>
      <x:c r="T550" s="114" t="n">
        <x:v>2</x:v>
      </x:c>
      <x:c r="U550" s="114"/>
      <x:c r="V550" s="115"/>
      <x:c r="W550" s="115" t="n">
        <x:v>92.5</x:v>
      </x:c>
      <x:c r="X550" s="115" t="n">
        <x:v>92.5</x:v>
      </x:c>
      <x:c r="Y550" s="115" t="str">
        <x:v>파생 단순평균(참고)</x:v>
      </x:c>
      <x:c r="Z550" s="114" t="n">
        <x:v>80</x:v>
      </x:c>
      <x:c r="AA550" s="115" t="n">
        <x:v>-12.5</x:v>
      </x:c>
      <x:c r="AB550" s="112" t="str">
        <x:v>상향</x:v>
      </x:c>
      <x:c r="AC550" s="115" t="n">
        <x:v>0</x:v>
      </x:c>
      <x:c r="AD550" s="115" t="n">
        <x:v>83.3</x:v>
      </x:c>
      <x:c r="AE550" s="115" t="n">
        <x:v>16.7</x:v>
      </x:c>
      <x:c r="AF550" s="113" t="str">
        <x:v>B: 공식 2025학년도 정시 일반전형 과목별 70% 백분위 → 단순평균 파생</x:v>
      </x:c>
      <x:c r="AG550" s="112" t="str">
        <x:v>https://www.adiga.kr/ucp/uvt/uni/univDetailSelection.do?menuId=PCUVTINF2000&amp;searchSyr=2026&amp;unvCd=0000007</x:v>
      </x:c>
    </x:row>
    <x:row r="551">
      <x:c r="A551" s="114" t="n">
        <x:v>2025</x:v>
      </x:c>
      <x:c r="B551" s="112" t="str">
        <x:v>경상남도</x:v>
      </x:c>
      <x:c r="C551" s="112" t="str">
        <x:v>국립</x:v>
      </x:c>
      <x:c r="D551" s="112" t="str">
        <x:v>경상국립대학교</x:v>
      </x:c>
      <x:c r="E551" s="112" t="str">
        <x:v>가</x:v>
      </x:c>
      <x:c r="F551" s="112" t="str">
        <x:v>수능위주(지역인재)</x:v>
      </x:c>
      <x:c r="G551" s="113" t="str">
        <x:v>의예과</x:v>
      </x:c>
      <x:c r="H551" s="114" t="n">
        <x:v>35</x:v>
      </x:c>
      <x:c r="I551" s="114" t="n">
        <x:v>1</x:v>
      </x:c>
      <x:c r="J551" s="114" t="n">
        <x:v>36</x:v>
      </x:c>
      <x:c r="K551" s="115" t="n">
        <x:v>4.14</x:v>
      </x:c>
      <x:c r="L551" s="114" t="n">
        <x:v>16</x:v>
      </x:c>
      <x:c r="M551" s="115"/>
      <x:c r="N551" s="115" t="n">
        <x:v>963.7</x:v>
      </x:c>
      <x:c r="O551" s="115" t="n">
        <x:v>1000</x:v>
      </x:c>
      <x:c r="P551" s="115" t="n">
        <x:v>92</x:v>
      </x:c>
      <x:c r="Q551" s="115" t="n">
        <x:v>100</x:v>
      </x:c>
      <x:c r="R551" s="115" t="n">
        <x:v>97</x:v>
      </x:c>
      <x:c r="S551" s="115" t="n">
        <x:v>94</x:v>
      </x:c>
      <x:c r="T551" s="114" t="n">
        <x:v>2</x:v>
      </x:c>
      <x:c r="U551" s="114"/>
      <x:c r="V551" s="115"/>
      <x:c r="W551" s="115" t="n">
        <x:v>95.75</x:v>
      </x:c>
      <x:c r="X551" s="115" t="n">
        <x:v>95.75</x:v>
      </x:c>
      <x:c r="Y551" s="115" t="str">
        <x:v>파생 단순평균(참고)</x:v>
      </x:c>
      <x:c r="Z551" s="114" t="n">
        <x:v>80</x:v>
      </x:c>
      <x:c r="AA551" s="115" t="n">
        <x:v>-15.75</x:v>
      </x:c>
      <x:c r="AB551" s="112" t="str">
        <x:v>상향</x:v>
      </x:c>
      <x:c r="AC551" s="115" t="n">
        <x:v>0</x:v>
      </x:c>
      <x:c r="AD551" s="115" t="n">
        <x:v>94.4</x:v>
      </x:c>
      <x:c r="AE551" s="115" t="n">
        <x:v>5.56</x:v>
      </x:c>
      <x:c r="AF551" s="113" t="str">
        <x:v>B: 공식 2025학년도 정시 지역인재 과목별 70% 백분위 → 단순평균 파생</x:v>
      </x:c>
      <x:c r="AG551" s="112" t="str">
        <x:v>https://www.adiga.kr/ucp/uvt/uni/univDetailSelection.do?menuId=PCUVTINF2000&amp;searchSyr=2026&amp;unvCd=0000007</x:v>
      </x:c>
    </x:row>
    <x:row r="552">
      <x:c r="A552" s="114" t="n">
        <x:v>2025</x:v>
      </x:c>
      <x:c r="B552" s="112" t="str">
        <x:v>경상남도</x:v>
      </x:c>
      <x:c r="C552" s="112" t="str">
        <x:v>국립</x:v>
      </x:c>
      <x:c r="D552" s="112" t="str">
        <x:v>경상국립대학교</x:v>
      </x:c>
      <x:c r="E552" s="112" t="str">
        <x:v>가</x:v>
      </x:c>
      <x:c r="F552" s="112" t="str">
        <x:v>수능위주(지역인재)</x:v>
      </x:c>
      <x:c r="G552" s="113" t="str">
        <x:v>간호학과</x:v>
      </x:c>
      <x:c r="H552" s="114" t="n">
        <x:v>9</x:v>
      </x:c>
      <x:c r="I552" s="114" t="n">
        <x:v>2</x:v>
      </x:c>
      <x:c r="J552" s="114" t="n">
        <x:v>11</x:v>
      </x:c>
      <x:c r="K552" s="115" t="n">
        <x:v>3.73</x:v>
      </x:c>
      <x:c r="L552" s="114" t="n">
        <x:v>11</x:v>
      </x:c>
      <x:c r="M552" s="115"/>
      <x:c r="N552" s="115" t="n">
        <x:v>855.41</x:v>
      </x:c>
      <x:c r="O552" s="115" t="n">
        <x:v>1000</x:v>
      </x:c>
      <x:c r="P552" s="115" t="n">
        <x:v>74</x:v>
      </x:c>
      <x:c r="Q552" s="115" t="n">
        <x:v>70</x:v>
      </x:c>
      <x:c r="R552" s="115" t="n">
        <x:v>80</x:v>
      </x:c>
      <x:c r="S552" s="115" t="n">
        <x:v>64</x:v>
      </x:c>
      <x:c r="T552" s="114" t="n">
        <x:v>3</x:v>
      </x:c>
      <x:c r="U552" s="114"/>
      <x:c r="V552" s="115"/>
      <x:c r="W552" s="115" t="n">
        <x:v>72</x:v>
      </x:c>
      <x:c r="X552" s="115" t="n">
        <x:v>72</x:v>
      </x:c>
      <x:c r="Y552" s="115" t="str">
        <x:v>파생 단순평균(참고)</x:v>
      </x:c>
      <x:c r="Z552" s="114" t="n">
        <x:v>80</x:v>
      </x:c>
      <x:c r="AA552" s="115" t="n">
        <x:v>8</x:v>
      </x:c>
      <x:c r="AB552" s="112" t="str">
        <x:v>안정</x:v>
      </x:c>
      <x:c r="AC552" s="115" t="n">
        <x:v>40</x:v>
      </x:c>
      <x:c r="AD552" s="115" t="n">
        <x:v>60</x:v>
      </x:c>
      <x:c r="AE552" s="115" t="n">
        <x:v>0</x:v>
      </x:c>
      <x:c r="AF552" s="113" t="str">
        <x:v>B: 공식 2025학년도 정시 지역인재 과목별 70% 백분위 → 단순평균 파생</x:v>
      </x:c>
      <x:c r="AG552" s="112" t="str">
        <x:v>https://www.adiga.kr/ucp/uvt/uni/univDetailSelection.do?menuId=PCUVTINF2000&amp;searchSyr=2026&amp;unvCd=0000007</x:v>
      </x:c>
    </x:row>
    <x:row r="553">
      <x:c r="A553" s="114" t="n">
        <x:v>2025</x:v>
      </x:c>
      <x:c r="B553" s="112" t="str">
        <x:v>충청북도</x:v>
      </x:c>
      <x:c r="C553" s="112" t="str">
        <x:v>국립</x:v>
      </x:c>
      <x:c r="D553" s="112" t="str">
        <x:v>충북대학교</x:v>
      </x:c>
      <x:c r="E553" s="112" t="str">
        <x:v>가</x:v>
      </x:c>
      <x:c r="F553" s="112" t="str">
        <x:v>수능위주(일반전형)</x:v>
      </x:c>
      <x:c r="G553" s="113" t="str">
        <x:v>국어국문학과</x:v>
      </x:c>
      <x:c r="H553" s="114" t="n">
        <x:v>7</x:v>
      </x:c>
      <x:c r="I553" s="114" t="n">
        <x:v>0</x:v>
      </x:c>
      <x:c r="J553" s="114" t="n">
        <x:v>7</x:v>
      </x:c>
      <x:c r="K553" s="115" t="n">
        <x:v>8.7</x:v>
      </x:c>
      <x:c r="L553" s="114" t="n">
        <x:v>7</x:v>
      </x:c>
      <x:c r="M553" s="115"/>
      <x:c r="N553" s="115" t="n">
        <x:v>968.24</x:v>
      </x:c>
      <x:c r="O553" s="115" t="n">
        <x:v>1000</x:v>
      </x:c>
      <x:c r="P553" s="115" t="n">
        <x:v>67.8</x:v>
      </x:c>
      <x:c r="Q553" s="115" t="n">
        <x:v>55.8</x:v>
      </x:c>
      <x:c r="R553" s="115" t="n">
        <x:v>81.8</x:v>
      </x:c>
      <x:c r="S553" s="115" t="n">
        <x:v>81.2</x:v>
      </x:c>
      <x:c r="T553" s="114" t="n">
        <x:v>4</x:v>
      </x:c>
      <x:c r="U553" s="114"/>
      <x:c r="V553" s="115"/>
      <x:c r="W553" s="115" t="n">
        <x:v>71.65</x:v>
      </x:c>
      <x:c r="X553" s="115" t="n">
        <x:v>71.65</x:v>
      </x:c>
      <x:c r="Y553" s="115" t="str">
        <x:v>파생 단순평균(참고)</x:v>
      </x:c>
      <x:c r="Z553" s="114" t="n">
        <x:v>80</x:v>
      </x:c>
      <x:c r="AA553" s="115" t="n">
        <x:v>8.349999999999994</x:v>
      </x:c>
      <x:c r="AB553" s="112" t="str">
        <x:v>안정</x:v>
      </x:c>
      <x:c r="AC553" s="115" t="n">
        <x:v>85.7</x:v>
      </x:c>
      <x:c r="AD553" s="115" t="n">
        <x:v>14.3</x:v>
      </x:c>
      <x:c r="AE553" s="115" t="n">
        <x:v>0</x:v>
      </x:c>
      <x:c r="AF553" s="113" t="str">
        <x:v>B: 공식 2025학년도 정시 과목별 70% 백분위 → 단순평균 파생</x:v>
      </x:c>
      <x:c r="AG553" s="112" t="str">
        <x:v>https://www.adiga.kr/ucp/uvt/uni/univDetailSelection.do?menuId=PCUVTINF2000&amp;searchSyr=2026&amp;unvCd=0000030</x:v>
      </x:c>
    </x:row>
    <x:row r="554">
      <x:c r="A554" s="114" t="n">
        <x:v>2025</x:v>
      </x:c>
      <x:c r="B554" s="112" t="str">
        <x:v>충청북도</x:v>
      </x:c>
      <x:c r="C554" s="112" t="str">
        <x:v>국립</x:v>
      </x:c>
      <x:c r="D554" s="112" t="str">
        <x:v>충북대학교</x:v>
      </x:c>
      <x:c r="E554" s="112" t="str">
        <x:v>나</x:v>
      </x:c>
      <x:c r="F554" s="112" t="str">
        <x:v>수능위주(지역인재)</x:v>
      </x:c>
      <x:c r="G554" s="113" t="str">
        <x:v>제약학과</x:v>
      </x:c>
      <x:c r="H554" s="114" t="n">
        <x:v>4</x:v>
      </x:c>
      <x:c r="I554" s="114" t="n">
        <x:v>0</x:v>
      </x:c>
      <x:c r="J554" s="114" t="n">
        <x:v>4</x:v>
      </x:c>
      <x:c r="K554" s="115" t="n">
        <x:v>9.3</x:v>
      </x:c>
      <x:c r="L554" s="114" t="n">
        <x:v>1</x:v>
      </x:c>
      <x:c r="M554" s="115"/>
      <x:c r="N554" s="115" t="n">
        <x:v>990.19</x:v>
      </x:c>
      <x:c r="O554" s="115" t="n">
        <x:v>1000</x:v>
      </x:c>
      <x:c r="P554" s="115" t="n">
        <x:v>88.7</x:v>
      </x:c>
      <x:c r="Q554" s="115" t="n">
        <x:v>97.9</x:v>
      </x:c>
      <x:c r="R554" s="115" t="n">
        <x:v>89.8</x:v>
      </x:c>
      <x:c r="S554" s="115" t="n">
        <x:v>89.7</x:v>
      </x:c>
      <x:c r="T554" s="114" t="n">
        <x:v>1.1</x:v>
      </x:c>
      <x:c r="U554" s="114"/>
      <x:c r="V554" s="115"/>
      <x:c r="W554" s="115" t="n">
        <x:v>91.525</x:v>
      </x:c>
      <x:c r="X554" s="115" t="n">
        <x:v>91.525</x:v>
      </x:c>
      <x:c r="Y554" s="115" t="str">
        <x:v>파생 단순평균(참고)</x:v>
      </x:c>
      <x:c r="Z554" s="114" t="n">
        <x:v>80</x:v>
      </x:c>
      <x:c r="AA554" s="115" t="n">
        <x:v>-11.525000000000006</x:v>
      </x:c>
      <x:c r="AB554" s="112" t="str">
        <x:v>상향</x:v>
      </x:c>
      <x:c r="AC554" s="115" t="n">
        <x:v>0</x:v>
      </x:c>
      <x:c r="AD554" s="115" t="n">
        <x:v>100</x:v>
      </x:c>
      <x:c r="AE554" s="115" t="n">
        <x:v>0</x:v>
      </x:c>
      <x:c r="AF554" s="113" t="str">
        <x:v>B: 공식 2025학년도 정시 과목별 70% 백분위 → 단순평균 파생</x:v>
      </x:c>
      <x:c r="AG554" s="112" t="str">
        <x:v>https://www.adiga.kr/ucp/uvt/uni/univDetailSelection.do?menuId=PCUVTINF2000&amp;searchSyr=2026&amp;unvCd=0000030</x:v>
      </x:c>
    </x:row>
    <x:row r="555">
      <x:c r="A555" s="114" t="n">
        <x:v>2025</x:v>
      </x:c>
      <x:c r="B555" s="112" t="str">
        <x:v>충청북도</x:v>
      </x:c>
      <x:c r="C555" s="112" t="str">
        <x:v>국립</x:v>
      </x:c>
      <x:c r="D555" s="112" t="str">
        <x:v>충북대학교</x:v>
      </x:c>
      <x:c r="E555" s="112" t="str">
        <x:v>나</x:v>
      </x:c>
      <x:c r="F555" s="112" t="str">
        <x:v>수능위주(지역인재)</x:v>
      </x:c>
      <x:c r="G555" s="113" t="str">
        <x:v>의예과</x:v>
      </x:c>
      <x:c r="H555" s="114" t="n">
        <x:v>41</x:v>
      </x:c>
      <x:c r="I555" s="114" t="n">
        <x:v>0</x:v>
      </x:c>
      <x:c r="J555" s="114" t="n">
        <x:v>41</x:v>
      </x:c>
      <x:c r="K555" s="115" t="n">
        <x:v>4.1</x:v>
      </x:c>
      <x:c r="L555" s="114" t="n">
        <x:v>1</x:v>
      </x:c>
      <x:c r="M555" s="115"/>
      <x:c r="N555" s="115" t="n">
        <x:v>991.06</x:v>
      </x:c>
      <x:c r="O555" s="115" t="n">
        <x:v>1000</x:v>
      </x:c>
      <x:c r="P555" s="115" t="n">
        <x:v>94</x:v>
      </x:c>
      <x:c r="Q555" s="115" t="n">
        <x:v>98</x:v>
      </x:c>
      <x:c r="R555" s="115" t="n">
        <x:v>94</x:v>
      </x:c>
      <x:c r="S555" s="115" t="n">
        <x:v>94</x:v>
      </x:c>
      <x:c r="T555" s="114" t="n">
        <x:v>2</x:v>
      </x:c>
      <x:c r="U555" s="114"/>
      <x:c r="V555" s="115"/>
      <x:c r="W555" s="115" t="n">
        <x:v>95</x:v>
      </x:c>
      <x:c r="X555" s="115" t="n">
        <x:v>95</x:v>
      </x:c>
      <x:c r="Y555" s="115" t="str">
        <x:v>파생 단순평균(참고)</x:v>
      </x:c>
      <x:c r="Z555" s="114" t="n">
        <x:v>80</x:v>
      </x:c>
      <x:c r="AA555" s="115" t="n">
        <x:v>-15</x:v>
      </x:c>
      <x:c r="AB555" s="112" t="str">
        <x:v>상향</x:v>
      </x:c>
      <x:c r="AC555" s="115" t="n">
        <x:v>0</x:v>
      </x:c>
      <x:c r="AD555" s="115" t="n">
        <x:v>90.2</x:v>
      </x:c>
      <x:c r="AE555" s="115" t="n">
        <x:v>9.8</x:v>
      </x:c>
      <x:c r="AF555" s="113" t="str">
        <x:v>B: 공식 2025학년도 정시 과목별 70% 백분위 → 단순평균 파생</x:v>
      </x:c>
      <x:c r="AG555" s="112" t="str">
        <x:v>https://www.adiga.kr/ucp/uvt/uni/univDetailSelection.do?menuId=PCUVTINF2000&amp;searchSyr=2026&amp;unvCd=0000030</x:v>
      </x:c>
    </x:row>
    <x:row r="556">
      <x:c r="A556" s="114" t="n">
        <x:v>2025</x:v>
      </x:c>
      <x:c r="B556" s="112" t="str">
        <x:v>전북특별자치도</x:v>
      </x:c>
      <x:c r="C556" s="112" t="str">
        <x:v>국립</x:v>
      </x:c>
      <x:c r="D556" s="112" t="str">
        <x:v>국립군산대학교</x:v>
      </x:c>
      <x:c r="E556" s="112" t="str">
        <x:v>다</x:v>
      </x:c>
      <x:c r="F556" s="112" t="str">
        <x:v>수능위주(일반전형)</x:v>
      </x:c>
      <x:c r="G556" s="113" t="str">
        <x:v>컴퓨터소프트웨어특성화대학</x:v>
      </x:c>
      <x:c r="H556" s="114" t="n">
        <x:v>17</x:v>
      </x:c>
      <x:c r="I556" s="114" t="n">
        <x:v>91</x:v>
      </x:c>
      <x:c r="J556" s="114" t="n">
        <x:v>108</x:v>
      </x:c>
      <x:c r="K556" s="115" t="n">
        <x:v>2.1</x:v>
      </x:c>
      <x:c r="L556" s="114" t="n">
        <x:v>65</x:v>
      </x:c>
      <x:c r="M556" s="115"/>
      <x:c r="N556" s="115" t="n">
        <x:v>547.2</x:v>
      </x:c>
      <x:c r="O556" s="115" t="n">
        <x:v>1000</x:v>
      </x:c>
      <x:c r="P556" s="115" t="n">
        <x:v>20</x:v>
      </x:c>
      <x:c r="Q556" s="115" t="n">
        <x:v>74</x:v>
      </x:c>
      <x:c r="R556" s="115" t="n">
        <x:v>46</x:v>
      </x:c>
      <x:c r="S556" s="115" t="n">
        <x:v>8</x:v>
      </x:c>
      <x:c r="T556" s="114" t="n">
        <x:v>6</x:v>
      </x:c>
      <x:c r="U556" s="114" t="n">
        <x:v>4</x:v>
      </x:c>
      <x:c r="V556" s="115"/>
      <x:c r="W556" s="115" t="n">
        <x:v>37</x:v>
      </x:c>
      <x:c r="X556" s="115" t="n">
        <x:v>37</x:v>
      </x:c>
      <x:c r="Y556" s="115" t="str">
        <x:v>파생 단순평균(참고)</x:v>
      </x:c>
      <x:c r="Z556" s="114" t="n">
        <x:v>80</x:v>
      </x:c>
      <x:c r="AA556" s="115" t="n">
        <x:v>43</x:v>
      </x:c>
      <x:c r="AB556" s="112" t="str">
        <x:v>안정</x:v>
      </x:c>
      <x:c r="AC556" s="115" t="n">
        <x:v>20</x:v>
      </x:c>
      <x:c r="AD556" s="115" t="n">
        <x:v>77</x:v>
      </x:c>
      <x:c r="AE556" s="115" t="n">
        <x:v>3</x:v>
      </x:c>
      <x:c r="AF556" s="113" t="str">
        <x:v>B: 공식 2025학년도 정시 과목별 70% 백분위 → 단순평균 파생</x:v>
      </x:c>
      <x:c r="AG556" s="112" t="str">
        <x:v>https://www.adiga.kr/ucp/uvt/uni/univDetailSelection.do?menuId=PCUVTINF2000&amp;searchSyr=2026&amp;unvCd=0000009</x:v>
      </x:c>
    </x:row>
    <x:row r="557">
      <x:c r="A557" s="114" t="n">
        <x:v>2025</x:v>
      </x:c>
      <x:c r="B557" s="112" t="str">
        <x:v>전북특별자치도</x:v>
      </x:c>
      <x:c r="C557" s="112" t="str">
        <x:v>국립</x:v>
      </x:c>
      <x:c r="D557" s="112" t="str">
        <x:v>국립군산대학교</x:v>
      </x:c>
      <x:c r="E557" s="112" t="str">
        <x:v>다</x:v>
      </x:c>
      <x:c r="F557" s="112" t="str">
        <x:v>수능위주(일반전형)</x:v>
      </x:c>
      <x:c r="G557" s="113" t="str">
        <x:v>생명과학과</x:v>
      </x:c>
      <x:c r="H557" s="114" t="n">
        <x:v>1</x:v>
      </x:c>
      <x:c r="I557" s="114" t="n">
        <x:v>6</x:v>
      </x:c>
      <x:c r="J557" s="114" t="n">
        <x:v>7</x:v>
      </x:c>
      <x:c r="K557" s="115" t="n">
        <x:v>4.3</x:v>
      </x:c>
      <x:c r="L557" s="114" t="n">
        <x:v>12</x:v>
      </x:c>
      <x:c r="M557" s="115"/>
      <x:c r="N557" s="115" t="n">
        <x:v>615.65</x:v>
      </x:c>
      <x:c r="O557" s="115" t="n">
        <x:v>1000</x:v>
      </x:c>
      <x:c r="P557" s="115" t="n">
        <x:v>42</x:v>
      </x:c>
      <x:c r="Q557" s="115" t="n">
        <x:v>68</x:v>
      </x:c>
      <x:c r="R557" s="115" t="n">
        <x:v>62</x:v>
      </x:c>
      <x:c r="S557" s="115" t="n">
        <x:v>31</x:v>
      </x:c>
      <x:c r="T557" s="114" t="n">
        <x:v>6</x:v>
      </x:c>
      <x:c r="U557" s="114" t="n">
        <x:v>1</x:v>
      </x:c>
      <x:c r="V557" s="115"/>
      <x:c r="W557" s="115" t="n">
        <x:v>50.75</x:v>
      </x:c>
      <x:c r="X557" s="115" t="n">
        <x:v>50.75</x:v>
      </x:c>
      <x:c r="Y557" s="115" t="str">
        <x:v>파생 단순평균(참고)</x:v>
      </x:c>
      <x:c r="Z557" s="114" t="n">
        <x:v>80</x:v>
      </x:c>
      <x:c r="AA557" s="115" t="n">
        <x:v>29.25</x:v>
      </x:c>
      <x:c r="AB557" s="112" t="str">
        <x:v>안정</x:v>
      </x:c>
      <x:c r="AC557" s="115" t="n">
        <x:v>17</x:v>
      </x:c>
      <x:c r="AD557" s="115" t="n">
        <x:v>83</x:v>
      </x:c>
      <x:c r="AE557" s="115" t="n">
        <x:v>0</x:v>
      </x:c>
      <x:c r="AF557" s="113" t="str">
        <x:v>B: 공식 2025학년도 정시 과목별 70% 백분위 → 단순평균 파생</x:v>
      </x:c>
      <x:c r="AG557" s="112" t="str">
        <x:v>https://www.adiga.kr/ucp/uvt/uni/univDetailSelection.do?menuId=PCUVTINF2000&amp;searchSyr=2026&amp;unvCd=0000009</x:v>
      </x:c>
    </x:row>
    <x:row r="558">
      <x:c r="A558" s="114" t="n">
        <x:v>2025</x:v>
      </x:c>
      <x:c r="B558" s="112" t="str">
        <x:v>전북특별자치도</x:v>
      </x:c>
      <x:c r="C558" s="112" t="str">
        <x:v>국립</x:v>
      </x:c>
      <x:c r="D558" s="112" t="str">
        <x:v>국립군산대학교</x:v>
      </x:c>
      <x:c r="E558" s="112" t="str">
        <x:v>다</x:v>
      </x:c>
      <x:c r="F558" s="112" t="str">
        <x:v>수능위주(일반전형)</x:v>
      </x:c>
      <x:c r="G558" s="113" t="str">
        <x:v>해양수산공공인재학과</x:v>
      </x:c>
      <x:c r="H558" s="114" t="n">
        <x:v>0</x:v>
      </x:c>
      <x:c r="I558" s="114" t="n">
        <x:v>1</x:v>
      </x:c>
      <x:c r="J558" s="114" t="n">
        <x:v>1</x:v>
      </x:c>
      <x:c r="K558" s="115"/>
      <x:c r="L558" s="114"/>
      <x:c r="M558" s="115"/>
      <x:c r="N558" s="115" t="n">
        <x:v>533</x:v>
      </x:c>
      <x:c r="O558" s="115" t="n">
        <x:v>1000</x:v>
      </x:c>
      <x:c r="P558" s="115" t="n">
        <x:v>49</x:v>
      </x:c>
      <x:c r="Q558" s="115" t="n">
        <x:v>38</x:v>
      </x:c>
      <x:c r="R558" s="115" t="n">
        <x:v>10</x:v>
      </x:c>
      <x:c r="S558" s="115" t="n">
        <x:v>53</x:v>
      </x:c>
      <x:c r="T558" s="114" t="n">
        <x:v>4</x:v>
      </x:c>
      <x:c r="U558" s="114" t="n">
        <x:v>5</x:v>
      </x:c>
      <x:c r="V558" s="115"/>
      <x:c r="W558" s="115" t="n">
        <x:v>37.5</x:v>
      </x:c>
      <x:c r="X558" s="115" t="n">
        <x:v>37.5</x:v>
      </x:c>
      <x:c r="Y558" s="115" t="str">
        <x:v>파생 단순평균(참고)</x:v>
      </x:c>
      <x:c r="Z558" s="114" t="n">
        <x:v>80</x:v>
      </x:c>
      <x:c r="AA558" s="115" t="n">
        <x:v>42.5</x:v>
      </x:c>
      <x:c r="AB558" s="112" t="str">
        <x:v>안정</x:v>
      </x:c>
      <x:c r="AC558" s="115"/>
      <x:c r="AD558" s="115"/>
      <x:c r="AE558" s="115"/>
      <x:c r="AF558" s="113" t="str">
        <x:v>B: 공식 2025학년도 정시 과목별 70% 백분위 → 단순평균 파생; 최종등록자 표본이 매우 적어 해석 주의</x:v>
      </x:c>
      <x:c r="AG558" s="112" t="str">
        <x:v>https://www.adiga.kr/ucp/uvt/uni/univDetailSelection.do?menuId=PCUVTINF2000&amp;searchSyr=2026&amp;unvCd=0000009</x:v>
      </x:c>
    </x:row>
    <x:row r="559">
      <x:c r="A559" s="114" t="n">
        <x:v>2025</x:v>
      </x:c>
      <x:c r="B559" s="112" t="str">
        <x:v>전북특별자치도</x:v>
      </x:c>
      <x:c r="C559" s="112" t="str">
        <x:v>국립</x:v>
      </x:c>
      <x:c r="D559" s="112" t="str">
        <x:v>국립군산대학교</x:v>
      </x:c>
      <x:c r="E559" s="112" t="str">
        <x:v>다</x:v>
      </x:c>
      <x:c r="F559" s="112" t="str">
        <x:v>수능위주(일반전형)</x:v>
      </x:c>
      <x:c r="G559" s="113" t="str">
        <x:v>해양생명과학과</x:v>
      </x:c>
      <x:c r="H559" s="114" t="n">
        <x:v>0</x:v>
      </x:c>
      <x:c r="I559" s="114" t="n">
        <x:v>4</x:v>
      </x:c>
      <x:c r="J559" s="114" t="n">
        <x:v>4</x:v>
      </x:c>
      <x:c r="K559" s="115" t="n">
        <x:v>6.3</x:v>
      </x:c>
      <x:c r="L559" s="114" t="n">
        <x:v>2</x:v>
      </x:c>
      <x:c r="M559" s="115"/>
      <x:c r="N559" s="115" t="n">
        <x:v>578.45</x:v>
      </x:c>
      <x:c r="O559" s="115" t="n">
        <x:v>1000</x:v>
      </x:c>
      <x:c r="P559" s="115" t="n">
        <x:v>51</x:v>
      </x:c>
      <x:c r="Q559" s="115" t="n">
        <x:v>57</x:v>
      </x:c>
      <x:c r="R559" s="115" t="n">
        <x:v>19</x:v>
      </x:c>
      <x:c r="S559" s="115" t="n">
        <x:v>40</x:v>
      </x:c>
      <x:c r="T559" s="114" t="n">
        <x:v>5</x:v>
      </x:c>
      <x:c r="U559" s="114" t="n">
        <x:v>4</x:v>
      </x:c>
      <x:c r="V559" s="115"/>
      <x:c r="W559" s="115" t="n">
        <x:v>41.75</x:v>
      </x:c>
      <x:c r="X559" s="115" t="n">
        <x:v>41.75</x:v>
      </x:c>
      <x:c r="Y559" s="115" t="str">
        <x:v>파생 단순평균(참고)</x:v>
      </x:c>
      <x:c r="Z559" s="114" t="n">
        <x:v>80</x:v>
      </x:c>
      <x:c r="AA559" s="115" t="n">
        <x:v>38.25</x:v>
      </x:c>
      <x:c r="AB559" s="112" t="str">
        <x:v>안정</x:v>
      </x:c>
      <x:c r="AC559" s="115" t="n">
        <x:v>0</x:v>
      </x:c>
      <x:c r="AD559" s="115" t="n">
        <x:v>100</x:v>
      </x:c>
      <x:c r="AE559" s="115" t="n">
        <x:v>0</x:v>
      </x:c>
      <x:c r="AF559" s="113" t="str">
        <x:v>B: 공식 2025학년도 정시 과목별 70% 백분위 → 단순평균 파생</x:v>
      </x:c>
      <x:c r="AG559" s="112" t="str">
        <x:v>https://www.adiga.kr/ucp/uvt/uni/univDetailSelection.do?menuId=PCUVTINF2000&amp;searchSyr=2026&amp;unvCd=0000009</x:v>
      </x:c>
    </x:row>
    <x:row r="560">
      <x:c r="A560" s="114" t="n">
        <x:v>2025</x:v>
      </x:c>
      <x:c r="B560" s="112" t="str">
        <x:v>전북특별자치도</x:v>
      </x:c>
      <x:c r="C560" s="112" t="str">
        <x:v>국립</x:v>
      </x:c>
      <x:c r="D560" s="112" t="str">
        <x:v>국립군산대학교</x:v>
      </x:c>
      <x:c r="E560" s="112" t="str">
        <x:v>다</x:v>
      </x:c>
      <x:c r="F560" s="112" t="str">
        <x:v>수능위주(일반전형)</x:v>
      </x:c>
      <x:c r="G560" s="113" t="str">
        <x:v>해양생물자원학과</x:v>
      </x:c>
      <x:c r="H560" s="114" t="n">
        <x:v>0</x:v>
      </x:c>
      <x:c r="I560" s="114" t="n">
        <x:v>7</x:v>
      </x:c>
      <x:c r="J560" s="114" t="n">
        <x:v>7</x:v>
      </x:c>
      <x:c r="K560" s="115" t="n">
        <x:v>4.1</x:v>
      </x:c>
      <x:c r="L560" s="114" t="n">
        <x:v>9</x:v>
      </x:c>
      <x:c r="M560" s="115"/>
      <x:c r="N560" s="115" t="n">
        <x:v>547.6</x:v>
      </x:c>
      <x:c r="O560" s="115" t="n">
        <x:v>1000</x:v>
      </x:c>
      <x:c r="P560" s="115" t="n">
        <x:v>47</x:v>
      </x:c>
      <x:c r="Q560" s="115" t="n">
        <x:v>40</x:v>
      </x:c>
      <x:c r="R560" s="115" t="n">
        <x:v>41</x:v>
      </x:c>
      <x:c r="S560" s="115" t="n">
        <x:v>31</x:v>
      </x:c>
      <x:c r="T560" s="114" t="n">
        <x:v>4</x:v>
      </x:c>
      <x:c r="U560" s="114" t="n">
        <x:v>5</x:v>
      </x:c>
      <x:c r="V560" s="115"/>
      <x:c r="W560" s="115" t="n">
        <x:v>39.75</x:v>
      </x:c>
      <x:c r="X560" s="115" t="n">
        <x:v>39.75</x:v>
      </x:c>
      <x:c r="Y560" s="115" t="str">
        <x:v>파생 단순평균(참고)</x:v>
      </x:c>
      <x:c r="Z560" s="114" t="n">
        <x:v>80</x:v>
      </x:c>
      <x:c r="AA560" s="115" t="n">
        <x:v>40.25</x:v>
      </x:c>
      <x:c r="AB560" s="112" t="str">
        <x:v>안정</x:v>
      </x:c>
      <x:c r="AC560" s="115" t="n">
        <x:v>43</x:v>
      </x:c>
      <x:c r="AD560" s="115" t="n">
        <x:v>57</x:v>
      </x:c>
      <x:c r="AE560" s="115" t="n">
        <x:v>0</x:v>
      </x:c>
      <x:c r="AF560" s="113" t="str">
        <x:v>B: 공식 2025학년도 정시 과목별 70% 백분위 → 단순평균 파생</x:v>
      </x:c>
      <x:c r="AG560" s="112" t="str">
        <x:v>https://www.adiga.kr/ucp/uvt/uni/univDetailSelection.do?menuId=PCUVTINF2000&amp;searchSyr=2026&amp;unvCd=0000009</x:v>
      </x:c>
    </x:row>
    <x:row r="561">
      <x:c r="A561" s="136" t="n">
        <x:v>2025</x:v>
      </x:c>
      <x:c r="B561" s="111" t="str">
        <x:v>충청북도</x:v>
      </x:c>
      <x:c r="C561" s="111" t="str">
        <x:v>국립</x:v>
      </x:c>
      <x:c r="D561" s="111" t="str">
        <x:v>국립한국교통대학교</x:v>
      </x:c>
      <x:c r="E561" s="111" t="str">
        <x:v>가</x:v>
      </x:c>
      <x:c r="F561" s="111" t="str">
        <x:v>수능위주(일반전형)</x:v>
      </x:c>
      <x:c r="G561" s="113" t="str">
        <x:v>기계공학과</x:v>
      </x:c>
      <x:c r="H561" s="136" t="n">
        <x:v>4</x:v>
      </x:c>
      <x:c r="I561" s="136" t="n">
        <x:v>2</x:v>
      </x:c>
      <x:c r="J561" s="136" t="n">
        <x:v>6</x:v>
      </x:c>
      <x:c r="K561" s="137" t="n">
        <x:v>8.83</x:v>
      </x:c>
      <x:c r="L561" s="136" t="n">
        <x:v>9</x:v>
      </x:c>
      <x:c r="M561" s="137"/>
      <x:c r="N561" s="137" t="n">
        <x:v>796.7</x:v>
      </x:c>
      <x:c r="O561" s="137" t="n">
        <x:v>1000</x:v>
      </x:c>
      <x:c r="P561" s="137"/>
      <x:c r="Q561" s="137"/>
      <x:c r="R561" s="137"/>
      <x:c r="S561" s="137"/>
      <x:c r="T561" s="136"/>
      <x:c r="U561" s="136"/>
      <x:c r="V561" s="137" t="n">
        <x:v>79.67</x:v>
      </x:c>
      <x:c r="W561" s="137"/>
      <x:c r="X561" s="137" t="n">
        <x:v>79.67</x:v>
      </x:c>
      <x:c r="Y561" s="137" t="str">
        <x:v>공식 환산70÷10 → 상위3영역 평균</x:v>
      </x:c>
      <x:c r="Z561" s="136" t="n">
        <x:v>80</x:v>
      </x:c>
      <x:c r="AA561" s="137" t="n">
        <x:v>0.3299999999999983</x:v>
      </x:c>
      <x:c r="AB561" s="111" t="str">
        <x:v>소신</x:v>
      </x:c>
      <x:c r="AC561" s="137" t="n">
        <x:v>17</x:v>
      </x:c>
      <x:c r="AD561" s="137" t="n">
        <x:v>83</x:v>
      </x:c>
      <x:c r="AE561" s="137" t="n">
        <x:v>0</x:v>
      </x:c>
      <x:c r="AF56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1" s="111" t="str">
        <x:v>https://www.adiga.kr/ucp/uvt/uni/univDetailSelection.do?menuId=PCUVTINF2000&amp;searchSyr=2026&amp;unvCd=0000034</x:v>
      </x:c>
    </x:row>
    <x:row r="562">
      <x:c r="A562" s="136" t="n">
        <x:v>2025</x:v>
      </x:c>
      <x:c r="B562" s="111" t="str">
        <x:v>충청북도</x:v>
      </x:c>
      <x:c r="C562" s="111" t="str">
        <x:v>국립</x:v>
      </x:c>
      <x:c r="D562" s="111" t="str">
        <x:v>국립한국교통대학교</x:v>
      </x:c>
      <x:c r="E562" s="111" t="str">
        <x:v>가</x:v>
      </x:c>
      <x:c r="F562" s="111" t="str">
        <x:v>수능위주(일반전형)</x:v>
      </x:c>
      <x:c r="G562" s="113" t="str">
        <x:v>자동차공학과</x:v>
      </x:c>
      <x:c r="H562" s="136" t="n">
        <x:v>5</x:v>
      </x:c>
      <x:c r="I562" s="136" t="n">
        <x:v>2</x:v>
      </x:c>
      <x:c r="J562" s="136" t="n">
        <x:v>7</x:v>
      </x:c>
      <x:c r="K562" s="137" t="n">
        <x:v>9.71</x:v>
      </x:c>
      <x:c r="L562" s="136" t="n">
        <x:v>8</x:v>
      </x:c>
      <x:c r="M562" s="137"/>
      <x:c r="N562" s="137" t="n">
        <x:v>786.7</x:v>
      </x:c>
      <x:c r="O562" s="137" t="n">
        <x:v>1000</x:v>
      </x:c>
      <x:c r="P562" s="137"/>
      <x:c r="Q562" s="137"/>
      <x:c r="R562" s="137"/>
      <x:c r="S562" s="137"/>
      <x:c r="T562" s="136"/>
      <x:c r="U562" s="136"/>
      <x:c r="V562" s="137" t="n">
        <x:v>78.67</x:v>
      </x:c>
      <x:c r="W562" s="137"/>
      <x:c r="X562" s="137" t="n">
        <x:v>78.67</x:v>
      </x:c>
      <x:c r="Y562" s="137" t="str">
        <x:v>공식 환산70÷10 → 상위3영역 평균</x:v>
      </x:c>
      <x:c r="Z562" s="136" t="n">
        <x:v>80</x:v>
      </x:c>
      <x:c r="AA562" s="137" t="n">
        <x:v>1.3299999999999983</x:v>
      </x:c>
      <x:c r="AB562" s="111" t="str">
        <x:v>적정</x:v>
      </x:c>
      <x:c r="AC562" s="137" t="n">
        <x:v>43</x:v>
      </x:c>
      <x:c r="AD562" s="137" t="n">
        <x:v>57</x:v>
      </x:c>
      <x:c r="AE562" s="137" t="n">
        <x:v>0</x:v>
      </x:c>
      <x:c r="AF56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2" s="111" t="str">
        <x:v>https://www.adiga.kr/ucp/uvt/uni/univDetailSelection.do?menuId=PCUVTINF2000&amp;searchSyr=2026&amp;unvCd=0000034</x:v>
      </x:c>
    </x:row>
    <x:row r="563">
      <x:c r="A563" s="136" t="n">
        <x:v>2025</x:v>
      </x:c>
      <x:c r="B563" s="111" t="str">
        <x:v>충청북도</x:v>
      </x:c>
      <x:c r="C563" s="111" t="str">
        <x:v>국립</x:v>
      </x:c>
      <x:c r="D563" s="111" t="str">
        <x:v>국립한국교통대학교</x:v>
      </x:c>
      <x:c r="E563" s="111" t="str">
        <x:v>가</x:v>
      </x:c>
      <x:c r="F563" s="111" t="str">
        <x:v>수능위주(일반전형)</x:v>
      </x:c>
      <x:c r="G563" s="113" t="str">
        <x:v>항공·기계설계학과</x:v>
      </x:c>
      <x:c r="H563" s="136" t="n">
        <x:v>3</x:v>
      </x:c>
      <x:c r="I563" s="136" t="n">
        <x:v>3</x:v>
      </x:c>
      <x:c r="J563" s="136" t="n">
        <x:v>6</x:v>
      </x:c>
      <x:c r="K563" s="137" t="n">
        <x:v>5.33</x:v>
      </x:c>
      <x:c r="L563" s="136" t="n">
        <x:v>8</x:v>
      </x:c>
      <x:c r="M563" s="137"/>
      <x:c r="N563" s="137" t="n">
        <x:v>803.3</x:v>
      </x:c>
      <x:c r="O563" s="137" t="n">
        <x:v>1000</x:v>
      </x:c>
      <x:c r="P563" s="137"/>
      <x:c r="Q563" s="137"/>
      <x:c r="R563" s="137"/>
      <x:c r="S563" s="137"/>
      <x:c r="T563" s="136"/>
      <x:c r="U563" s="136"/>
      <x:c r="V563" s="137" t="n">
        <x:v>80.33</x:v>
      </x:c>
      <x:c r="W563" s="137"/>
      <x:c r="X563" s="137" t="n">
        <x:v>80.33</x:v>
      </x:c>
      <x:c r="Y563" s="137" t="str">
        <x:v>공식 환산70÷10 → 상위3영역 평균</x:v>
      </x:c>
      <x:c r="Z563" s="136" t="n">
        <x:v>80</x:v>
      </x:c>
      <x:c r="AA563" s="137" t="n">
        <x:v>-0.3299999999999983</x:v>
      </x:c>
      <x:c r="AB563" s="111" t="str">
        <x:v>소신</x:v>
      </x:c>
      <x:c r="AC563" s="137" t="n">
        <x:v>17</x:v>
      </x:c>
      <x:c r="AD563" s="137" t="n">
        <x:v>83</x:v>
      </x:c>
      <x:c r="AE563" s="137" t="n">
        <x:v>0</x:v>
      </x:c>
      <x:c r="AF56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3" s="111" t="str">
        <x:v>https://www.adiga.kr/ucp/uvt/uni/univDetailSelection.do?menuId=PCUVTINF2000&amp;searchSyr=2026&amp;unvCd=0000034</x:v>
      </x:c>
    </x:row>
    <x:row r="564">
      <x:c r="A564" s="136" t="n">
        <x:v>2025</x:v>
      </x:c>
      <x:c r="B564" s="111" t="str">
        <x:v>충청북도</x:v>
      </x:c>
      <x:c r="C564" s="111" t="str">
        <x:v>국립</x:v>
      </x:c>
      <x:c r="D564" s="111" t="str">
        <x:v>국립한국교통대학교</x:v>
      </x:c>
      <x:c r="E564" s="111" t="str">
        <x:v>가</x:v>
      </x:c>
      <x:c r="F564" s="111" t="str">
        <x:v>수능위주(일반전형)</x:v>
      </x:c>
      <x:c r="G564" s="113" t="str">
        <x:v>전기공학과</x:v>
      </x:c>
      <x:c r="H564" s="136" t="n">
        <x:v>3</x:v>
      </x:c>
      <x:c r="I564" s="136" t="n">
        <x:v>0</x:v>
      </x:c>
      <x:c r="J564" s="136" t="n">
        <x:v>3</x:v>
      </x:c>
      <x:c r="K564" s="137" t="n">
        <x:v>6</x:v>
      </x:c>
      <x:c r="L564" s="136" t="n">
        <x:v>3</x:v>
      </x:c>
      <x:c r="M564" s="137"/>
      <x:c r="N564" s="137" t="n">
        <x:v>803.3</x:v>
      </x:c>
      <x:c r="O564" s="137" t="n">
        <x:v>1000</x:v>
      </x:c>
      <x:c r="P564" s="137"/>
      <x:c r="Q564" s="137"/>
      <x:c r="R564" s="137"/>
      <x:c r="S564" s="137"/>
      <x:c r="T564" s="136"/>
      <x:c r="U564" s="136"/>
      <x:c r="V564" s="137" t="n">
        <x:v>80.33</x:v>
      </x:c>
      <x:c r="W564" s="137"/>
      <x:c r="X564" s="137" t="n">
        <x:v>80.33</x:v>
      </x:c>
      <x:c r="Y564" s="137" t="str">
        <x:v>공식 환산70÷10 → 상위3영역 평균</x:v>
      </x:c>
      <x:c r="Z564" s="136" t="n">
        <x:v>80</x:v>
      </x:c>
      <x:c r="AA564" s="137" t="n">
        <x:v>-0.3299999999999983</x:v>
      </x:c>
      <x:c r="AB564" s="111" t="str">
        <x:v>소신</x:v>
      </x:c>
      <x:c r="AC564" s="137" t="n">
        <x:v>0</x:v>
      </x:c>
      <x:c r="AD564" s="137" t="n">
        <x:v>100</x:v>
      </x:c>
      <x:c r="AE564" s="137" t="n">
        <x:v>0</x:v>
      </x:c>
      <x:c r="AF56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4" s="111" t="str">
        <x:v>https://www.adiga.kr/ucp/uvt/uni/univDetailSelection.do?menuId=PCUVTINF2000&amp;searchSyr=2026&amp;unvCd=0000034</x:v>
      </x:c>
    </x:row>
    <x:row r="565">
      <x:c r="A565" s="136" t="n">
        <x:v>2025</x:v>
      </x:c>
      <x:c r="B565" s="111" t="str">
        <x:v>충청북도</x:v>
      </x:c>
      <x:c r="C565" s="111" t="str">
        <x:v>국립</x:v>
      </x:c>
      <x:c r="D565" s="111" t="str">
        <x:v>국립한국교통대학교</x:v>
      </x:c>
      <x:c r="E565" s="111" t="str">
        <x:v>가</x:v>
      </x:c>
      <x:c r="F565" s="111" t="str">
        <x:v>수능위주(일반전형)</x:v>
      </x:c>
      <x:c r="G565" s="113" t="str">
        <x:v>전자공학과</x:v>
      </x:c>
      <x:c r="H565" s="136" t="n">
        <x:v>8</x:v>
      </x:c>
      <x:c r="I565" s="136" t="n">
        <x:v>3</x:v>
      </x:c>
      <x:c r="J565" s="136" t="n">
        <x:v>11</x:v>
      </x:c>
      <x:c r="K565" s="137" t="n">
        <x:v>5.82</x:v>
      </x:c>
      <x:c r="L565" s="136" t="n">
        <x:v>22</x:v>
      </x:c>
      <x:c r="M565" s="137"/>
      <x:c r="N565" s="137" t="n">
        <x:v>793.3</x:v>
      </x:c>
      <x:c r="O565" s="137" t="n">
        <x:v>1000</x:v>
      </x:c>
      <x:c r="P565" s="137"/>
      <x:c r="Q565" s="137"/>
      <x:c r="R565" s="137"/>
      <x:c r="S565" s="137"/>
      <x:c r="T565" s="136"/>
      <x:c r="U565" s="136"/>
      <x:c r="V565" s="137" t="n">
        <x:v>79.33</x:v>
      </x:c>
      <x:c r="W565" s="137"/>
      <x:c r="X565" s="137" t="n">
        <x:v>79.33</x:v>
      </x:c>
      <x:c r="Y565" s="137" t="str">
        <x:v>공식 환산70÷10 → 상위3영역 평균</x:v>
      </x:c>
      <x:c r="Z565" s="136" t="n">
        <x:v>80</x:v>
      </x:c>
      <x:c r="AA565" s="137" t="n">
        <x:v>0.6700000000000017</x:v>
      </x:c>
      <x:c r="AB565" s="111" t="str">
        <x:v>소신</x:v>
      </x:c>
      <x:c r="AC565" s="137" t="n">
        <x:v>31</x:v>
      </x:c>
      <x:c r="AD565" s="137" t="n">
        <x:v>62</x:v>
      </x:c>
      <x:c r="AE565" s="137" t="n">
        <x:v>8</x:v>
      </x:c>
      <x:c r="AF56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5" s="111" t="str">
        <x:v>https://www.adiga.kr/ucp/uvt/uni/univDetailSelection.do?menuId=PCUVTINF2000&amp;searchSyr=2026&amp;unvCd=0000034</x:v>
      </x:c>
    </x:row>
    <x:row r="566">
      <x:c r="A566" s="136" t="n">
        <x:v>2025</x:v>
      </x:c>
      <x:c r="B566" s="111" t="str">
        <x:v>충청북도</x:v>
      </x:c>
      <x:c r="C566" s="111" t="str">
        <x:v>국립</x:v>
      </x:c>
      <x:c r="D566" s="111" t="str">
        <x:v>국립한국교통대학교</x:v>
      </x:c>
      <x:c r="E566" s="111" t="str">
        <x:v>가</x:v>
      </x:c>
      <x:c r="F566" s="111" t="str">
        <x:v>수능위주(일반전형)</x:v>
      </x:c>
      <x:c r="G566" s="113" t="str">
        <x:v>컴퓨터공학과</x:v>
      </x:c>
      <x:c r="H566" s="136" t="n">
        <x:v>4</x:v>
      </x:c>
      <x:c r="I566" s="136" t="n">
        <x:v>0</x:v>
      </x:c>
      <x:c r="J566" s="136" t="n">
        <x:v>4</x:v>
      </x:c>
      <x:c r="K566" s="137" t="n">
        <x:v>5.75</x:v>
      </x:c>
      <x:c r="L566" s="136" t="n">
        <x:v>4</x:v>
      </x:c>
      <x:c r="M566" s="137"/>
      <x:c r="N566" s="137" t="n">
        <x:v>793.3</x:v>
      </x:c>
      <x:c r="O566" s="137" t="n">
        <x:v>1000</x:v>
      </x:c>
      <x:c r="P566" s="137"/>
      <x:c r="Q566" s="137"/>
      <x:c r="R566" s="137"/>
      <x:c r="S566" s="137"/>
      <x:c r="T566" s="136"/>
      <x:c r="U566" s="136"/>
      <x:c r="V566" s="137" t="n">
        <x:v>79.33</x:v>
      </x:c>
      <x:c r="W566" s="137"/>
      <x:c r="X566" s="137" t="n">
        <x:v>79.33</x:v>
      </x:c>
      <x:c r="Y566" s="137" t="str">
        <x:v>공식 환산70÷10 → 상위3영역 평균</x:v>
      </x:c>
      <x:c r="Z566" s="136" t="n">
        <x:v>80</x:v>
      </x:c>
      <x:c r="AA566" s="137" t="n">
        <x:v>0.6700000000000017</x:v>
      </x:c>
      <x:c r="AB566" s="111" t="str">
        <x:v>소신</x:v>
      </x:c>
      <x:c r="AC566" s="137" t="n">
        <x:v>0</x:v>
      </x:c>
      <x:c r="AD566" s="137" t="n">
        <x:v>83</x:v>
      </x:c>
      <x:c r="AE566" s="137" t="n">
        <x:v>17</x:v>
      </x:c>
      <x:c r="AF566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6" s="111" t="str">
        <x:v>https://www.adiga.kr/ucp/uvt/uni/univDetailSelection.do?menuId=PCUVTINF2000&amp;searchSyr=2026&amp;unvCd=0000034</x:v>
      </x:c>
    </x:row>
    <x:row r="567">
      <x:c r="A567" s="136" t="n">
        <x:v>2025</x:v>
      </x:c>
      <x:c r="B567" s="111" t="str">
        <x:v>충청북도</x:v>
      </x:c>
      <x:c r="C567" s="111" t="str">
        <x:v>국립</x:v>
      </x:c>
      <x:c r="D567" s="111" t="str">
        <x:v>국립한국교통대학교</x:v>
      </x:c>
      <x:c r="E567" s="111" t="str">
        <x:v>가</x:v>
      </x:c>
      <x:c r="F567" s="111" t="str">
        <x:v>수능위주(일반전형)</x:v>
      </x:c>
      <x:c r="G567" s="113" t="str">
        <x:v>컴퓨터소프트웨어학과</x:v>
      </x:c>
      <x:c r="H567" s="136" t="n">
        <x:v>2</x:v>
      </x:c>
      <x:c r="I567" s="136" t="n">
        <x:v>1</x:v>
      </x:c>
      <x:c r="J567" s="136" t="n">
        <x:v>3</x:v>
      </x:c>
      <x:c r="K567" s="137" t="n">
        <x:v>7.33</x:v>
      </x:c>
      <x:c r="L567" s="136" t="n">
        <x:v>3</x:v>
      </x:c>
      <x:c r="M567" s="137"/>
      <x:c r="N567" s="137" t="n">
        <x:v>806.7</x:v>
      </x:c>
      <x:c r="O567" s="137" t="n">
        <x:v>1000</x:v>
      </x:c>
      <x:c r="P567" s="137"/>
      <x:c r="Q567" s="137"/>
      <x:c r="R567" s="137"/>
      <x:c r="S567" s="137"/>
      <x:c r="T567" s="136"/>
      <x:c r="U567" s="136"/>
      <x:c r="V567" s="137" t="n">
        <x:v>80.67</x:v>
      </x:c>
      <x:c r="W567" s="137"/>
      <x:c r="X567" s="137" t="n">
        <x:v>80.67</x:v>
      </x:c>
      <x:c r="Y567" s="137" t="str">
        <x:v>공식 환산70÷10 → 상위3영역 평균</x:v>
      </x:c>
      <x:c r="Z567" s="136" t="n">
        <x:v>80</x:v>
      </x:c>
      <x:c r="AA567" s="137" t="n">
        <x:v>-0.6700000000000017</x:v>
      </x:c>
      <x:c r="AB567" s="111" t="str">
        <x:v>소신</x:v>
      </x:c>
      <x:c r="AC567" s="137" t="n">
        <x:v>0</x:v>
      </x:c>
      <x:c r="AD567" s="137" t="n">
        <x:v>100</x:v>
      </x:c>
      <x:c r="AE567" s="137" t="n">
        <x:v>0</x:v>
      </x:c>
      <x:c r="AF567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7" s="111" t="str">
        <x:v>https://www.adiga.kr/ucp/uvt/uni/univDetailSelection.do?menuId=PCUVTINF2000&amp;searchSyr=2026&amp;unvCd=0000034</x:v>
      </x:c>
    </x:row>
    <x:row r="568">
      <x:c r="A568" s="136" t="n">
        <x:v>2025</x:v>
      </x:c>
      <x:c r="B568" s="111" t="str">
        <x:v>충청북도</x:v>
      </x:c>
      <x:c r="C568" s="111" t="str">
        <x:v>국립</x:v>
      </x:c>
      <x:c r="D568" s="111" t="str">
        <x:v>국립한국교통대학교</x:v>
      </x:c>
      <x:c r="E568" s="111" t="str">
        <x:v>가</x:v>
      </x:c>
      <x:c r="F568" s="111" t="str">
        <x:v>수능위주(일반전형)</x:v>
      </x:c>
      <x:c r="G568" s="113" t="str">
        <x:v>영어영문학과</x:v>
      </x:c>
      <x:c r="H568" s="136" t="n">
        <x:v>4</x:v>
      </x:c>
      <x:c r="I568" s="136" t="n">
        <x:v>4</x:v>
      </x:c>
      <x:c r="J568" s="136" t="n">
        <x:v>8</x:v>
      </x:c>
      <x:c r="K568" s="137" t="n">
        <x:v>6.5</x:v>
      </x:c>
      <x:c r="L568" s="136" t="n">
        <x:v>10</x:v>
      </x:c>
      <x:c r="M568" s="137"/>
      <x:c r="N568" s="137" t="n">
        <x:v>770</x:v>
      </x:c>
      <x:c r="O568" s="137" t="n">
        <x:v>1000</x:v>
      </x:c>
      <x:c r="P568" s="137"/>
      <x:c r="Q568" s="137"/>
      <x:c r="R568" s="137"/>
      <x:c r="S568" s="137"/>
      <x:c r="T568" s="136"/>
      <x:c r="U568" s="136"/>
      <x:c r="V568" s="137" t="n">
        <x:v>77</x:v>
      </x:c>
      <x:c r="W568" s="137"/>
      <x:c r="X568" s="137" t="n">
        <x:v>77</x:v>
      </x:c>
      <x:c r="Y568" s="137" t="str">
        <x:v>공식 환산70÷10 → 상위3영역 평균</x:v>
      </x:c>
      <x:c r="Z568" s="136" t="n">
        <x:v>80</x:v>
      </x:c>
      <x:c r="AA568" s="137" t="n">
        <x:v>3</x:v>
      </x:c>
      <x:c r="AB568" s="111" t="str">
        <x:v>적정</x:v>
      </x:c>
      <x:c r="AC568" s="137" t="n">
        <x:v>67</x:v>
      </x:c>
      <x:c r="AD568" s="137" t="n">
        <x:v>22</x:v>
      </x:c>
      <x:c r="AE568" s="137" t="n">
        <x:v>0</x:v>
      </x:c>
      <x:c r="AF568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8" s="111" t="str">
        <x:v>https://www.adiga.kr/ucp/uvt/uni/univDetailSelection.do?menuId=PCUVTINF2000&amp;searchSyr=2026&amp;unvCd=0000034</x:v>
      </x:c>
    </x:row>
    <x:row r="569">
      <x:c r="A569" s="136" t="n">
        <x:v>2025</x:v>
      </x:c>
      <x:c r="B569" s="111" t="str">
        <x:v>충청북도</x:v>
      </x:c>
      <x:c r="C569" s="111" t="str">
        <x:v>국립</x:v>
      </x:c>
      <x:c r="D569" s="111" t="str">
        <x:v>국립한국교통대학교</x:v>
      </x:c>
      <x:c r="E569" s="111" t="str">
        <x:v>가</x:v>
      </x:c>
      <x:c r="F569" s="111" t="str">
        <x:v>수능위주(일반전형)</x:v>
      </x:c>
      <x:c r="G569" s="113" t="str">
        <x:v>중국어학과</x:v>
      </x:c>
      <x:c r="H569" s="136" t="n">
        <x:v>3</x:v>
      </x:c>
      <x:c r="I569" s="136" t="n">
        <x:v>2</x:v>
      </x:c>
      <x:c r="J569" s="136" t="n">
        <x:v>5</x:v>
      </x:c>
      <x:c r="K569" s="137" t="n">
        <x:v>5.2</x:v>
      </x:c>
      <x:c r="L569" s="136" t="n">
        <x:v>9</x:v>
      </x:c>
      <x:c r="M569" s="137"/>
      <x:c r="N569" s="137" t="n">
        <x:v>743.3</x:v>
      </x:c>
      <x:c r="O569" s="137" t="n">
        <x:v>1000</x:v>
      </x:c>
      <x:c r="P569" s="137"/>
      <x:c r="Q569" s="137"/>
      <x:c r="R569" s="137"/>
      <x:c r="S569" s="137"/>
      <x:c r="T569" s="136"/>
      <x:c r="U569" s="136"/>
      <x:c r="V569" s="137" t="n">
        <x:v>74.33</x:v>
      </x:c>
      <x:c r="W569" s="137"/>
      <x:c r="X569" s="137" t="n">
        <x:v>74.33</x:v>
      </x:c>
      <x:c r="Y569" s="137" t="str">
        <x:v>공식 환산70÷10 → 상위3영역 평균</x:v>
      </x:c>
      <x:c r="Z569" s="136" t="n">
        <x:v>80</x:v>
      </x:c>
      <x:c r="AA569" s="137" t="n">
        <x:v>5.670000000000002</x:v>
      </x:c>
      <x:c r="AB569" s="111" t="str">
        <x:v>안정</x:v>
      </x:c>
      <x:c r="AC569" s="137" t="n">
        <x:v>60</x:v>
      </x:c>
      <x:c r="AD569" s="137" t="n">
        <x:v>40</x:v>
      </x:c>
      <x:c r="AE569" s="137" t="n">
        <x:v>0</x:v>
      </x:c>
      <x:c r="AF569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69" s="111" t="str">
        <x:v>https://www.adiga.kr/ucp/uvt/uni/univDetailSelection.do?menuId=PCUVTINF2000&amp;searchSyr=2026&amp;unvCd=0000034</x:v>
      </x:c>
    </x:row>
    <x:row r="570">
      <x:c r="A570" s="136" t="n">
        <x:v>2025</x:v>
      </x:c>
      <x:c r="B570" s="111" t="str">
        <x:v>충청북도</x:v>
      </x:c>
      <x:c r="C570" s="111" t="str">
        <x:v>국립</x:v>
      </x:c>
      <x:c r="D570" s="111" t="str">
        <x:v>국립한국교통대학교</x:v>
      </x:c>
      <x:c r="E570" s="111" t="str">
        <x:v>가</x:v>
      </x:c>
      <x:c r="F570" s="111" t="str">
        <x:v>수능위주(일반전형)</x:v>
      </x:c>
      <x:c r="G570" s="113" t="str">
        <x:v>한국어문학과</x:v>
      </x:c>
      <x:c r="H570" s="136" t="n">
        <x:v>4</x:v>
      </x:c>
      <x:c r="I570" s="136" t="n">
        <x:v>0</x:v>
      </x:c>
      <x:c r="J570" s="136" t="n">
        <x:v>4</x:v>
      </x:c>
      <x:c r="K570" s="137" t="n">
        <x:v>9.25</x:v>
      </x:c>
      <x:c r="L570" s="136" t="n">
        <x:v>4</x:v>
      </x:c>
      <x:c r="M570" s="137"/>
      <x:c r="N570" s="137" t="n">
        <x:v>770</x:v>
      </x:c>
      <x:c r="O570" s="137" t="n">
        <x:v>1000</x:v>
      </x:c>
      <x:c r="P570" s="137"/>
      <x:c r="Q570" s="137"/>
      <x:c r="R570" s="137"/>
      <x:c r="S570" s="137"/>
      <x:c r="T570" s="136"/>
      <x:c r="U570" s="136"/>
      <x:c r="V570" s="137" t="n">
        <x:v>77</x:v>
      </x:c>
      <x:c r="W570" s="137"/>
      <x:c r="X570" s="137" t="n">
        <x:v>77</x:v>
      </x:c>
      <x:c r="Y570" s="137" t="str">
        <x:v>공식 환산70÷10 → 상위3영역 평균</x:v>
      </x:c>
      <x:c r="Z570" s="136" t="n">
        <x:v>80</x:v>
      </x:c>
      <x:c r="AA570" s="137" t="n">
        <x:v>3</x:v>
      </x:c>
      <x:c r="AB570" s="111" t="str">
        <x:v>적정</x:v>
      </x:c>
      <x:c r="AC570" s="137" t="n">
        <x:v>75</x:v>
      </x:c>
      <x:c r="AD570" s="137" t="n">
        <x:v>25</x:v>
      </x:c>
      <x:c r="AE570" s="137" t="n">
        <x:v>0</x:v>
      </x:c>
      <x:c r="AF570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0" s="111" t="str">
        <x:v>https://www.adiga.kr/ucp/uvt/uni/univDetailSelection.do?menuId=PCUVTINF2000&amp;searchSyr=2026&amp;unvCd=0000034</x:v>
      </x:c>
    </x:row>
    <x:row r="571">
      <x:c r="A571" s="136" t="n">
        <x:v>2025</x:v>
      </x:c>
      <x:c r="B571" s="111" t="str">
        <x:v>충청북도</x:v>
      </x:c>
      <x:c r="C571" s="111" t="str">
        <x:v>국립</x:v>
      </x:c>
      <x:c r="D571" s="111" t="str">
        <x:v>국립한국교통대학교</x:v>
      </x:c>
      <x:c r="E571" s="111" t="str">
        <x:v>가</x:v>
      </x:c>
      <x:c r="F571" s="111" t="str">
        <x:v>수능위주(일반전형)</x:v>
      </x:c>
      <x:c r="G571" s="113" t="str">
        <x:v>행정학과</x:v>
      </x:c>
      <x:c r="H571" s="136" t="n">
        <x:v>3</x:v>
      </x:c>
      <x:c r="I571" s="136" t="n">
        <x:v>2</x:v>
      </x:c>
      <x:c r="J571" s="136" t="n">
        <x:v>5</x:v>
      </x:c>
      <x:c r="K571" s="137" t="n">
        <x:v>7.4</x:v>
      </x:c>
      <x:c r="L571" s="136" t="n">
        <x:v>7</x:v>
      </x:c>
      <x:c r="M571" s="137"/>
      <x:c r="N571" s="137" t="n">
        <x:v>800</x:v>
      </x:c>
      <x:c r="O571" s="137" t="n">
        <x:v>1000</x:v>
      </x:c>
      <x:c r="P571" s="137"/>
      <x:c r="Q571" s="137"/>
      <x:c r="R571" s="137"/>
      <x:c r="S571" s="137"/>
      <x:c r="T571" s="136"/>
      <x:c r="U571" s="136"/>
      <x:c r="V571" s="137" t="n">
        <x:v>80</x:v>
      </x:c>
      <x:c r="W571" s="137"/>
      <x:c r="X571" s="137" t="n">
        <x:v>80</x:v>
      </x:c>
      <x:c r="Y571" s="137" t="str">
        <x:v>공식 환산70÷10 → 상위3영역 평균</x:v>
      </x:c>
      <x:c r="Z571" s="136" t="n">
        <x:v>80</x:v>
      </x:c>
      <x:c r="AA571" s="137" t="n">
        <x:v>0</x:v>
      </x:c>
      <x:c r="AB571" s="111" t="str">
        <x:v>소신</x:v>
      </x:c>
      <x:c r="AC571" s="137" t="n">
        <x:v>100</x:v>
      </x:c>
      <x:c r="AD571" s="137" t="n">
        <x:v>0</x:v>
      </x:c>
      <x:c r="AE571" s="137" t="n">
        <x:v>0</x:v>
      </x:c>
      <x:c r="AF57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1" s="111" t="str">
        <x:v>https://www.adiga.kr/ucp/uvt/uni/univDetailSelection.do?menuId=PCUVTINF2000&amp;searchSyr=2026&amp;unvCd=0000034</x:v>
      </x:c>
    </x:row>
    <x:row r="572">
      <x:c r="A572" s="136" t="n">
        <x:v>2025</x:v>
      </x:c>
      <x:c r="B572" s="111" t="str">
        <x:v>충청북도</x:v>
      </x:c>
      <x:c r="C572" s="111" t="str">
        <x:v>국립</x:v>
      </x:c>
      <x:c r="D572" s="111" t="str">
        <x:v>국립한국교통대학교</x:v>
      </x:c>
      <x:c r="E572" s="111" t="str">
        <x:v>가</x:v>
      </x:c>
      <x:c r="F572" s="111" t="str">
        <x:v>수능위주(일반전형)</x:v>
      </x:c>
      <x:c r="G572" s="113" t="str">
        <x:v>행정정보융합학과</x:v>
      </x:c>
      <x:c r="H572" s="136" t="n">
        <x:v>1</x:v>
      </x:c>
      <x:c r="I572" s="136" t="n">
        <x:v>1</x:v>
      </x:c>
      <x:c r="J572" s="136" t="n">
        <x:v>2</x:v>
      </x:c>
      <x:c r="K572" s="137" t="n">
        <x:v>8</x:v>
      </x:c>
      <x:c r="L572" s="136" t="n">
        <x:v>7</x:v>
      </x:c>
      <x:c r="M572" s="137"/>
      <x:c r="N572" s="137" t="n">
        <x:v>756.7</x:v>
      </x:c>
      <x:c r="O572" s="137" t="n">
        <x:v>1000</x:v>
      </x:c>
      <x:c r="P572" s="137"/>
      <x:c r="Q572" s="137"/>
      <x:c r="R572" s="137"/>
      <x:c r="S572" s="137"/>
      <x:c r="T572" s="136"/>
      <x:c r="U572" s="136"/>
      <x:c r="V572" s="137" t="n">
        <x:v>75.67</x:v>
      </x:c>
      <x:c r="W572" s="137"/>
      <x:c r="X572" s="137" t="n">
        <x:v>75.67</x:v>
      </x:c>
      <x:c r="Y572" s="137" t="str">
        <x:v>공식 환산70÷10 → 상위3영역 평균</x:v>
      </x:c>
      <x:c r="Z572" s="136" t="n">
        <x:v>80</x:v>
      </x:c>
      <x:c r="AA572" s="137" t="n">
        <x:v>4.329999999999998</x:v>
      </x:c>
      <x:c r="AB572" s="111" t="str">
        <x:v>적정</x:v>
      </x:c>
      <x:c r="AC572" s="137" t="n">
        <x:v>67</x:v>
      </x:c>
      <x:c r="AD572" s="137" t="n">
        <x:v>33</x:v>
      </x:c>
      <x:c r="AE572" s="137" t="n">
        <x:v>0</x:v>
      </x:c>
      <x:c r="AF57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2" s="111" t="str">
        <x:v>https://www.adiga.kr/ucp/uvt/uni/univDetailSelection.do?menuId=PCUVTINF2000&amp;searchSyr=2026&amp;unvCd=0000034</x:v>
      </x:c>
    </x:row>
    <x:row r="573">
      <x:c r="A573" s="136" t="n">
        <x:v>2025</x:v>
      </x:c>
      <x:c r="B573" s="111" t="str">
        <x:v>충청북도</x:v>
      </x:c>
      <x:c r="C573" s="111" t="str">
        <x:v>국립</x:v>
      </x:c>
      <x:c r="D573" s="111" t="str">
        <x:v>국립한국교통대학교</x:v>
      </x:c>
      <x:c r="E573" s="111" t="str">
        <x:v>가</x:v>
      </x:c>
      <x:c r="F573" s="111" t="str">
        <x:v>수능위주(일반전형)</x:v>
      </x:c>
      <x:c r="G573" s="113" t="str">
        <x:v>경영학과</x:v>
      </x:c>
      <x:c r="H573" s="136" t="n">
        <x:v>2</x:v>
      </x:c>
      <x:c r="I573" s="136" t="n">
        <x:v>0</x:v>
      </x:c>
      <x:c r="J573" s="136" t="n">
        <x:v>2</x:v>
      </x:c>
      <x:c r="K573" s="137" t="n">
        <x:v>11.5</x:v>
      </x:c>
      <x:c r="L573" s="136" t="n">
        <x:v>4</x:v>
      </x:c>
      <x:c r="M573" s="137"/>
      <x:c r="N573" s="137" t="n">
        <x:v>843.3</x:v>
      </x:c>
      <x:c r="O573" s="137" t="n">
        <x:v>1000</x:v>
      </x:c>
      <x:c r="P573" s="137"/>
      <x:c r="Q573" s="137"/>
      <x:c r="R573" s="137"/>
      <x:c r="S573" s="137"/>
      <x:c r="T573" s="136"/>
      <x:c r="U573" s="136"/>
      <x:c r="V573" s="137" t="n">
        <x:v>84.33</x:v>
      </x:c>
      <x:c r="W573" s="137"/>
      <x:c r="X573" s="137" t="n">
        <x:v>84.33</x:v>
      </x:c>
      <x:c r="Y573" s="137" t="str">
        <x:v>공식 환산70÷10 → 상위3영역 평균</x:v>
      </x:c>
      <x:c r="Z573" s="136" t="n">
        <x:v>80</x:v>
      </x:c>
      <x:c r="AA573" s="137" t="n">
        <x:v>-4.329999999999998</x:v>
      </x:c>
      <x:c r="AB573" s="111" t="str">
        <x:v>상향</x:v>
      </x:c>
      <x:c r="AC573" s="137" t="n">
        <x:v>100</x:v>
      </x:c>
      <x:c r="AD573" s="137" t="n">
        <x:v>0</x:v>
      </x:c>
      <x:c r="AE573" s="137" t="n">
        <x:v>0</x:v>
      </x:c>
      <x:c r="AF57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3" s="111" t="str">
        <x:v>https://www.adiga.kr/ucp/uvt/uni/univDetailSelection.do?menuId=PCUVTINF2000&amp;searchSyr=2026&amp;unvCd=0000034</x:v>
      </x:c>
    </x:row>
    <x:row r="574">
      <x:c r="A574" s="136" t="n">
        <x:v>2025</x:v>
      </x:c>
      <x:c r="B574" s="111" t="str">
        <x:v>충청북도</x:v>
      </x:c>
      <x:c r="C574" s="111" t="str">
        <x:v>국립</x:v>
      </x:c>
      <x:c r="D574" s="111" t="str">
        <x:v>국립한국교통대학교</x:v>
      </x:c>
      <x:c r="E574" s="111" t="str">
        <x:v>가</x:v>
      </x:c>
      <x:c r="F574" s="111" t="str">
        <x:v>수능위주(일반전형)</x:v>
      </x:c>
      <x:c r="G574" s="113" t="str">
        <x:v>융합경영학과</x:v>
      </x:c>
      <x:c r="H574" s="136" t="n">
        <x:v>1</x:v>
      </x:c>
      <x:c r="I574" s="136" t="n">
        <x:v>0</x:v>
      </x:c>
      <x:c r="J574" s="136" t="n">
        <x:v>1</x:v>
      </x:c>
      <x:c r="K574" s="137" t="n">
        <x:v>13</x:v>
      </x:c>
      <x:c r="L574" s="136" t="n">
        <x:v>2</x:v>
      </x:c>
      <x:c r="M574" s="137"/>
      <x:c r="N574" s="137" t="n">
        <x:v>770</x:v>
      </x:c>
      <x:c r="O574" s="137" t="n">
        <x:v>1000</x:v>
      </x:c>
      <x:c r="P574" s="137"/>
      <x:c r="Q574" s="137"/>
      <x:c r="R574" s="137"/>
      <x:c r="S574" s="137"/>
      <x:c r="T574" s="136"/>
      <x:c r="U574" s="136"/>
      <x:c r="V574" s="137" t="n">
        <x:v>77</x:v>
      </x:c>
      <x:c r="W574" s="137"/>
      <x:c r="X574" s="137" t="n">
        <x:v>77</x:v>
      </x:c>
      <x:c r="Y574" s="137" t="str">
        <x:v>공식 환산70÷10 → 상위3영역 평균</x:v>
      </x:c>
      <x:c r="Z574" s="136" t="n">
        <x:v>80</x:v>
      </x:c>
      <x:c r="AA574" s="137" t="n">
        <x:v>3</x:v>
      </x:c>
      <x:c r="AB574" s="111" t="str">
        <x:v>적정</x:v>
      </x:c>
      <x:c r="AC574" s="137" t="n">
        <x:v>50</x:v>
      </x:c>
      <x:c r="AD574" s="137" t="n">
        <x:v>50</x:v>
      </x:c>
      <x:c r="AE574" s="137" t="n">
        <x:v>0</x:v>
      </x:c>
      <x:c r="AF57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4" s="111" t="str">
        <x:v>https://www.adiga.kr/ucp/uvt/uni/univDetailSelection.do?menuId=PCUVTINF2000&amp;searchSyr=2026&amp;unvCd=0000034</x:v>
      </x:c>
    </x:row>
    <x:row r="575">
      <x:c r="A575" s="136" t="n">
        <x:v>2025</x:v>
      </x:c>
      <x:c r="B575" s="111" t="str">
        <x:v>충청북도</x:v>
      </x:c>
      <x:c r="C575" s="111" t="str">
        <x:v>국립</x:v>
      </x:c>
      <x:c r="D575" s="111" t="str">
        <x:v>국립한국교통대학교</x:v>
      </x:c>
      <x:c r="E575" s="111" t="str">
        <x:v>가</x:v>
      </x:c>
      <x:c r="F575" s="111" t="str">
        <x:v>수능위주(일반전형)</x:v>
      </x:c>
      <x:c r="G575" s="113" t="str">
        <x:v>국제무역학과</x:v>
      </x:c>
      <x:c r="H575" s="136" t="n">
        <x:v>1</x:v>
      </x:c>
      <x:c r="I575" s="136" t="n">
        <x:v>0</x:v>
      </x:c>
      <x:c r="J575" s="136" t="n">
        <x:v>1</x:v>
      </x:c>
      <x:c r="K575" s="137" t="n">
        <x:v>25</x:v>
      </x:c>
      <x:c r="L575" s="136" t="n">
        <x:v>1</x:v>
      </x:c>
      <x:c r="M575" s="137"/>
      <x:c r="N575" s="137" t="n">
        <x:v>796.7</x:v>
      </x:c>
      <x:c r="O575" s="137" t="n">
        <x:v>1000</x:v>
      </x:c>
      <x:c r="P575" s="137"/>
      <x:c r="Q575" s="137"/>
      <x:c r="R575" s="137"/>
      <x:c r="S575" s="137"/>
      <x:c r="T575" s="136"/>
      <x:c r="U575" s="136"/>
      <x:c r="V575" s="137" t="n">
        <x:v>79.67</x:v>
      </x:c>
      <x:c r="W575" s="137"/>
      <x:c r="X575" s="137" t="n">
        <x:v>79.67</x:v>
      </x:c>
      <x:c r="Y575" s="137" t="str">
        <x:v>공식 환산70÷10 → 상위3영역 평균</x:v>
      </x:c>
      <x:c r="Z575" s="136" t="n">
        <x:v>80</x:v>
      </x:c>
      <x:c r="AA575" s="137" t="n">
        <x:v>0.3299999999999983</x:v>
      </x:c>
      <x:c r="AB575" s="111" t="str">
        <x:v>소신</x:v>
      </x:c>
      <x:c r="AC575" s="137" t="n">
        <x:v>0</x:v>
      </x:c>
      <x:c r="AD575" s="137" t="n">
        <x:v>100</x:v>
      </x:c>
      <x:c r="AE575" s="137" t="n">
        <x:v>0</x:v>
      </x:c>
      <x:c r="AF57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5" s="111" t="str">
        <x:v>https://www.adiga.kr/ucp/uvt/uni/univDetailSelection.do?menuId=PCUVTINF2000&amp;searchSyr=2026&amp;unvCd=0000034</x:v>
      </x:c>
    </x:row>
    <x:row r="576">
      <x:c r="A576" s="136" t="n">
        <x:v>2025</x:v>
      </x:c>
      <x:c r="B576" s="111" t="str">
        <x:v>충청북도</x:v>
      </x:c>
      <x:c r="C576" s="111" t="str">
        <x:v>국립</x:v>
      </x:c>
      <x:c r="D576" s="111" t="str">
        <x:v>국립한국교통대학교</x:v>
      </x:c>
      <x:c r="E576" s="111" t="str">
        <x:v>가</x:v>
      </x:c>
      <x:c r="F576" s="111" t="str">
        <x:v>수능위주(일반전형)</x:v>
      </x:c>
      <x:c r="G576" s="113" t="str">
        <x:v>사회복지학과</x:v>
      </x:c>
      <x:c r="H576" s="136" t="n">
        <x:v>1</x:v>
      </x:c>
      <x:c r="I576" s="136" t="n">
        <x:v>1</x:v>
      </x:c>
      <x:c r="J576" s="136" t="n">
        <x:v>2</x:v>
      </x:c>
      <x:c r="K576" s="137" t="n">
        <x:v>11.5</x:v>
      </x:c>
      <x:c r="L576" s="136" t="n">
        <x:v>4</x:v>
      </x:c>
      <x:c r="M576" s="137"/>
      <x:c r="N576" s="137" t="n">
        <x:v>776.7</x:v>
      </x:c>
      <x:c r="O576" s="137" t="n">
        <x:v>1000</x:v>
      </x:c>
      <x:c r="P576" s="137"/>
      <x:c r="Q576" s="137"/>
      <x:c r="R576" s="137"/>
      <x:c r="S576" s="137"/>
      <x:c r="T576" s="136"/>
      <x:c r="U576" s="136"/>
      <x:c r="V576" s="137" t="n">
        <x:v>77.67</x:v>
      </x:c>
      <x:c r="W576" s="137"/>
      <x:c r="X576" s="137" t="n">
        <x:v>77.67</x:v>
      </x:c>
      <x:c r="Y576" s="137" t="str">
        <x:v>공식 환산70÷10 → 상위3영역 평균</x:v>
      </x:c>
      <x:c r="Z576" s="136" t="n">
        <x:v>80</x:v>
      </x:c>
      <x:c r="AA576" s="137" t="n">
        <x:v>2.3299999999999983</x:v>
      </x:c>
      <x:c r="AB576" s="111" t="str">
        <x:v>적정</x:v>
      </x:c>
      <x:c r="AC576" s="137" t="n">
        <x:v>100</x:v>
      </x:c>
      <x:c r="AD576" s="137" t="n">
        <x:v>0</x:v>
      </x:c>
      <x:c r="AE576" s="137" t="n">
        <x:v>0</x:v>
      </x:c>
      <x:c r="AF576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6" s="111" t="str">
        <x:v>https://www.adiga.kr/ucp/uvt/uni/univDetailSelection.do?menuId=PCUVTINF2000&amp;searchSyr=2026&amp;unvCd=0000034</x:v>
      </x:c>
    </x:row>
    <x:row r="577">
      <x:c r="A577" s="136" t="n">
        <x:v>2025</x:v>
      </x:c>
      <x:c r="B577" s="111" t="str">
        <x:v>충청북도</x:v>
      </x:c>
      <x:c r="C577" s="111" t="str">
        <x:v>국립</x:v>
      </x:c>
      <x:c r="D577" s="111" t="str">
        <x:v>국립한국교통대학교</x:v>
      </x:c>
      <x:c r="E577" s="111" t="str">
        <x:v>가</x:v>
      </x:c>
      <x:c r="F577" s="111" t="str">
        <x:v>수능위주(일반전형)</x:v>
      </x:c>
      <x:c r="G577" s="113" t="str">
        <x:v>항공운항학과</x:v>
      </x:c>
      <x:c r="H577" s="136" t="n">
        <x:v>3</x:v>
      </x:c>
      <x:c r="I577" s="136" t="n">
        <x:v>0</x:v>
      </x:c>
      <x:c r="J577" s="136" t="n">
        <x:v>3</x:v>
      </x:c>
      <x:c r="K577" s="137" t="n">
        <x:v>10</x:v>
      </x:c>
      <x:c r="L577" s="136" t="n">
        <x:v>1</x:v>
      </x:c>
      <x:c r="M577" s="137"/>
      <x:c r="N577" s="137" t="n">
        <x:v>936.7</x:v>
      </x:c>
      <x:c r="O577" s="137" t="n">
        <x:v>1000</x:v>
      </x:c>
      <x:c r="P577" s="137"/>
      <x:c r="Q577" s="137"/>
      <x:c r="R577" s="137"/>
      <x:c r="S577" s="137"/>
      <x:c r="T577" s="136"/>
      <x:c r="U577" s="136"/>
      <x:c r="V577" s="137" t="n">
        <x:v>93.67</x:v>
      </x:c>
      <x:c r="W577" s="137"/>
      <x:c r="X577" s="137" t="n">
        <x:v>93.67</x:v>
      </x:c>
      <x:c r="Y577" s="137" t="str">
        <x:v>공식 환산70÷10 → 상위3영역 평균</x:v>
      </x:c>
      <x:c r="Z577" s="136" t="n">
        <x:v>80</x:v>
      </x:c>
      <x:c r="AA577" s="137" t="n">
        <x:v>-13.670000000000002</x:v>
      </x:c>
      <x:c r="AB577" s="111" t="str">
        <x:v>상향</x:v>
      </x:c>
      <x:c r="AC577" s="137" t="n">
        <x:v>67</x:v>
      </x:c>
      <x:c r="AD577" s="137" t="n">
        <x:v>33</x:v>
      </x:c>
      <x:c r="AE577" s="137" t="n">
        <x:v>0</x:v>
      </x:c>
      <x:c r="AF577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7" s="111" t="str">
        <x:v>https://www.adiga.kr/ucp/uvt/uni/univDetailSelection.do?menuId=PCUVTINF2000&amp;searchSyr=2026&amp;unvCd=0000034</x:v>
      </x:c>
    </x:row>
    <x:row r="578">
      <x:c r="A578" s="136" t="n">
        <x:v>2025</x:v>
      </x:c>
      <x:c r="B578" s="111" t="str">
        <x:v>충청북도</x:v>
      </x:c>
      <x:c r="C578" s="111" t="str">
        <x:v>국립</x:v>
      </x:c>
      <x:c r="D578" s="111" t="str">
        <x:v>국립한국교통대학교</x:v>
      </x:c>
      <x:c r="E578" s="111" t="str">
        <x:v>가</x:v>
      </x:c>
      <x:c r="F578" s="111" t="str">
        <x:v>수능위주(일반전형)</x:v>
      </x:c>
      <x:c r="G578" s="113" t="str">
        <x:v>유아교육학과</x:v>
      </x:c>
      <x:c r="H578" s="136" t="n">
        <x:v>3</x:v>
      </x:c>
      <x:c r="I578" s="136" t="n">
        <x:v>1</x:v>
      </x:c>
      <x:c r="J578" s="136" t="n">
        <x:v>4</x:v>
      </x:c>
      <x:c r="K578" s="137" t="n">
        <x:v>6.75</x:v>
      </x:c>
      <x:c r="L578" s="136" t="n">
        <x:v>0</x:v>
      </x:c>
      <x:c r="M578" s="137"/>
      <x:c r="N578" s="137" t="n">
        <x:v>786.7</x:v>
      </x:c>
      <x:c r="O578" s="137" t="n">
        <x:v>1000</x:v>
      </x:c>
      <x:c r="P578" s="137"/>
      <x:c r="Q578" s="137"/>
      <x:c r="R578" s="137"/>
      <x:c r="S578" s="137"/>
      <x:c r="T578" s="136"/>
      <x:c r="U578" s="136"/>
      <x:c r="V578" s="137" t="n">
        <x:v>78.67</x:v>
      </x:c>
      <x:c r="W578" s="137"/>
      <x:c r="X578" s="137" t="n">
        <x:v>78.67</x:v>
      </x:c>
      <x:c r="Y578" s="137" t="str">
        <x:v>공식 환산70÷10 → 상위3영역 평균</x:v>
      </x:c>
      <x:c r="Z578" s="136" t="n">
        <x:v>80</x:v>
      </x:c>
      <x:c r="AA578" s="137" t="n">
        <x:v>1.3299999999999983</x:v>
      </x:c>
      <x:c r="AB578" s="111" t="str">
        <x:v>적정</x:v>
      </x:c>
      <x:c r="AC578" s="137" t="n">
        <x:v>50</x:v>
      </x:c>
      <x:c r="AD578" s="137" t="n">
        <x:v>50</x:v>
      </x:c>
      <x:c r="AE578" s="137" t="n">
        <x:v>0</x:v>
      </x:c>
      <x:c r="AF578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8" s="111" t="str">
        <x:v>https://www.adiga.kr/ucp/uvt/uni/univDetailSelection.do?menuId=PCUVTINF2000&amp;searchSyr=2026&amp;unvCd=0000034</x:v>
      </x:c>
    </x:row>
    <x:row r="579">
      <x:c r="A579" s="136" t="n">
        <x:v>2025</x:v>
      </x:c>
      <x:c r="B579" s="111" t="str">
        <x:v>충청북도</x:v>
      </x:c>
      <x:c r="C579" s="111" t="str">
        <x:v>국립</x:v>
      </x:c>
      <x:c r="D579" s="111" t="str">
        <x:v>국립한국교통대학교</x:v>
      </x:c>
      <x:c r="E579" s="111" t="str">
        <x:v>가</x:v>
      </x:c>
      <x:c r="F579" s="111" t="str">
        <x:v>수능위주(일반전형)</x:v>
      </x:c>
      <x:c r="G579" s="113" t="str">
        <x:v>간호학과</x:v>
      </x:c>
      <x:c r="H579" s="136" t="n">
        <x:v>5</x:v>
      </x:c>
      <x:c r="I579" s="136" t="n">
        <x:v>3</x:v>
      </x:c>
      <x:c r="J579" s="136" t="n">
        <x:v>8</x:v>
      </x:c>
      <x:c r="K579" s="137" t="n">
        <x:v>4.25</x:v>
      </x:c>
      <x:c r="L579" s="136" t="n">
        <x:v>9</x:v>
      </x:c>
      <x:c r="M579" s="137"/>
      <x:c r="N579" s="137" t="n">
        <x:v>840</x:v>
      </x:c>
      <x:c r="O579" s="137" t="n">
        <x:v>1000</x:v>
      </x:c>
      <x:c r="P579" s="137"/>
      <x:c r="Q579" s="137"/>
      <x:c r="R579" s="137"/>
      <x:c r="S579" s="137"/>
      <x:c r="T579" s="136"/>
      <x:c r="U579" s="136"/>
      <x:c r="V579" s="137" t="n">
        <x:v>84</x:v>
      </x:c>
      <x:c r="W579" s="137"/>
      <x:c r="X579" s="137" t="n">
        <x:v>84</x:v>
      </x:c>
      <x:c r="Y579" s="137" t="str">
        <x:v>공식 환산70÷10 → 상위3영역 평균</x:v>
      </x:c>
      <x:c r="Z579" s="136" t="n">
        <x:v>80</x:v>
      </x:c>
      <x:c r="AA579" s="137" t="n">
        <x:v>-4</x:v>
      </x:c>
      <x:c r="AB579" s="111" t="str">
        <x:v>상향</x:v>
      </x:c>
      <x:c r="AC579" s="137" t="n">
        <x:v>38</x:v>
      </x:c>
      <x:c r="AD579" s="137" t="n">
        <x:v>63</x:v>
      </x:c>
      <x:c r="AE579" s="137" t="n">
        <x:v>0</x:v>
      </x:c>
      <x:c r="AF579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79" s="111" t="str">
        <x:v>https://www.adiga.kr/ucp/uvt/uni/univDetailSelection.do?menuId=PCUVTINF2000&amp;searchSyr=2026&amp;unvCd=0000034</x:v>
      </x:c>
    </x:row>
    <x:row r="580">
      <x:c r="A580" s="136" t="n">
        <x:v>2025</x:v>
      </x:c>
      <x:c r="B580" s="111" t="str">
        <x:v>충청북도</x:v>
      </x:c>
      <x:c r="C580" s="111" t="str">
        <x:v>국립</x:v>
      </x:c>
      <x:c r="D580" s="111" t="str">
        <x:v>국립한국교통대학교</x:v>
      </x:c>
      <x:c r="E580" s="111" t="str">
        <x:v>가</x:v>
      </x:c>
      <x:c r="F580" s="111" t="str">
        <x:v>수능위주(일반전형)</x:v>
      </x:c>
      <x:c r="G580" s="113" t="str">
        <x:v>물리치료학과</x:v>
      </x:c>
      <x:c r="H580" s="136" t="n">
        <x:v>5</x:v>
      </x:c>
      <x:c r="I580" s="136" t="n">
        <x:v>0</x:v>
      </x:c>
      <x:c r="J580" s="136" t="n">
        <x:v>5</x:v>
      </x:c>
      <x:c r="K580" s="137" t="n">
        <x:v>5</x:v>
      </x:c>
      <x:c r="L580" s="136" t="n">
        <x:v>9</x:v>
      </x:c>
      <x:c r="M580" s="137"/>
      <x:c r="N580" s="137" t="n">
        <x:v>803.3</x:v>
      </x:c>
      <x:c r="O580" s="137" t="n">
        <x:v>1000</x:v>
      </x:c>
      <x:c r="P580" s="137"/>
      <x:c r="Q580" s="137"/>
      <x:c r="R580" s="137"/>
      <x:c r="S580" s="137"/>
      <x:c r="T580" s="136"/>
      <x:c r="U580" s="136"/>
      <x:c r="V580" s="137" t="n">
        <x:v>80.33</x:v>
      </x:c>
      <x:c r="W580" s="137"/>
      <x:c r="X580" s="137" t="n">
        <x:v>80.33</x:v>
      </x:c>
      <x:c r="Y580" s="137" t="str">
        <x:v>공식 환산70÷10 → 상위3영역 평균</x:v>
      </x:c>
      <x:c r="Z580" s="136" t="n">
        <x:v>80</x:v>
      </x:c>
      <x:c r="AA580" s="137" t="n">
        <x:v>-0.3299999999999983</x:v>
      </x:c>
      <x:c r="AB580" s="111" t="str">
        <x:v>소신</x:v>
      </x:c>
      <x:c r="AC580" s="137" t="n">
        <x:v>80</x:v>
      </x:c>
      <x:c r="AD580" s="137" t="n">
        <x:v>20</x:v>
      </x:c>
      <x:c r="AE580" s="137" t="n">
        <x:v>0</x:v>
      </x:c>
      <x:c r="AF580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0" s="111" t="str">
        <x:v>https://www.adiga.kr/ucp/uvt/uni/univDetailSelection.do?menuId=PCUVTINF2000&amp;searchSyr=2026&amp;unvCd=0000034</x:v>
      </x:c>
    </x:row>
    <x:row r="581">
      <x:c r="A581" s="136" t="n">
        <x:v>2025</x:v>
      </x:c>
      <x:c r="B581" s="111" t="str">
        <x:v>충청북도</x:v>
      </x:c>
      <x:c r="C581" s="111" t="str">
        <x:v>국립</x:v>
      </x:c>
      <x:c r="D581" s="111" t="str">
        <x:v>국립한국교통대학교</x:v>
      </x:c>
      <x:c r="E581" s="111" t="str">
        <x:v>가</x:v>
      </x:c>
      <x:c r="F581" s="111" t="str">
        <x:v>수능위주(일반전형)</x:v>
      </x:c>
      <x:c r="G581" s="113" t="str">
        <x:v>응급구조학과</x:v>
      </x:c>
      <x:c r="H581" s="136" t="n">
        <x:v>2</x:v>
      </x:c>
      <x:c r="I581" s="136" t="n">
        <x:v>0</x:v>
      </x:c>
      <x:c r="J581" s="136" t="n">
        <x:v>2</x:v>
      </x:c>
      <x:c r="K581" s="137" t="n">
        <x:v>7.5</x:v>
      </x:c>
      <x:c r="L581" s="136" t="n">
        <x:v>0</x:v>
      </x:c>
      <x:c r="M581" s="137"/>
      <x:c r="N581" s="137" t="n">
        <x:v>810</x:v>
      </x:c>
      <x:c r="O581" s="137" t="n">
        <x:v>1000</x:v>
      </x:c>
      <x:c r="P581" s="137"/>
      <x:c r="Q581" s="137"/>
      <x:c r="R581" s="137"/>
      <x:c r="S581" s="137"/>
      <x:c r="T581" s="136"/>
      <x:c r="U581" s="136"/>
      <x:c r="V581" s="137" t="n">
        <x:v>81</x:v>
      </x:c>
      <x:c r="W581" s="137"/>
      <x:c r="X581" s="137" t="n">
        <x:v>81</x:v>
      </x:c>
      <x:c r="Y581" s="137" t="str">
        <x:v>공식 환산70÷10 → 상위3영역 평균</x:v>
      </x:c>
      <x:c r="Z581" s="136" t="n">
        <x:v>80</x:v>
      </x:c>
      <x:c r="AA581" s="137" t="n">
        <x:v>-1</x:v>
      </x:c>
      <x:c r="AB581" s="111" t="str">
        <x:v>소신</x:v>
      </x:c>
      <x:c r="AC581" s="137" t="n">
        <x:v>100</x:v>
      </x:c>
      <x:c r="AD581" s="137" t="n">
        <x:v>0</x:v>
      </x:c>
      <x:c r="AE581" s="137" t="n">
        <x:v>0</x:v>
      </x:c>
      <x:c r="AF581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1" s="111" t="str">
        <x:v>https://www.adiga.kr/ucp/uvt/uni/univDetailSelection.do?menuId=PCUVTINF2000&amp;searchSyr=2026&amp;unvCd=0000034</x:v>
      </x:c>
    </x:row>
    <x:row r="582">
      <x:c r="A582" s="136" t="n">
        <x:v>2025</x:v>
      </x:c>
      <x:c r="B582" s="111" t="str">
        <x:v>충청북도</x:v>
      </x:c>
      <x:c r="C582" s="111" t="str">
        <x:v>국립</x:v>
      </x:c>
      <x:c r="D582" s="111" t="str">
        <x:v>국립한국교통대학교</x:v>
      </x:c>
      <x:c r="E582" s="111" t="str">
        <x:v>가</x:v>
      </x:c>
      <x:c r="F582" s="111" t="str">
        <x:v>수능위주(일반전형)</x:v>
      </x:c>
      <x:c r="G582" s="113" t="str">
        <x:v>유아특수교육학과</x:v>
      </x:c>
      <x:c r="H582" s="136" t="n">
        <x:v>1</x:v>
      </x:c>
      <x:c r="I582" s="136" t="n">
        <x:v>3</x:v>
      </x:c>
      <x:c r="J582" s="136" t="n">
        <x:v>4</x:v>
      </x:c>
      <x:c r="K582" s="137" t="n">
        <x:v>6.5</x:v>
      </x:c>
      <x:c r="L582" s="136" t="n">
        <x:v>4</x:v>
      </x:c>
      <x:c r="M582" s="137"/>
      <x:c r="N582" s="137" t="n">
        <x:v>746.7</x:v>
      </x:c>
      <x:c r="O582" s="137" t="n">
        <x:v>1000</x:v>
      </x:c>
      <x:c r="P582" s="137"/>
      <x:c r="Q582" s="137"/>
      <x:c r="R582" s="137"/>
      <x:c r="S582" s="137"/>
      <x:c r="T582" s="136"/>
      <x:c r="U582" s="136"/>
      <x:c r="V582" s="137" t="n">
        <x:v>74.67</x:v>
      </x:c>
      <x:c r="W582" s="137"/>
      <x:c r="X582" s="137" t="n">
        <x:v>74.67</x:v>
      </x:c>
      <x:c r="Y582" s="137" t="str">
        <x:v>공식 환산70÷10 → 상위3영역 평균</x:v>
      </x:c>
      <x:c r="Z582" s="136" t="n">
        <x:v>80</x:v>
      </x:c>
      <x:c r="AA582" s="137" t="n">
        <x:v>5.329999999999998</x:v>
      </x:c>
      <x:c r="AB582" s="111" t="str">
        <x:v>안정</x:v>
      </x:c>
      <x:c r="AC582" s="137" t="n">
        <x:v>50</x:v>
      </x:c>
      <x:c r="AD582" s="137" t="n">
        <x:v>25</x:v>
      </x:c>
      <x:c r="AE582" s="137" t="n">
        <x:v>25</x:v>
      </x:c>
      <x:c r="AF582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2" s="111" t="str">
        <x:v>https://www.adiga.kr/ucp/uvt/uni/univDetailSelection.do?menuId=PCUVTINF2000&amp;searchSyr=2026&amp;unvCd=0000034</x:v>
      </x:c>
    </x:row>
    <x:row r="583">
      <x:c r="A583" s="136" t="n">
        <x:v>2025</x:v>
      </x:c>
      <x:c r="B583" s="111" t="str">
        <x:v>충청북도</x:v>
      </x:c>
      <x:c r="C583" s="111" t="str">
        <x:v>국립</x:v>
      </x:c>
      <x:c r="D583" s="111" t="str">
        <x:v>국립한국교통대학교</x:v>
      </x:c>
      <x:c r="E583" s="111" t="str">
        <x:v>가</x:v>
      </x:c>
      <x:c r="F583" s="111" t="str">
        <x:v>수능위주(일반전형)</x:v>
      </x:c>
      <x:c r="G583" s="113" t="str">
        <x:v>철도경영·물류학과</x:v>
      </x:c>
      <x:c r="H583" s="136" t="n">
        <x:v>8</x:v>
      </x:c>
      <x:c r="I583" s="136" t="n">
        <x:v>0</x:v>
      </x:c>
      <x:c r="J583" s="136" t="n">
        <x:v>8</x:v>
      </x:c>
      <x:c r="K583" s="137" t="n">
        <x:v>5.38</x:v>
      </x:c>
      <x:c r="L583" s="136" t="n">
        <x:v>6</x:v>
      </x:c>
      <x:c r="M583" s="137"/>
      <x:c r="N583" s="137" t="n">
        <x:v>876.7</x:v>
      </x:c>
      <x:c r="O583" s="137" t="n">
        <x:v>1000</x:v>
      </x:c>
      <x:c r="P583" s="137"/>
      <x:c r="Q583" s="137"/>
      <x:c r="R583" s="137"/>
      <x:c r="S583" s="137"/>
      <x:c r="T583" s="136"/>
      <x:c r="U583" s="136"/>
      <x:c r="V583" s="137" t="n">
        <x:v>87.67</x:v>
      </x:c>
      <x:c r="W583" s="137"/>
      <x:c r="X583" s="137" t="n">
        <x:v>87.67</x:v>
      </x:c>
      <x:c r="Y583" s="137" t="str">
        <x:v>공식 환산70÷10 → 상위3영역 평균</x:v>
      </x:c>
      <x:c r="Z583" s="136" t="n">
        <x:v>80</x:v>
      </x:c>
      <x:c r="AA583" s="137" t="n">
        <x:v>-7.670000000000002</x:v>
      </x:c>
      <x:c r="AB583" s="111" t="str">
        <x:v>상향</x:v>
      </x:c>
      <x:c r="AC583" s="137" t="n">
        <x:v>89</x:v>
      </x:c>
      <x:c r="AD583" s="137" t="n">
        <x:v>11</x:v>
      </x:c>
      <x:c r="AE583" s="137" t="n">
        <x:v>0</x:v>
      </x:c>
      <x:c r="AF583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3" s="111" t="str">
        <x:v>https://www.adiga.kr/ucp/uvt/uni/univDetailSelection.do?menuId=PCUVTINF2000&amp;searchSyr=2026&amp;unvCd=0000034</x:v>
      </x:c>
    </x:row>
    <x:row r="584">
      <x:c r="A584" s="136" t="n">
        <x:v>2025</x:v>
      </x:c>
      <x:c r="B584" s="111" t="str">
        <x:v>충청북도</x:v>
      </x:c>
      <x:c r="C584" s="111" t="str">
        <x:v>국립</x:v>
      </x:c>
      <x:c r="D584" s="111" t="str">
        <x:v>국립한국교통대학교</x:v>
      </x:c>
      <x:c r="E584" s="111" t="str">
        <x:v>가</x:v>
      </x:c>
      <x:c r="F584" s="111" t="str">
        <x:v>수능위주(일반전형)</x:v>
      </x:c>
      <x:c r="G584" s="113" t="str">
        <x:v>AI·데이터공학부</x:v>
      </x:c>
      <x:c r="H584" s="136" t="n">
        <x:v>15</x:v>
      </x:c>
      <x:c r="I584" s="136" t="n">
        <x:v>0</x:v>
      </x:c>
      <x:c r="J584" s="136" t="n">
        <x:v>15</x:v>
      </x:c>
      <x:c r="K584" s="137" t="n">
        <x:v>5.07</x:v>
      </x:c>
      <x:c r="L584" s="136" t="n">
        <x:v>16</x:v>
      </x:c>
      <x:c r="M584" s="137"/>
      <x:c r="N584" s="137" t="n">
        <x:v>850</x:v>
      </x:c>
      <x:c r="O584" s="137" t="n">
        <x:v>1000</x:v>
      </x:c>
      <x:c r="P584" s="137"/>
      <x:c r="Q584" s="137"/>
      <x:c r="R584" s="137"/>
      <x:c r="S584" s="137"/>
      <x:c r="T584" s="136"/>
      <x:c r="U584" s="136"/>
      <x:c r="V584" s="137" t="n">
        <x:v>85</x:v>
      </x:c>
      <x:c r="W584" s="137"/>
      <x:c r="X584" s="137" t="n">
        <x:v>85</x:v>
      </x:c>
      <x:c r="Y584" s="137" t="str">
        <x:v>공식 환산70÷10 → 상위3영역 평균</x:v>
      </x:c>
      <x:c r="Z584" s="136" t="n">
        <x:v>80</x:v>
      </x:c>
      <x:c r="AA584" s="137" t="n">
        <x:v>-5</x:v>
      </x:c>
      <x:c r="AB584" s="111" t="str">
        <x:v>상향</x:v>
      </x:c>
      <x:c r="AC584" s="137" t="n">
        <x:v>13</x:v>
      </x:c>
      <x:c r="AD584" s="137" t="n">
        <x:v>87</x:v>
      </x:c>
      <x:c r="AE584" s="137" t="n">
        <x:v>0</x:v>
      </x:c>
      <x:c r="AF584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4" s="111" t="str">
        <x:v>https://www.adiga.kr/ucp/uvt/uni/univDetailSelection.do?menuId=PCUVTINF2000&amp;searchSyr=2026&amp;unvCd=0000034</x:v>
      </x:c>
    </x:row>
    <x:row r="585">
      <x:c r="A585" s="136" t="n">
        <x:v>2025</x:v>
      </x:c>
      <x:c r="B585" s="111" t="str">
        <x:v>충청북도</x:v>
      </x:c>
      <x:c r="C585" s="111" t="str">
        <x:v>국립</x:v>
      </x:c>
      <x:c r="D585" s="111" t="str">
        <x:v>국립한국교통대학교</x:v>
      </x:c>
      <x:c r="E585" s="111" t="str">
        <x:v>가</x:v>
      </x:c>
      <x:c r="F585" s="111" t="str">
        <x:v>수능위주(일반전형)</x:v>
      </x:c>
      <x:c r="G585" s="113" t="str">
        <x:v>철도운전시스템공학과</x:v>
      </x:c>
      <x:c r="H585" s="136" t="n">
        <x:v>5</x:v>
      </x:c>
      <x:c r="I585" s="136" t="n">
        <x:v>0</x:v>
      </x:c>
      <x:c r="J585" s="136" t="n">
        <x:v>5</x:v>
      </x:c>
      <x:c r="K585" s="137" t="n">
        <x:v>5.2</x:v>
      </x:c>
      <x:c r="L585" s="136" t="n">
        <x:v>3</x:v>
      </x:c>
      <x:c r="M585" s="137"/>
      <x:c r="N585" s="137" t="n">
        <x:v>906.7</x:v>
      </x:c>
      <x:c r="O585" s="137" t="n">
        <x:v>1000</x:v>
      </x:c>
      <x:c r="P585" s="137"/>
      <x:c r="Q585" s="137"/>
      <x:c r="R585" s="137"/>
      <x:c r="S585" s="137"/>
      <x:c r="T585" s="136"/>
      <x:c r="U585" s="136"/>
      <x:c r="V585" s="137" t="n">
        <x:v>90.67</x:v>
      </x:c>
      <x:c r="W585" s="137"/>
      <x:c r="X585" s="137" t="n">
        <x:v>90.67</x:v>
      </x:c>
      <x:c r="Y585" s="137" t="str">
        <x:v>공식 환산70÷10 → 상위3영역 평균</x:v>
      </x:c>
      <x:c r="Z585" s="136" t="n">
        <x:v>80</x:v>
      </x:c>
      <x:c r="AA585" s="137" t="n">
        <x:v>-10.670000000000002</x:v>
      </x:c>
      <x:c r="AB585" s="111" t="str">
        <x:v>상향</x:v>
      </x:c>
      <x:c r="AC585" s="137" t="n">
        <x:v>0</x:v>
      </x:c>
      <x:c r="AD585" s="137" t="n">
        <x:v>80</x:v>
      </x:c>
      <x:c r="AE585" s="137" t="n">
        <x:v>20</x:v>
      </x:c>
      <x:c r="AF585" s="113" t="str">
        <x:v>A3: 대학 공식 산식(수능 반영점수=상위 3개 영역 백분위 평균×10)을 역산한 비교용 평균. 영어 변환점수가 상위3에 포함될 수 있어 국수탐 단순평균과 완전히 동일하지 않음.</x:v>
      </x:c>
      <x:c r="AG585" s="111" t="str">
        <x:v>https://www.adiga.kr/ucp/uvt/uni/univDetailSelection.do?menuId=PCUVTINF2000&amp;searchSyr=2026&amp;unvCd=0000034</x:v>
      </x:c>
    </x:row>
    <x:row r="586">
      <x:c r="A586" s="136" t="n">
        <x:v>2025</x:v>
      </x:c>
      <x:c r="B586" s="111" t="str">
        <x:v>충청남도</x:v>
      </x:c>
      <x:c r="C586" s="111" t="str">
        <x:v>국립</x:v>
      </x:c>
      <x:c r="D586" s="111" t="str">
        <x:v>국립공주대학교</x:v>
      </x:c>
      <x:c r="E586" s="111" t="str">
        <x:v>가</x:v>
      </x:c>
      <x:c r="F586" s="111" t="str">
        <x:v>수능위주(일반전형)</x:v>
      </x:c>
      <x:c r="G586" s="113" t="str">
        <x:v>자율전공학부(인문사회과학대학)</x:v>
      </x:c>
      <x:c r="H586" s="136" t="n">
        <x:v>9</x:v>
      </x:c>
      <x:c r="I586" s="136" t="n">
        <x:v>1</x:v>
      </x:c>
      <x:c r="J586" s="136" t="n">
        <x:v>10</x:v>
      </x:c>
      <x:c r="K586" s="137" t="n">
        <x:v>10.4</x:v>
      </x:c>
      <x:c r="L586" s="136" t="n">
        <x:v>24</x:v>
      </x:c>
      <x:c r="M586" s="137"/>
      <x:c r="N586" s="137" t="n">
        <x:v>832.8</x:v>
      </x:c>
      <x:c r="O586" s="137" t="n">
        <x:v>1000</x:v>
      </x:c>
      <x:c r="P586" s="137"/>
      <x:c r="Q586" s="137"/>
      <x:c r="R586" s="137"/>
      <x:c r="S586" s="137"/>
      <x:c r="T586" s="136"/>
      <x:c r="U586" s="136"/>
      <x:c r="V586" s="137" t="n">
        <x:v>80.33</x:v>
      </x:c>
      <x:c r="W586" s="137"/>
      <x:c r="X586" s="137" t="n">
        <x:v>80.33</x:v>
      </x:c>
      <x:c r="Y586" s="137" t="str">
        <x:v>공식 환산식 역산 상위3영역 평균</x:v>
      </x:c>
      <x:c r="Z586" s="136" t="n">
        <x:v>80</x:v>
      </x:c>
      <x:c r="AA586" s="137" t="n">
        <x:v>-0.3299999999999983</x:v>
      </x:c>
      <x:c r="AB586" s="111" t="str">
        <x:v>소신</x:v>
      </x:c>
      <x:c r="AC586" s="137" t="n">
        <x:v>75</x:v>
      </x:c>
      <x:c r="AD586" s="137" t="n">
        <x:v>25</x:v>
      </x:c>
      <x:c r="AE586" s="137"/>
      <x:c r="AF586" s="113" t="str">
        <x:v>A4: 대학 공식 산식(수능점수=상위3영역 평균×8.5+150)을 역산한 비교용 평균. 영어 변환점수가 상위3에 포함될 수 있음. 예체능 실기 반영 모집단위는 제외.</x:v>
      </x:c>
      <x:c r="AG586" s="111" t="str">
        <x:v>https://www.adiga.kr/ucp/uvt/uni/univDetailSelection.do?menuId=PCUVTINF2000&amp;searchSyr=2026&amp;unvCd=0000008</x:v>
      </x:c>
    </x:row>
    <x:row r="587">
      <x:c r="A587" s="136" t="n">
        <x:v>2025</x:v>
      </x:c>
      <x:c r="B587" s="111" t="str">
        <x:v>충청남도</x:v>
      </x:c>
      <x:c r="C587" s="111" t="str">
        <x:v>국립</x:v>
      </x:c>
      <x:c r="D587" s="111" t="str">
        <x:v>국립공주대학교</x:v>
      </x:c>
      <x:c r="E587" s="111" t="str">
        <x:v>가</x:v>
      </x:c>
      <x:c r="F587" s="111" t="str">
        <x:v>수능위주(일반전형)</x:v>
      </x:c>
      <x:c r="G587" s="113" t="str">
        <x:v>자율전공학부(자연과학대학)</x:v>
      </x:c>
      <x:c r="H587" s="136" t="n">
        <x:v>6</x:v>
      </x:c>
      <x:c r="I587" s="136" t="n">
        <x:v>0</x:v>
      </x:c>
      <x:c r="J587" s="136" t="n">
        <x:v>6</x:v>
      </x:c>
      <x:c r="K587" s="137" t="n">
        <x:v>8.3</x:v>
      </x:c>
      <x:c r="L587" s="136" t="n">
        <x:v>15</x:v>
      </x:c>
      <x:c r="M587" s="137"/>
      <x:c r="N587" s="137" t="n">
        <x:v>818.7</x:v>
      </x:c>
      <x:c r="O587" s="137" t="n">
        <x:v>1000</x:v>
      </x:c>
      <x:c r="P587" s="137"/>
      <x:c r="Q587" s="137"/>
      <x:c r="R587" s="137"/>
      <x:c r="S587" s="137"/>
      <x:c r="T587" s="136"/>
      <x:c r="U587" s="136"/>
      <x:c r="V587" s="137" t="n">
        <x:v>78.67</x:v>
      </x:c>
      <x:c r="W587" s="137"/>
      <x:c r="X587" s="137" t="n">
        <x:v>78.67</x:v>
      </x:c>
      <x:c r="Y587" s="137" t="str">
        <x:v>공식 환산식 역산 상위3영역 평균</x:v>
      </x:c>
      <x:c r="Z587" s="136" t="n">
        <x:v>80</x:v>
      </x:c>
      <x:c r="AA587" s="137" t="n">
        <x:v>1.3299999999999983</x:v>
      </x:c>
      <x:c r="AB587" s="111" t="str">
        <x:v>적정</x:v>
      </x:c>
      <x:c r="AC587" s="137" t="n">
        <x:v>28.6</x:v>
      </x:c>
      <x:c r="AD587" s="137" t="n">
        <x:v>71.4</x:v>
      </x:c>
      <x:c r="AE587" s="137"/>
      <x:c r="AF587" s="113" t="str">
        <x:v>A4: 대학 공식 산식(수능점수=상위3영역 평균×8.5+150)을 역산한 비교용 평균. 영어 변환점수가 상위3에 포함될 수 있음. 예체능 실기 반영 모집단위는 제외.</x:v>
      </x:c>
      <x:c r="AG587" s="111" t="str">
        <x:v>https://www.adiga.kr/ucp/uvt/uni/univDetailSelection.do?menuId=PCUVTINF2000&amp;searchSyr=2026&amp;unvCd=0000008</x:v>
      </x:c>
    </x:row>
    <x:row r="588">
      <x:c r="A588" s="136" t="n">
        <x:v>2025</x:v>
      </x:c>
      <x:c r="B588" s="111" t="str">
        <x:v>충청남도</x:v>
      </x:c>
      <x:c r="C588" s="111" t="str">
        <x:v>국립</x:v>
      </x:c>
      <x:c r="D588" s="111" t="str">
        <x:v>국립공주대학교</x:v>
      </x:c>
      <x:c r="E588" s="111" t="str">
        <x:v>가</x:v>
      </x:c>
      <x:c r="F588" s="111" t="str">
        <x:v>수능위주(일반전형)</x:v>
      </x:c>
      <x:c r="G588" s="113" t="str">
        <x:v>자율전공학부(천안공과대학)</x:v>
      </x:c>
      <x:c r="H588" s="136" t="n">
        <x:v>39</x:v>
      </x:c>
      <x:c r="I588" s="136" t="n">
        <x:v>4</x:v>
      </x:c>
      <x:c r="J588" s="136" t="n">
        <x:v>43</x:v>
      </x:c>
      <x:c r="K588" s="137" t="n">
        <x:v>7</x:v>
      </x:c>
      <x:c r="L588" s="136" t="n">
        <x:v>52</x:v>
      </x:c>
      <x:c r="M588" s="137"/>
      <x:c r="N588" s="137" t="n">
        <x:v>807.3</x:v>
      </x:c>
      <x:c r="O588" s="137" t="n">
        <x:v>1000</x:v>
      </x:c>
      <x:c r="P588" s="137"/>
      <x:c r="Q588" s="137"/>
      <x:c r="R588" s="137"/>
      <x:c r="S588" s="137"/>
      <x:c r="T588" s="136"/>
      <x:c r="U588" s="136"/>
      <x:c r="V588" s="137" t="n">
        <x:v>77.33</x:v>
      </x:c>
      <x:c r="W588" s="137"/>
      <x:c r="X588" s="137" t="n">
        <x:v>77.33</x:v>
      </x:c>
      <x:c r="Y588" s="137" t="str">
        <x:v>공식 환산식 역산 상위3영역 평균</x:v>
      </x:c>
      <x:c r="Z588" s="136" t="n">
        <x:v>80</x:v>
      </x:c>
      <x:c r="AA588" s="137" t="n">
        <x:v>2.6700000000000017</x:v>
      </x:c>
      <x:c r="AB588" s="111" t="str">
        <x:v>적정</x:v>
      </x:c>
      <x:c r="AC588" s="137" t="n">
        <x:v>17</x:v>
      </x:c>
      <x:c r="AD588" s="137" t="n">
        <x:v>76.6</x:v>
      </x:c>
      <x:c r="AE588" s="137" t="n">
        <x:v>6.4</x:v>
      </x:c>
      <x:c r="AF588" s="113" t="str">
        <x:v>A4: 대학 공식 산식(수능점수=상위3영역 평균×8.5+150)을 역산한 비교용 평균. 영어 변환점수가 상위3에 포함될 수 있음. 예체능 실기 반영 모집단위는 제외.</x:v>
      </x:c>
      <x:c r="AG588" s="111" t="str">
        <x:v>https://www.adiga.kr/ucp/uvt/uni/univDetailSelection.do?menuId=PCUVTINF2000&amp;searchSyr=2026&amp;unvCd=0000008</x:v>
      </x:c>
    </x:row>
    <x:row r="589">
      <x:c r="A589" s="136" t="n">
        <x:v>2025</x:v>
      </x:c>
      <x:c r="B589" s="111" t="str">
        <x:v>충청남도</x:v>
      </x:c>
      <x:c r="C589" s="111" t="str">
        <x:v>국립</x:v>
      </x:c>
      <x:c r="D589" s="111" t="str">
        <x:v>국립공주대학교</x:v>
      </x:c>
      <x:c r="E589" s="111" t="str">
        <x:v>가</x:v>
      </x:c>
      <x:c r="F589" s="111" t="str">
        <x:v>수능위주(일반전형)</x:v>
      </x:c>
      <x:c r="G589" s="113" t="str">
        <x:v>자율전공학부(산업과학대학)</x:v>
      </x:c>
      <x:c r="H589" s="136" t="n">
        <x:v>10</x:v>
      </x:c>
      <x:c r="I589" s="136" t="n">
        <x:v>2</x:v>
      </x:c>
      <x:c r="J589" s="136" t="n">
        <x:v>12</x:v>
      </x:c>
      <x:c r="K589" s="137" t="n">
        <x:v>7.4</x:v>
      </x:c>
      <x:c r="L589" s="136" t="n">
        <x:v>29</x:v>
      </x:c>
      <x:c r="M589" s="137"/>
      <x:c r="N589" s="137" t="n">
        <x:v>770.5</x:v>
      </x:c>
      <x:c r="O589" s="137" t="n">
        <x:v>1000</x:v>
      </x:c>
      <x:c r="P589" s="137"/>
      <x:c r="Q589" s="137"/>
      <x:c r="R589" s="137"/>
      <x:c r="S589" s="137"/>
      <x:c r="T589" s="136"/>
      <x:c r="U589" s="136"/>
      <x:c r="V589" s="137" t="n">
        <x:v>73</x:v>
      </x:c>
      <x:c r="W589" s="137"/>
      <x:c r="X589" s="137" t="n">
        <x:v>73</x:v>
      </x:c>
      <x:c r="Y589" s="137" t="str">
        <x:v>공식 환산식 역산 상위3영역 평균</x:v>
      </x:c>
      <x:c r="Z589" s="136" t="n">
        <x:v>80</x:v>
      </x:c>
      <x:c r="AA589" s="137" t="n">
        <x:v>7</x:v>
      </x:c>
      <x:c r="AB589" s="111" t="str">
        <x:v>안정</x:v>
      </x:c>
      <x:c r="AC589" s="137" t="n">
        <x:v>57.1</x:v>
      </x:c>
      <x:c r="AD589" s="137" t="n">
        <x:v>42.9</x:v>
      </x:c>
      <x:c r="AE589" s="137"/>
      <x:c r="AF589" s="113" t="str">
        <x:v>A4: 대학 공식 산식(수능점수=상위3영역 평균×8.5+150)을 역산한 비교용 평균. 영어 변환점수가 상위3에 포함될 수 있음. 예체능 실기 반영 모집단위는 제외.</x:v>
      </x:c>
      <x:c r="AG589" s="111" t="str">
        <x:v>https://www.adiga.kr/ucp/uvt/uni/univDetailSelection.do?menuId=PCUVTINF2000&amp;searchSyr=2026&amp;unvCd=0000008</x:v>
      </x:c>
    </x:row>
    <x:row r="590">
      <x:c r="A590" s="136" t="n">
        <x:v>2025</x:v>
      </x:c>
      <x:c r="B590" s="111" t="str">
        <x:v>충청남도</x:v>
      </x:c>
      <x:c r="C590" s="111" t="str">
        <x:v>국립</x:v>
      </x:c>
      <x:c r="D590" s="111" t="str">
        <x:v>국립공주대학교</x:v>
      </x:c>
      <x:c r="E590" s="111" t="str">
        <x:v>가</x:v>
      </x:c>
      <x:c r="F590" s="111" t="str">
        <x:v>수능위주(일반전형)</x:v>
      </x:c>
      <x:c r="G590" s="113" t="str">
        <x:v>국어교육과</x:v>
      </x:c>
      <x:c r="H590" s="136" t="n">
        <x:v>3</x:v>
      </x:c>
      <x:c r="I590" s="136" t="n">
        <x:v>1</x:v>
      </x:c>
      <x:c r="J590" s="136" t="n">
        <x:v>4</x:v>
      </x:c>
      <x:c r="K590" s="137" t="n">
        <x:v>4.3</x:v>
      </x:c>
      <x:c r="L590" s="136" t="n">
        <x:v>1</x:v>
      </x:c>
      <x:c r="M590" s="137"/>
      <x:c r="N590" s="137" t="n">
        <x:v>898</x:v>
      </x:c>
      <x:c r="O590" s="137" t="n">
        <x:v>1000</x:v>
      </x:c>
      <x:c r="P590" s="137"/>
      <x:c r="Q590" s="137"/>
      <x:c r="R590" s="137"/>
      <x:c r="S590" s="137"/>
      <x:c r="T590" s="136"/>
      <x:c r="U590" s="136"/>
      <x:c r="V590" s="137" t="n">
        <x:v>88</x:v>
      </x:c>
      <x:c r="W590" s="137"/>
      <x:c r="X590" s="137" t="n">
        <x:v>88</x:v>
      </x:c>
      <x:c r="Y590" s="137" t="str">
        <x:v>공식 환산식 역산 상위3영역 평균</x:v>
      </x:c>
      <x:c r="Z590" s="136" t="n">
        <x:v>80</x:v>
      </x:c>
      <x:c r="AA590" s="137" t="n">
        <x:v>-8</x:v>
      </x:c>
      <x:c r="AB590" s="111" t="str">
        <x:v>상향</x:v>
      </x:c>
      <x:c r="AC590" s="137" t="n">
        <x:v>50</x:v>
      </x:c>
      <x:c r="AD590" s="137" t="n">
        <x:v>50</x:v>
      </x:c>
      <x:c r="AE590" s="137"/>
      <x:c r="AF590" s="113" t="str">
        <x:v>A4: 대학 공식 산식(수능점수=상위3영역 평균×8.5+150)을 역산한 비교용 평균. 영어 변환점수가 상위3에 포함될 수 있음. 예체능 실기 반영 모집단위는 제외.</x:v>
      </x:c>
      <x:c r="AG590" s="111" t="str">
        <x:v>https://www.adiga.kr/ucp/uvt/uni/univDetailSelection.do?menuId=PCUVTINF2000&amp;searchSyr=2026&amp;unvCd=0000008</x:v>
      </x:c>
    </x:row>
    <x:row r="591">
      <x:c r="A591" s="136" t="n">
        <x:v>2025</x:v>
      </x:c>
      <x:c r="B591" s="111" t="str">
        <x:v>충청남도</x:v>
      </x:c>
      <x:c r="C591" s="111" t="str">
        <x:v>국립</x:v>
      </x:c>
      <x:c r="D591" s="111" t="str">
        <x:v>국립공주대학교</x:v>
      </x:c>
      <x:c r="E591" s="111" t="str">
        <x:v>나</x:v>
      </x:c>
      <x:c r="F591" s="111" t="str">
        <x:v>수능위주(일반전형)</x:v>
      </x:c>
      <x:c r="G591" s="113" t="str">
        <x:v>한문교육과</x:v>
      </x:c>
      <x:c r="H591" s="136" t="n">
        <x:v>0</x:v>
      </x:c>
      <x:c r="I591" s="136" t="n">
        <x:v>1</x:v>
      </x:c>
      <x:c r="J591" s="136" t="n">
        <x:v>1</x:v>
      </x:c>
      <x:c r="K591" s="137" t="n">
        <x:v>6</x:v>
      </x:c>
      <x:c r="L591" s="136" t="n">
        <x:v>0</x:v>
      </x:c>
      <x:c r="M591" s="137"/>
      <x:c r="N591" s="137" t="n">
        <x:v>892.3</x:v>
      </x:c>
      <x:c r="O591" s="137" t="n">
        <x:v>1000</x:v>
      </x:c>
      <x:c r="P591" s="137"/>
      <x:c r="Q591" s="137"/>
      <x:c r="R591" s="137"/>
      <x:c r="S591" s="137"/>
      <x:c r="T591" s="136"/>
      <x:c r="U591" s="136"/>
      <x:c r="V591" s="137" t="n">
        <x:v>87.33</x:v>
      </x:c>
      <x:c r="W591" s="137"/>
      <x:c r="X591" s="137" t="n">
        <x:v>87.33</x:v>
      </x:c>
      <x:c r="Y591" s="137" t="str">
        <x:v>공식 환산식 역산 상위3영역 평균</x:v>
      </x:c>
      <x:c r="Z591" s="136" t="n">
        <x:v>80</x:v>
      </x:c>
      <x:c r="AA591" s="137" t="n">
        <x:v>-7.329999999999998</x:v>
      </x:c>
      <x:c r="AB591" s="111" t="str">
        <x:v>상향</x:v>
      </x:c>
      <x:c r="AC591" s="137" t="n">
        <x:v>100</x:v>
      </x:c>
      <x:c r="AD591" s="137"/>
      <x:c r="AE591" s="137"/>
      <x:c r="AF591" s="113" t="str">
        <x:v>A4: 대학 공식 산식(수능점수=상위3영역 평균×8.5+150)을 역산한 비교용 평균. 영어 변환점수가 상위3에 포함될 수 있음. 예체능 실기 반영 모집단위는 제외.</x:v>
      </x:c>
      <x:c r="AG591" s="111" t="str">
        <x:v>https://www.adiga.kr/ucp/uvt/uni/univDetailSelection.do?menuId=PCUVTINF2000&amp;searchSyr=2026&amp;unvCd=0000008</x:v>
      </x:c>
    </x:row>
    <x:row r="592">
      <x:c r="A592" s="136" t="n">
        <x:v>2025</x:v>
      </x:c>
      <x:c r="B592" s="111" t="str">
        <x:v>충청남도</x:v>
      </x:c>
      <x:c r="C592" s="111" t="str">
        <x:v>국립</x:v>
      </x:c>
      <x:c r="D592" s="111" t="str">
        <x:v>국립공주대학교</x:v>
      </x:c>
      <x:c r="E592" s="111" t="str">
        <x:v>나</x:v>
      </x:c>
      <x:c r="F592" s="111" t="str">
        <x:v>수능위주(일반전형)</x:v>
      </x:c>
      <x:c r="G592" s="113" t="str">
        <x:v>영어교육과</x:v>
      </x:c>
      <x:c r="H592" s="136" t="n">
        <x:v>4</x:v>
      </x:c>
      <x:c r="I592" s="136" t="n">
        <x:v>0</x:v>
      </x:c>
      <x:c r="J592" s="136" t="n">
        <x:v>4</x:v>
      </x:c>
      <x:c r="K592" s="137" t="n">
        <x:v>4.3</x:v>
      </x:c>
      <x:c r="L592" s="136" t="n">
        <x:v>2</x:v>
      </x:c>
      <x:c r="M592" s="137"/>
      <x:c r="N592" s="137" t="n">
        <x:v>903.7</x:v>
      </x:c>
      <x:c r="O592" s="137" t="n">
        <x:v>1000</x:v>
      </x:c>
      <x:c r="P592" s="137"/>
      <x:c r="Q592" s="137"/>
      <x:c r="R592" s="137"/>
      <x:c r="S592" s="137"/>
      <x:c r="T592" s="136"/>
      <x:c r="U592" s="136"/>
      <x:c r="V592" s="137" t="n">
        <x:v>88.67</x:v>
      </x:c>
      <x:c r="W592" s="137"/>
      <x:c r="X592" s="137" t="n">
        <x:v>88.67</x:v>
      </x:c>
      <x:c r="Y592" s="137" t="str">
        <x:v>공식 환산식 역산 상위3영역 평균</x:v>
      </x:c>
      <x:c r="Z592" s="136" t="n">
        <x:v>80</x:v>
      </x:c>
      <x:c r="AA592" s="137" t="n">
        <x:v>-8.670000000000002</x:v>
      </x:c>
      <x:c r="AB592" s="111" t="str">
        <x:v>상향</x:v>
      </x:c>
      <x:c r="AC592" s="137" t="n">
        <x:v>100</x:v>
      </x:c>
      <x:c r="AD592" s="137"/>
      <x:c r="AE592" s="137"/>
      <x:c r="AF592" s="113" t="str">
        <x:v>A4: 대학 공식 산식(수능점수=상위3영역 평균×8.5+150)을 역산한 비교용 평균. 영어 변환점수가 상위3에 포함될 수 있음. 예체능 실기 반영 모집단위는 제외.</x:v>
      </x:c>
      <x:c r="AG592" s="111" t="str">
        <x:v>https://www.adiga.kr/ucp/uvt/uni/univDetailSelection.do?menuId=PCUVTINF2000&amp;searchSyr=2026&amp;unvCd=0000008</x:v>
      </x:c>
    </x:row>
    <x:row r="593">
      <x:c r="A593" s="136" t="n">
        <x:v>2025</x:v>
      </x:c>
      <x:c r="B593" s="111" t="str">
        <x:v>충청남도</x:v>
      </x:c>
      <x:c r="C593" s="111" t="str">
        <x:v>국립</x:v>
      </x:c>
      <x:c r="D593" s="111" t="str">
        <x:v>국립공주대학교</x:v>
      </x:c>
      <x:c r="E593" s="111" t="str">
        <x:v>나</x:v>
      </x:c>
      <x:c r="F593" s="111" t="str">
        <x:v>수능위주(일반전형)</x:v>
      </x:c>
      <x:c r="G593" s="113" t="str">
        <x:v>윤리교육과</x:v>
      </x:c>
      <x:c r="H593" s="136" t="n">
        <x:v>2</x:v>
      </x:c>
      <x:c r="I593" s="136" t="n">
        <x:v>0</x:v>
      </x:c>
      <x:c r="J593" s="136" t="n">
        <x:v>2</x:v>
      </x:c>
      <x:c r="K593" s="137" t="n">
        <x:v>9</x:v>
      </x:c>
      <x:c r="L593" s="136" t="n">
        <x:v>1</x:v>
      </x:c>
      <x:c r="M593" s="137"/>
      <x:c r="N593" s="137" t="n">
        <x:v>929.2</x:v>
      </x:c>
      <x:c r="O593" s="137" t="n">
        <x:v>1000</x:v>
      </x:c>
      <x:c r="P593" s="137"/>
      <x:c r="Q593" s="137"/>
      <x:c r="R593" s="137"/>
      <x:c r="S593" s="137"/>
      <x:c r="T593" s="136"/>
      <x:c r="U593" s="136"/>
      <x:c r="V593" s="137" t="n">
        <x:v>91.67</x:v>
      </x:c>
      <x:c r="W593" s="137"/>
      <x:c r="X593" s="137" t="n">
        <x:v>91.67</x:v>
      </x:c>
      <x:c r="Y593" s="137" t="str">
        <x:v>공식 환산식 역산 상위3영역 평균</x:v>
      </x:c>
      <x:c r="Z593" s="136" t="n">
        <x:v>80</x:v>
      </x:c>
      <x:c r="AA593" s="137" t="n">
        <x:v>-11.670000000000002</x:v>
      </x:c>
      <x:c r="AB593" s="111" t="str">
        <x:v>상향</x:v>
      </x:c>
      <x:c r="AC593" s="137" t="n">
        <x:v>50</x:v>
      </x:c>
      <x:c r="AD593" s="137" t="n">
        <x:v>50</x:v>
      </x:c>
      <x:c r="AE593" s="137"/>
      <x:c r="AF593" s="113" t="str">
        <x:v>A4: 대학 공식 산식(수능점수=상위3영역 평균×8.5+150)을 역산한 비교용 평균. 영어 변환점수가 상위3에 포함될 수 있음. 예체능 실기 반영 모집단위는 제외.</x:v>
      </x:c>
      <x:c r="AG593" s="111" t="str">
        <x:v>https://www.adiga.kr/ucp/uvt/uni/univDetailSelection.do?menuId=PCUVTINF2000&amp;searchSyr=2026&amp;unvCd=0000008</x:v>
      </x:c>
    </x:row>
    <x:row r="594">
      <x:c r="A594" s="136" t="n">
        <x:v>2025</x:v>
      </x:c>
      <x:c r="B594" s="111" t="str">
        <x:v>충청남도</x:v>
      </x:c>
      <x:c r="C594" s="111" t="str">
        <x:v>국립</x:v>
      </x:c>
      <x:c r="D594" s="111" t="str">
        <x:v>국립공주대학교</x:v>
      </x:c>
      <x:c r="E594" s="111" t="str">
        <x:v>나</x:v>
      </x:c>
      <x:c r="F594" s="111" t="str">
        <x:v>수능위주(일반전형)</x:v>
      </x:c>
      <x:c r="G594" s="113" t="str">
        <x:v>경영·금융교육과</x:v>
      </x:c>
      <x:c r="H594" s="136" t="n">
        <x:v>2</x:v>
      </x:c>
      <x:c r="I594" s="136" t="n">
        <x:v>0</x:v>
      </x:c>
      <x:c r="J594" s="136" t="n">
        <x:v>2</x:v>
      </x:c>
      <x:c r="K594" s="137" t="n">
        <x:v>11.5</x:v>
      </x:c>
      <x:c r="L594" s="136" t="n">
        <x:v>4</x:v>
      </x:c>
      <x:c r="M594" s="137"/>
      <x:c r="N594" s="137" t="n">
        <x:v>875.3</x:v>
      </x:c>
      <x:c r="O594" s="137" t="n">
        <x:v>1000</x:v>
      </x:c>
      <x:c r="P594" s="137"/>
      <x:c r="Q594" s="137"/>
      <x:c r="R594" s="137"/>
      <x:c r="S594" s="137"/>
      <x:c r="T594" s="136"/>
      <x:c r="U594" s="136"/>
      <x:c r="V594" s="137" t="n">
        <x:v>85.33</x:v>
      </x:c>
      <x:c r="W594" s="137"/>
      <x:c r="X594" s="137" t="n">
        <x:v>85.33</x:v>
      </x:c>
      <x:c r="Y594" s="137" t="str">
        <x:v>공식 환산식 역산 상위3영역 평균</x:v>
      </x:c>
      <x:c r="Z594" s="136" t="n">
        <x:v>80</x:v>
      </x:c>
      <x:c r="AA594" s="137" t="n">
        <x:v>-5.329999999999998</x:v>
      </x:c>
      <x:c r="AB594" s="111" t="str">
        <x:v>상향</x:v>
      </x:c>
      <x:c r="AC594" s="137" t="n">
        <x:v>100</x:v>
      </x:c>
      <x:c r="AD594" s="137"/>
      <x:c r="AE594" s="137"/>
      <x:c r="AF594" s="113" t="str">
        <x:v>A4: 대학 공식 산식(수능점수=상위3영역 평균×8.5+150)을 역산한 비교용 평균. 영어 변환점수가 상위3에 포함될 수 있음. 예체능 실기 반영 모집단위는 제외.</x:v>
      </x:c>
      <x:c r="AG594" s="111" t="str">
        <x:v>https://www.adiga.kr/ucp/uvt/uni/univDetailSelection.do?menuId=PCUVTINF2000&amp;searchSyr=2026&amp;unvCd=0000008</x:v>
      </x:c>
    </x:row>
    <x:row r="595">
      <x:c r="A595" s="136" t="n">
        <x:v>2025</x:v>
      </x:c>
      <x:c r="B595" s="111" t="str">
        <x:v>충청남도</x:v>
      </x:c>
      <x:c r="C595" s="111" t="str">
        <x:v>국립</x:v>
      </x:c>
      <x:c r="D595" s="111" t="str">
        <x:v>국립공주대학교</x:v>
      </x:c>
      <x:c r="E595" s="111" t="str">
        <x:v>나</x:v>
      </x:c>
      <x:c r="F595" s="111" t="str">
        <x:v>수능위주(일반전형)</x:v>
      </x:c>
      <x:c r="G595" s="113" t="str">
        <x:v>문헌정보교육과</x:v>
      </x:c>
      <x:c r="H595" s="136" t="n">
        <x:v>0</x:v>
      </x:c>
      <x:c r="I595" s="136" t="n">
        <x:v>1</x:v>
      </x:c>
      <x:c r="J595" s="136" t="n">
        <x:v>1</x:v>
      </x:c>
      <x:c r="K595" s="137" t="n">
        <x:v>8</x:v>
      </x:c>
      <x:c r="L595" s="136" t="n">
        <x:v>0</x:v>
      </x:c>
      <x:c r="M595" s="137"/>
      <x:c r="N595" s="137" t="n">
        <x:v>892.3</x:v>
      </x:c>
      <x:c r="O595" s="137" t="n">
        <x:v>1000</x:v>
      </x:c>
      <x:c r="P595" s="137"/>
      <x:c r="Q595" s="137"/>
      <x:c r="R595" s="137"/>
      <x:c r="S595" s="137"/>
      <x:c r="T595" s="136"/>
      <x:c r="U595" s="136"/>
      <x:c r="V595" s="137" t="n">
        <x:v>87.33</x:v>
      </x:c>
      <x:c r="W595" s="137"/>
      <x:c r="X595" s="137" t="n">
        <x:v>87.33</x:v>
      </x:c>
      <x:c r="Y595" s="137" t="str">
        <x:v>공식 환산식 역산 상위3영역 평균</x:v>
      </x:c>
      <x:c r="Z595" s="136" t="n">
        <x:v>80</x:v>
      </x:c>
      <x:c r="AA595" s="137" t="n">
        <x:v>-7.329999999999998</x:v>
      </x:c>
      <x:c r="AB595" s="111" t="str">
        <x:v>상향</x:v>
      </x:c>
      <x:c r="AC595" s="137" t="n">
        <x:v>100</x:v>
      </x:c>
      <x:c r="AD595" s="137"/>
      <x:c r="AE595" s="137"/>
      <x:c r="AF595" s="113" t="str">
        <x:v>A4: 대학 공식 산식(수능점수=상위3영역 평균×8.5+150)을 역산한 비교용 평균. 영어 변환점수가 상위3에 포함될 수 있음. 예체능 실기 반영 모집단위는 제외.</x:v>
      </x:c>
      <x:c r="AG595" s="111" t="str">
        <x:v>https://www.adiga.kr/ucp/uvt/uni/univDetailSelection.do?menuId=PCUVTINF2000&amp;searchSyr=2026&amp;unvCd=0000008</x:v>
      </x:c>
    </x:row>
    <x:row r="596">
      <x:c r="A596" s="136" t="n">
        <x:v>2025</x:v>
      </x:c>
      <x:c r="B596" s="111" t="str">
        <x:v>충청남도</x:v>
      </x:c>
      <x:c r="C596" s="111" t="str">
        <x:v>국립</x:v>
      </x:c>
      <x:c r="D596" s="111" t="str">
        <x:v>국립공주대학교</x:v>
      </x:c>
      <x:c r="E596" s="111" t="str">
        <x:v>나</x:v>
      </x:c>
      <x:c r="F596" s="111" t="str">
        <x:v>수능위주(일반전형)</x:v>
      </x:c>
      <x:c r="G596" s="113" t="str">
        <x:v>역사교육과</x:v>
      </x:c>
      <x:c r="H596" s="136" t="n">
        <x:v>3</x:v>
      </x:c>
      <x:c r="I596" s="136" t="n">
        <x:v>0</x:v>
      </x:c>
      <x:c r="J596" s="136" t="n">
        <x:v>3</x:v>
      </x:c>
      <x:c r="K596" s="137" t="n">
        <x:v>4.3</x:v>
      </x:c>
      <x:c r="L596" s="136" t="n">
        <x:v>4</x:v>
      </x:c>
      <x:c r="M596" s="137"/>
      <x:c r="N596" s="137" t="n">
        <x:v>858.3</x:v>
      </x:c>
      <x:c r="O596" s="137" t="n">
        <x:v>1000</x:v>
      </x:c>
      <x:c r="P596" s="137"/>
      <x:c r="Q596" s="137"/>
      <x:c r="R596" s="137"/>
      <x:c r="S596" s="137"/>
      <x:c r="T596" s="136"/>
      <x:c r="U596" s="136"/>
      <x:c r="V596" s="137" t="n">
        <x:v>83.33</x:v>
      </x:c>
      <x:c r="W596" s="137"/>
      <x:c r="X596" s="137" t="n">
        <x:v>83.33</x:v>
      </x:c>
      <x:c r="Y596" s="137" t="str">
        <x:v>공식 환산식 역산 상위3영역 평균</x:v>
      </x:c>
      <x:c r="Z596" s="136" t="n">
        <x:v>80</x:v>
      </x:c>
      <x:c r="AA596" s="137" t="n">
        <x:v>-3.3299999999999983</x:v>
      </x:c>
      <x:c r="AB596" s="111" t="str">
        <x:v>상향</x:v>
      </x:c>
      <x:c r="AC596" s="137" t="n">
        <x:v>100</x:v>
      </x:c>
      <x:c r="AD596" s="137"/>
      <x:c r="AE596" s="137"/>
      <x:c r="AF596" s="113" t="str">
        <x:v>A4: 대학 공식 산식(수능점수=상위3영역 평균×8.5+150)을 역산한 비교용 평균. 영어 변환점수가 상위3에 포함될 수 있음. 예체능 실기 반영 모집단위는 제외.</x:v>
      </x:c>
      <x:c r="AG596" s="111" t="str">
        <x:v>https://www.adiga.kr/ucp/uvt/uni/univDetailSelection.do?menuId=PCUVTINF2000&amp;searchSyr=2026&amp;unvCd=0000008</x:v>
      </x:c>
    </x:row>
    <x:row r="597">
      <x:c r="A597" s="136" t="n">
        <x:v>2025</x:v>
      </x:c>
      <x:c r="B597" s="111" t="str">
        <x:v>충청남도</x:v>
      </x:c>
      <x:c r="C597" s="111" t="str">
        <x:v>국립</x:v>
      </x:c>
      <x:c r="D597" s="111" t="str">
        <x:v>국립공주대학교</x:v>
      </x:c>
      <x:c r="E597" s="111" t="str">
        <x:v>나</x:v>
      </x:c>
      <x:c r="F597" s="111" t="str">
        <x:v>수능위주(일반전형)</x:v>
      </x:c>
      <x:c r="G597" s="113" t="str">
        <x:v>지리교육과</x:v>
      </x:c>
      <x:c r="H597" s="136" t="n">
        <x:v>2</x:v>
      </x:c>
      <x:c r="I597" s="136" t="n">
        <x:v>0</x:v>
      </x:c>
      <x:c r="J597" s="136" t="n">
        <x:v>2</x:v>
      </x:c>
      <x:c r="K597" s="137" t="n">
        <x:v>7</x:v>
      </x:c>
      <x:c r="L597" s="136" t="n">
        <x:v>0</x:v>
      </x:c>
      <x:c r="M597" s="137"/>
      <x:c r="N597" s="137" t="n">
        <x:v>912.2</x:v>
      </x:c>
      <x:c r="O597" s="137" t="n">
        <x:v>1000</x:v>
      </x:c>
      <x:c r="P597" s="137"/>
      <x:c r="Q597" s="137"/>
      <x:c r="R597" s="137"/>
      <x:c r="S597" s="137"/>
      <x:c r="T597" s="136"/>
      <x:c r="U597" s="136"/>
      <x:c r="V597" s="137" t="n">
        <x:v>89.67</x:v>
      </x:c>
      <x:c r="W597" s="137"/>
      <x:c r="X597" s="137" t="n">
        <x:v>89.67</x:v>
      </x:c>
      <x:c r="Y597" s="137" t="str">
        <x:v>공식 환산식 역산 상위3영역 평균</x:v>
      </x:c>
      <x:c r="Z597" s="136" t="n">
        <x:v>80</x:v>
      </x:c>
      <x:c r="AA597" s="137" t="n">
        <x:v>-9.670000000000002</x:v>
      </x:c>
      <x:c r="AB597" s="111" t="str">
        <x:v>상향</x:v>
      </x:c>
      <x:c r="AC597" s="137" t="n">
        <x:v>100</x:v>
      </x:c>
      <x:c r="AD597" s="137"/>
      <x:c r="AE597" s="137"/>
      <x:c r="AF597" s="113" t="str">
        <x:v>A4: 대학 공식 산식(수능점수=상위3영역 평균×8.5+150)을 역산한 비교용 평균. 영어 변환점수가 상위3에 포함될 수 있음. 예체능 실기 반영 모집단위는 제외.</x:v>
      </x:c>
      <x:c r="AG597" s="111" t="str">
        <x:v>https://www.adiga.kr/ucp/uvt/uni/univDetailSelection.do?menuId=PCUVTINF2000&amp;searchSyr=2026&amp;unvCd=0000008</x:v>
      </x:c>
    </x:row>
    <x:row r="598">
      <x:c r="A598" s="136" t="n">
        <x:v>2025</x:v>
      </x:c>
      <x:c r="B598" s="111" t="str">
        <x:v>충청남도</x:v>
      </x:c>
      <x:c r="C598" s="111" t="str">
        <x:v>국립</x:v>
      </x:c>
      <x:c r="D598" s="111" t="str">
        <x:v>국립공주대학교</x:v>
      </x:c>
      <x:c r="E598" s="111" t="str">
        <x:v>나</x:v>
      </x:c>
      <x:c r="F598" s="111" t="str">
        <x:v>수능위주(일반전형)</x:v>
      </x:c>
      <x:c r="G598" s="113" t="str">
        <x:v>유아교육과</x:v>
      </x:c>
      <x:c r="H598" s="136" t="n">
        <x:v>2</x:v>
      </x:c>
      <x:c r="I598" s="136" t="n">
        <x:v>1</x:v>
      </x:c>
      <x:c r="J598" s="136" t="n">
        <x:v>3</x:v>
      </x:c>
      <x:c r="K598" s="137" t="n">
        <x:v>5</x:v>
      </x:c>
      <x:c r="L598" s="136" t="n">
        <x:v>1</x:v>
      </x:c>
      <x:c r="M598" s="137"/>
      <x:c r="N598" s="137" t="n">
        <x:v>872.5</x:v>
      </x:c>
      <x:c r="O598" s="137" t="n">
        <x:v>1000</x:v>
      </x:c>
      <x:c r="P598" s="137"/>
      <x:c r="Q598" s="137"/>
      <x:c r="R598" s="137"/>
      <x:c r="S598" s="137"/>
      <x:c r="T598" s="136"/>
      <x:c r="U598" s="136"/>
      <x:c r="V598" s="137" t="n">
        <x:v>85</x:v>
      </x:c>
      <x:c r="W598" s="137"/>
      <x:c r="X598" s="137" t="n">
        <x:v>85</x:v>
      </x:c>
      <x:c r="Y598" s="137" t="str">
        <x:v>공식 환산식 역산 상위3영역 평균</x:v>
      </x:c>
      <x:c r="Z598" s="136" t="n">
        <x:v>80</x:v>
      </x:c>
      <x:c r="AA598" s="137" t="n">
        <x:v>-5</x:v>
      </x:c>
      <x:c r="AB598" s="111" t="str">
        <x:v>상향</x:v>
      </x:c>
      <x:c r="AC598" s="137" t="n">
        <x:v>66.7</x:v>
      </x:c>
      <x:c r="AD598" s="137" t="n">
        <x:v>33.3</x:v>
      </x:c>
      <x:c r="AE598" s="137"/>
      <x:c r="AF598" s="113" t="str">
        <x:v>A4: 대학 공식 산식(수능점수=상위3영역 평균×8.5+150)을 역산한 비교용 평균. 영어 변환점수가 상위3에 포함될 수 있음. 예체능 실기 반영 모집단위는 제외.</x:v>
      </x:c>
      <x:c r="AG598" s="111" t="str">
        <x:v>https://www.adiga.kr/ucp/uvt/uni/univDetailSelection.do?menuId=PCUVTINF2000&amp;searchSyr=2026&amp;unvCd=0000008</x:v>
      </x:c>
    </x:row>
    <x:row r="599">
      <x:c r="A599" s="136" t="n">
        <x:v>2025</x:v>
      </x:c>
      <x:c r="B599" s="111" t="str">
        <x:v>충청남도</x:v>
      </x:c>
      <x:c r="C599" s="111" t="str">
        <x:v>국립</x:v>
      </x:c>
      <x:c r="D599" s="111" t="str">
        <x:v>국립공주대학교</x:v>
      </x:c>
      <x:c r="E599" s="111" t="str">
        <x:v>나</x:v>
      </x:c>
      <x:c r="F599" s="111" t="str">
        <x:v>수능위주(일반전형)</x:v>
      </x:c>
      <x:c r="G599" s="113" t="str">
        <x:v>수학교육과</x:v>
      </x:c>
      <x:c r="H599" s="136" t="n">
        <x:v>3</x:v>
      </x:c>
      <x:c r="I599" s="136" t="n">
        <x:v>1</x:v>
      </x:c>
      <x:c r="J599" s="136" t="n">
        <x:v>4</x:v>
      </x:c>
      <x:c r="K599" s="137" t="n">
        <x:v>4</x:v>
      </x:c>
      <x:c r="L599" s="136" t="n">
        <x:v>3</x:v>
      </x:c>
      <x:c r="M599" s="137"/>
      <x:c r="N599" s="137" t="n">
        <x:v>889.5</x:v>
      </x:c>
      <x:c r="O599" s="137" t="n">
        <x:v>1000</x:v>
      </x:c>
      <x:c r="P599" s="137"/>
      <x:c r="Q599" s="137"/>
      <x:c r="R599" s="137"/>
      <x:c r="S599" s="137"/>
      <x:c r="T599" s="136"/>
      <x:c r="U599" s="136"/>
      <x:c r="V599" s="137" t="n">
        <x:v>87</x:v>
      </x:c>
      <x:c r="W599" s="137"/>
      <x:c r="X599" s="137" t="n">
        <x:v>87</x:v>
      </x:c>
      <x:c r="Y599" s="137" t="str">
        <x:v>공식 환산식 역산 상위3영역 평균</x:v>
      </x:c>
      <x:c r="Z599" s="136" t="n">
        <x:v>80</x:v>
      </x:c>
      <x:c r="AA599" s="137" t="n">
        <x:v>-7</x:v>
      </x:c>
      <x:c r="AB599" s="111" t="str">
        <x:v>상향</x:v>
      </x:c>
      <x:c r="AC599" s="137" t="n">
        <x:v>0</x:v>
      </x:c>
      <x:c r="AD599" s="137" t="n">
        <x:v>100</x:v>
      </x:c>
      <x:c r="AE599" s="137"/>
      <x:c r="AF599" s="113" t="str">
        <x:v>A4: 대학 공식 산식(수능점수=상위3영역 평균×8.5+150)을 역산한 비교용 평균. 영어 변환점수가 상위3에 포함될 수 있음. 예체능 실기 반영 모집단위는 제외.</x:v>
      </x:c>
      <x:c r="AG599" s="111" t="str">
        <x:v>https://www.adiga.kr/ucp/uvt/uni/univDetailSelection.do?menuId=PCUVTINF2000&amp;searchSyr=2026&amp;unvCd=0000008</x:v>
      </x:c>
    </x:row>
    <x:row r="600">
      <x:c r="A600" s="136" t="n">
        <x:v>2025</x:v>
      </x:c>
      <x:c r="B600" s="111" t="str">
        <x:v>충청남도</x:v>
      </x:c>
      <x:c r="C600" s="111" t="str">
        <x:v>국립</x:v>
      </x:c>
      <x:c r="D600" s="111" t="str">
        <x:v>국립공주대학교</x:v>
      </x:c>
      <x:c r="E600" s="111" t="str">
        <x:v>나</x:v>
      </x:c>
      <x:c r="F600" s="111" t="str">
        <x:v>수능위주(일반전형)</x:v>
      </x:c>
      <x:c r="G600" s="113" t="str">
        <x:v>화학교육과</x:v>
      </x:c>
      <x:c r="H600" s="136" t="n">
        <x:v>2</x:v>
      </x:c>
      <x:c r="I600" s="136" t="n">
        <x:v>1</x:v>
      </x:c>
      <x:c r="J600" s="136" t="n">
        <x:v>3</x:v>
      </x:c>
      <x:c r="K600" s="137" t="n">
        <x:v>4</x:v>
      </x:c>
      <x:c r="L600" s="136" t="n">
        <x:v>1</x:v>
      </x:c>
      <x:c r="M600" s="137"/>
      <x:c r="N600" s="137" t="n">
        <x:v>886.7</x:v>
      </x:c>
      <x:c r="O600" s="137" t="n">
        <x:v>1000</x:v>
      </x:c>
      <x:c r="P600" s="137"/>
      <x:c r="Q600" s="137"/>
      <x:c r="R600" s="137"/>
      <x:c r="S600" s="137"/>
      <x:c r="T600" s="136"/>
      <x:c r="U600" s="136"/>
      <x:c r="V600" s="137" t="n">
        <x:v>86.67</x:v>
      </x:c>
      <x:c r="W600" s="137"/>
      <x:c r="X600" s="137" t="n">
        <x:v>86.67</x:v>
      </x:c>
      <x:c r="Y600" s="137" t="str">
        <x:v>공식 환산식 역산 상위3영역 평균</x:v>
      </x:c>
      <x:c r="Z600" s="136" t="n">
        <x:v>80</x:v>
      </x:c>
      <x:c r="AA600" s="137" t="n">
        <x:v>-6.670000000000002</x:v>
      </x:c>
      <x:c r="AB600" s="111" t="str">
        <x:v>상향</x:v>
      </x:c>
      <x:c r="AC600" s="137" t="n">
        <x:v>0</x:v>
      </x:c>
      <x:c r="AD600" s="137" t="n">
        <x:v>100</x:v>
      </x:c>
      <x:c r="AE600" s="137"/>
      <x:c r="AF600" s="113" t="str">
        <x:v>A4: 대학 공식 산식(수능점수=상위3영역 평균×8.5+150)을 역산한 비교용 평균. 영어 변환점수가 상위3에 포함될 수 있음. 예체능 실기 반영 모집단위는 제외.</x:v>
      </x:c>
      <x:c r="AG600" s="111" t="str">
        <x:v>https://www.adiga.kr/ucp/uvt/uni/univDetailSelection.do?menuId=PCUVTINF2000&amp;searchSyr=2026&amp;unvCd=0000008</x:v>
      </x:c>
    </x:row>
    <x:row r="601">
      <x:c r="A601" s="136" t="n">
        <x:v>2025</x:v>
      </x:c>
      <x:c r="B601" s="111" t="str">
        <x:v>충청남도</x:v>
      </x:c>
      <x:c r="C601" s="111" t="str">
        <x:v>국립</x:v>
      </x:c>
      <x:c r="D601" s="111" t="str">
        <x:v>국립공주대학교</x:v>
      </x:c>
      <x:c r="E601" s="111" t="str">
        <x:v>나</x:v>
      </x:c>
      <x:c r="F601" s="111" t="str">
        <x:v>수능위주(일반전형)</x:v>
      </x:c>
      <x:c r="G601" s="113" t="str">
        <x:v>생물교육과</x:v>
      </x:c>
      <x:c r="H601" s="136" t="n">
        <x:v>2</x:v>
      </x:c>
      <x:c r="I601" s="136" t="n">
        <x:v>1</x:v>
      </x:c>
      <x:c r="J601" s="136" t="n">
        <x:v>3</x:v>
      </x:c>
      <x:c r="K601" s="137" t="n">
        <x:v>4.3</x:v>
      </x:c>
      <x:c r="L601" s="136" t="n">
        <x:v>3</x:v>
      </x:c>
      <x:c r="M601" s="137"/>
      <x:c r="N601" s="137" t="n">
        <x:v>858.3</x:v>
      </x:c>
      <x:c r="O601" s="137" t="n">
        <x:v>1000</x:v>
      </x:c>
      <x:c r="P601" s="137"/>
      <x:c r="Q601" s="137"/>
      <x:c r="R601" s="137"/>
      <x:c r="S601" s="137"/>
      <x:c r="T601" s="136"/>
      <x:c r="U601" s="136"/>
      <x:c r="V601" s="137" t="n">
        <x:v>83.33</x:v>
      </x:c>
      <x:c r="W601" s="137"/>
      <x:c r="X601" s="137" t="n">
        <x:v>83.33</x:v>
      </x:c>
      <x:c r="Y601" s="137" t="str">
        <x:v>공식 환산식 역산 상위3영역 평균</x:v>
      </x:c>
      <x:c r="Z601" s="136" t="n">
        <x:v>80</x:v>
      </x:c>
      <x:c r="AA601" s="137" t="n">
        <x:v>-3.3299999999999983</x:v>
      </x:c>
      <x:c r="AB601" s="111" t="str">
        <x:v>상향</x:v>
      </x:c>
      <x:c r="AC601" s="137" t="n">
        <x:v>66.7</x:v>
      </x:c>
      <x:c r="AD601" s="137" t="n">
        <x:v>33.3</x:v>
      </x:c>
      <x:c r="AE601" s="137"/>
      <x:c r="AF601" s="113" t="str">
        <x:v>A4: 대학 공식 산식(수능점수=상위3영역 평균×8.5+150)을 역산한 비교용 평균. 영어 변환점수가 상위3에 포함될 수 있음. 예체능 실기 반영 모집단위는 제외.</x:v>
      </x:c>
      <x:c r="AG601" s="111" t="str">
        <x:v>https://www.adiga.kr/ucp/uvt/uni/univDetailSelection.do?menuId=PCUVTINF2000&amp;searchSyr=2026&amp;unvCd=0000008</x:v>
      </x:c>
    </x:row>
    <x:row r="602">
      <x:c r="A602" s="136" t="n">
        <x:v>2025</x:v>
      </x:c>
      <x:c r="B602" s="111" t="str">
        <x:v>충청남도</x:v>
      </x:c>
      <x:c r="C602" s="111" t="str">
        <x:v>국립</x:v>
      </x:c>
      <x:c r="D602" s="111" t="str">
        <x:v>국립공주대학교</x:v>
      </x:c>
      <x:c r="E602" s="111" t="str">
        <x:v>나</x:v>
      </x:c>
      <x:c r="F602" s="111" t="str">
        <x:v>수능위주(일반전형)</x:v>
      </x:c>
      <x:c r="G602" s="113" t="str">
        <x:v>지구과학교육과</x:v>
      </x:c>
      <x:c r="H602" s="136" t="n">
        <x:v>2</x:v>
      </x:c>
      <x:c r="I602" s="136" t="n">
        <x:v>0</x:v>
      </x:c>
      <x:c r="J602" s="136" t="n">
        <x:v>2</x:v>
      </x:c>
      <x:c r="K602" s="137" t="n">
        <x:v>6.5</x:v>
      </x:c>
      <x:c r="L602" s="136" t="n">
        <x:v>1</x:v>
      </x:c>
      <x:c r="M602" s="137"/>
      <x:c r="N602" s="137" t="n">
        <x:v>937.7</x:v>
      </x:c>
      <x:c r="O602" s="137" t="n">
        <x:v>1000</x:v>
      </x:c>
      <x:c r="P602" s="137"/>
      <x:c r="Q602" s="137"/>
      <x:c r="R602" s="137"/>
      <x:c r="S602" s="137"/>
      <x:c r="T602" s="136"/>
      <x:c r="U602" s="136"/>
      <x:c r="V602" s="137" t="n">
        <x:v>92.67</x:v>
      </x:c>
      <x:c r="W602" s="137"/>
      <x:c r="X602" s="137" t="n">
        <x:v>92.67</x:v>
      </x:c>
      <x:c r="Y602" s="137" t="str">
        <x:v>공식 환산식 역산 상위3영역 평균</x:v>
      </x:c>
      <x:c r="Z602" s="136" t="n">
        <x:v>80</x:v>
      </x:c>
      <x:c r="AA602" s="137" t="n">
        <x:v>-12.670000000000002</x:v>
      </x:c>
      <x:c r="AB602" s="111" t="str">
        <x:v>상향</x:v>
      </x:c>
      <x:c r="AC602" s="137" t="n">
        <x:v>0</x:v>
      </x:c>
      <x:c r="AD602" s="137" t="n">
        <x:v>100</x:v>
      </x:c>
      <x:c r="AE602" s="137"/>
      <x:c r="AF602" s="113" t="str">
        <x:v>A4: 대학 공식 산식(수능점수=상위3영역 평균×8.5+150)을 역산한 비교용 평균. 영어 변환점수가 상위3에 포함될 수 있음. 예체능 실기 반영 모집단위는 제외.</x:v>
      </x:c>
      <x:c r="AG602" s="111" t="str">
        <x:v>https://www.adiga.kr/ucp/uvt/uni/univDetailSelection.do?menuId=PCUVTINF2000&amp;searchSyr=2026&amp;unvCd=0000008</x:v>
      </x:c>
    </x:row>
    <x:row r="603">
      <x:c r="A603" s="136" t="n">
        <x:v>2025</x:v>
      </x:c>
      <x:c r="B603" s="111" t="str">
        <x:v>충청남도</x:v>
      </x:c>
      <x:c r="C603" s="111" t="str">
        <x:v>국립</x:v>
      </x:c>
      <x:c r="D603" s="111" t="str">
        <x:v>국립공주대학교</x:v>
      </x:c>
      <x:c r="E603" s="111" t="str">
        <x:v>나</x:v>
      </x:c>
      <x:c r="F603" s="111" t="str">
        <x:v>수능위주(일반전형)</x:v>
      </x:c>
      <x:c r="G603" s="113" t="str">
        <x:v>환경교육과</x:v>
      </x:c>
      <x:c r="H603" s="136" t="n">
        <x:v>2</x:v>
      </x:c>
      <x:c r="I603" s="136" t="n">
        <x:v>1</x:v>
      </x:c>
      <x:c r="J603" s="136" t="n">
        <x:v>3</x:v>
      </x:c>
      <x:c r="K603" s="137" t="n">
        <x:v>6</x:v>
      </x:c>
      <x:c r="L603" s="136" t="n">
        <x:v>1</x:v>
      </x:c>
      <x:c r="M603" s="137"/>
      <x:c r="N603" s="137" t="n">
        <x:v>869.7</x:v>
      </x:c>
      <x:c r="O603" s="137" t="n">
        <x:v>1000</x:v>
      </x:c>
      <x:c r="P603" s="137"/>
      <x:c r="Q603" s="137"/>
      <x:c r="R603" s="137"/>
      <x:c r="S603" s="137"/>
      <x:c r="T603" s="136"/>
      <x:c r="U603" s="136"/>
      <x:c r="V603" s="137" t="n">
        <x:v>84.67</x:v>
      </x:c>
      <x:c r="W603" s="137"/>
      <x:c r="X603" s="137" t="n">
        <x:v>84.67</x:v>
      </x:c>
      <x:c r="Y603" s="137" t="str">
        <x:v>공식 환산식 역산 상위3영역 평균</x:v>
      </x:c>
      <x:c r="Z603" s="136" t="n">
        <x:v>80</x:v>
      </x:c>
      <x:c r="AA603" s="137" t="n">
        <x:v>-4.670000000000002</x:v>
      </x:c>
      <x:c r="AB603" s="111" t="str">
        <x:v>상향</x:v>
      </x:c>
      <x:c r="AC603" s="137" t="n">
        <x:v>25</x:v>
      </x:c>
      <x:c r="AD603" s="137" t="n">
        <x:v>75</x:v>
      </x:c>
      <x:c r="AE603" s="137"/>
      <x:c r="AF603" s="113" t="str">
        <x:v>A4: 대학 공식 산식(수능점수=상위3영역 평균×8.5+150)을 역산한 비교용 평균. 영어 변환점수가 상위3에 포함될 수 있음. 예체능 실기 반영 모집단위는 제외.</x:v>
      </x:c>
      <x:c r="AG603" s="111" t="str">
        <x:v>https://www.adiga.kr/ucp/uvt/uni/univDetailSelection.do?menuId=PCUVTINF2000&amp;searchSyr=2026&amp;unvCd=0000008</x:v>
      </x:c>
    </x:row>
    <x:row r="604">
      <x:c r="A604" s="136" t="n">
        <x:v>2025</x:v>
      </x:c>
      <x:c r="B604" s="111" t="str">
        <x:v>충청남도</x:v>
      </x:c>
      <x:c r="C604" s="111" t="str">
        <x:v>국립</x:v>
      </x:c>
      <x:c r="D604" s="111" t="str">
        <x:v>국립공주대학교</x:v>
      </x:c>
      <x:c r="E604" s="111" t="str">
        <x:v>나</x:v>
      </x:c>
      <x:c r="F604" s="111" t="str">
        <x:v>수능위주(일반전형)</x:v>
      </x:c>
      <x:c r="G604" s="113" t="str">
        <x:v>컴퓨터교육과</x:v>
      </x:c>
      <x:c r="H604" s="136" t="n">
        <x:v>2</x:v>
      </x:c>
      <x:c r="I604" s="136" t="n">
        <x:v>0</x:v>
      </x:c>
      <x:c r="J604" s="136" t="n">
        <x:v>2</x:v>
      </x:c>
      <x:c r="K604" s="137" t="n">
        <x:v>3</x:v>
      </x:c>
      <x:c r="L604" s="136" t="n">
        <x:v>0</x:v>
      </x:c>
      <x:c r="M604" s="137"/>
      <x:c r="N604" s="137" t="n">
        <x:v>886.7</x:v>
      </x:c>
      <x:c r="O604" s="137" t="n">
        <x:v>1000</x:v>
      </x:c>
      <x:c r="P604" s="137"/>
      <x:c r="Q604" s="137"/>
      <x:c r="R604" s="137"/>
      <x:c r="S604" s="137"/>
      <x:c r="T604" s="136"/>
      <x:c r="U604" s="136"/>
      <x:c r="V604" s="137" t="n">
        <x:v>86.67</x:v>
      </x:c>
      <x:c r="W604" s="137"/>
      <x:c r="X604" s="137" t="n">
        <x:v>86.67</x:v>
      </x:c>
      <x:c r="Y604" s="137" t="str">
        <x:v>공식 환산식 역산 상위3영역 평균</x:v>
      </x:c>
      <x:c r="Z604" s="136" t="n">
        <x:v>80</x:v>
      </x:c>
      <x:c r="AA604" s="137" t="n">
        <x:v>-6.670000000000002</x:v>
      </x:c>
      <x:c r="AB604" s="111" t="str">
        <x:v>상향</x:v>
      </x:c>
      <x:c r="AC604" s="137" t="n">
        <x:v>50</x:v>
      </x:c>
      <x:c r="AD604" s="137" t="n">
        <x:v>50</x:v>
      </x:c>
      <x:c r="AE604" s="137"/>
      <x:c r="AF604" s="113" t="str">
        <x:v>A4: 대학 공식 산식(수능점수=상위3영역 평균×8.5+150)을 역산한 비교용 평균. 영어 변환점수가 상위3에 포함될 수 있음. 예체능 실기 반영 모집단위는 제외.</x:v>
      </x:c>
      <x:c r="AG604" s="111" t="str">
        <x:v>https://www.adiga.kr/ucp/uvt/uni/univDetailSelection.do?menuId=PCUVTINF2000&amp;searchSyr=2026&amp;unvCd=0000008</x:v>
      </x:c>
    </x:row>
    <x:row r="605">
      <x:c r="A605" s="136" t="n">
        <x:v>2025</x:v>
      </x:c>
      <x:c r="B605" s="111" t="str">
        <x:v>충청남도</x:v>
      </x:c>
      <x:c r="C605" s="111" t="str">
        <x:v>국립</x:v>
      </x:c>
      <x:c r="D605" s="111" t="str">
        <x:v>국립공주대학교</x:v>
      </x:c>
      <x:c r="E605" s="111" t="str">
        <x:v>나</x:v>
      </x:c>
      <x:c r="F605" s="111" t="str">
        <x:v>수능위주(일반전형)</x:v>
      </x:c>
      <x:c r="G605" s="113" t="str">
        <x:v>기술·가정교육과</x:v>
      </x:c>
      <x:c r="H605" s="136" t="n">
        <x:v>2</x:v>
      </x:c>
      <x:c r="I605" s="136" t="n">
        <x:v>0</x:v>
      </x:c>
      <x:c r="J605" s="136" t="n">
        <x:v>2</x:v>
      </x:c>
      <x:c r="K605" s="137" t="n">
        <x:v>6.5</x:v>
      </x:c>
      <x:c r="L605" s="136" t="n">
        <x:v>3</x:v>
      </x:c>
      <x:c r="M605" s="137"/>
      <x:c r="N605" s="137" t="n">
        <x:v>835.7</x:v>
      </x:c>
      <x:c r="O605" s="137" t="n">
        <x:v>1000</x:v>
      </x:c>
      <x:c r="P605" s="137"/>
      <x:c r="Q605" s="137"/>
      <x:c r="R605" s="137"/>
      <x:c r="S605" s="137"/>
      <x:c r="T605" s="136"/>
      <x:c r="U605" s="136"/>
      <x:c r="V605" s="137" t="n">
        <x:v>80.67</x:v>
      </x:c>
      <x:c r="W605" s="137"/>
      <x:c r="X605" s="137" t="n">
        <x:v>80.67</x:v>
      </x:c>
      <x:c r="Y605" s="137" t="str">
        <x:v>공식 환산식 역산 상위3영역 평균</x:v>
      </x:c>
      <x:c r="Z605" s="136" t="n">
        <x:v>80</x:v>
      </x:c>
      <x:c r="AA605" s="137" t="n">
        <x:v>-0.6700000000000017</x:v>
      </x:c>
      <x:c r="AB605" s="111" t="str">
        <x:v>소신</x:v>
      </x:c>
      <x:c r="AC605" s="137" t="n">
        <x:v>33.3</x:v>
      </x:c>
      <x:c r="AD605" s="137" t="n">
        <x:v>66.7</x:v>
      </x:c>
      <x:c r="AE605" s="137"/>
      <x:c r="AF605" s="113" t="str">
        <x:v>A4: 대학 공식 산식(수능점수=상위3영역 평균×8.5+150)을 역산한 비교용 평균. 영어 변환점수가 상위3에 포함될 수 있음. 예체능 실기 반영 모집단위는 제외.</x:v>
      </x:c>
      <x:c r="AG605" s="111" t="str">
        <x:v>https://www.adiga.kr/ucp/uvt/uni/univDetailSelection.do?menuId=PCUVTINF2000&amp;searchSyr=2026&amp;unvCd=0000008</x:v>
      </x:c>
    </x:row>
    <x:row r="606">
      <x:c r="A606" s="136" t="n">
        <x:v>2025</x:v>
      </x:c>
      <x:c r="B606" s="111" t="str">
        <x:v>충청남도</x:v>
      </x:c>
      <x:c r="C606" s="111" t="str">
        <x:v>국립</x:v>
      </x:c>
      <x:c r="D606" s="111" t="str">
        <x:v>국립공주대학교</x:v>
      </x:c>
      <x:c r="E606" s="111" t="str">
        <x:v>나</x:v>
      </x:c>
      <x:c r="F606" s="111" t="str">
        <x:v>수능위주(일반전형)</x:v>
      </x:c>
      <x:c r="G606" s="113" t="str">
        <x:v>중어중문학과</x:v>
      </x:c>
      <x:c r="H606" s="136" t="n">
        <x:v>0</x:v>
      </x:c>
      <x:c r="I606" s="136" t="n">
        <x:v>1</x:v>
      </x:c>
      <x:c r="J606" s="136" t="n">
        <x:v>1</x:v>
      </x:c>
      <x:c r="K606" s="137" t="n">
        <x:v>6</x:v>
      </x:c>
      <x:c r="L606" s="136" t="n">
        <x:v>1</x:v>
      </x:c>
      <x:c r="M606" s="137"/>
      <x:c r="N606" s="137" t="n">
        <x:v>750.7</x:v>
      </x:c>
      <x:c r="O606" s="137" t="n">
        <x:v>1000</x:v>
      </x:c>
      <x:c r="P606" s="137"/>
      <x:c r="Q606" s="137"/>
      <x:c r="R606" s="137"/>
      <x:c r="S606" s="137"/>
      <x:c r="T606" s="136"/>
      <x:c r="U606" s="136"/>
      <x:c r="V606" s="137" t="n">
        <x:v>70.67</x:v>
      </x:c>
      <x:c r="W606" s="137"/>
      <x:c r="X606" s="137" t="n">
        <x:v>70.67</x:v>
      </x:c>
      <x:c r="Y606" s="137" t="str">
        <x:v>공식 환산식 역산 상위3영역 평균</x:v>
      </x:c>
      <x:c r="Z606" s="136" t="n">
        <x:v>80</x:v>
      </x:c>
      <x:c r="AA606" s="137" t="n">
        <x:v>9.329999999999998</x:v>
      </x:c>
      <x:c r="AB606" s="111" t="str">
        <x:v>안정</x:v>
      </x:c>
      <x:c r="AC606" s="137" t="n">
        <x:v>100</x:v>
      </x:c>
      <x:c r="AD606" s="137"/>
      <x:c r="AE606" s="137"/>
      <x:c r="AF606" s="113" t="str">
        <x:v>A4: 대학 공식 산식(수능점수=상위3영역 평균×8.5+150)을 역산한 비교용 평균. 영어 변환점수가 상위3에 포함될 수 있음. 예체능 실기 반영 모집단위는 제외.</x:v>
      </x:c>
      <x:c r="AG606" s="111" t="str">
        <x:v>https://www.adiga.kr/ucp/uvt/uni/univDetailSelection.do?menuId=PCUVTINF2000&amp;searchSyr=2026&amp;unvCd=0000008</x:v>
      </x:c>
    </x:row>
    <x:row r="607">
      <x:c r="A607" s="136" t="n">
        <x:v>2025</x:v>
      </x:c>
      <x:c r="B607" s="111" t="str">
        <x:v>충청남도</x:v>
      </x:c>
      <x:c r="C607" s="111" t="str">
        <x:v>국립</x:v>
      </x:c>
      <x:c r="D607" s="111" t="str">
        <x:v>국립공주대학교</x:v>
      </x:c>
      <x:c r="E607" s="111" t="str">
        <x:v>나</x:v>
      </x:c>
      <x:c r="F607" s="111" t="str">
        <x:v>수능위주(일반전형)</x:v>
      </x:c>
      <x:c r="G607" s="113" t="str">
        <x:v>독어독문학과</x:v>
      </x:c>
      <x:c r="H607" s="136" t="n">
        <x:v>0</x:v>
      </x:c>
      <x:c r="I607" s="136" t="n">
        <x:v>1</x:v>
      </x:c>
      <x:c r="J607" s="136" t="n">
        <x:v>1</x:v>
      </x:c>
      <x:c r="K607" s="137" t="n">
        <x:v>8</x:v>
      </x:c>
      <x:c r="L607" s="136" t="n">
        <x:v>3</x:v>
      </x:c>
      <x:c r="M607" s="137"/>
      <x:c r="N607" s="137" t="n">
        <x:v>818.7</x:v>
      </x:c>
      <x:c r="O607" s="137" t="n">
        <x:v>1000</x:v>
      </x:c>
      <x:c r="P607" s="137"/>
      <x:c r="Q607" s="137"/>
      <x:c r="R607" s="137"/>
      <x:c r="S607" s="137"/>
      <x:c r="T607" s="136"/>
      <x:c r="U607" s="136"/>
      <x:c r="V607" s="137" t="n">
        <x:v>78.67</x:v>
      </x:c>
      <x:c r="W607" s="137"/>
      <x:c r="X607" s="137" t="n">
        <x:v>78.67</x:v>
      </x:c>
      <x:c r="Y607" s="137" t="str">
        <x:v>공식 환산식 역산 상위3영역 평균</x:v>
      </x:c>
      <x:c r="Z607" s="136" t="n">
        <x:v>80</x:v>
      </x:c>
      <x:c r="AA607" s="137" t="n">
        <x:v>1.3299999999999983</x:v>
      </x:c>
      <x:c r="AB607" s="111" t="str">
        <x:v>적정</x:v>
      </x:c>
      <x:c r="AC607" s="137" t="n">
        <x:v>100</x:v>
      </x:c>
      <x:c r="AD607" s="137"/>
      <x:c r="AE607" s="137"/>
      <x:c r="AF607" s="113" t="str">
        <x:v>A4: 대학 공식 산식(수능점수=상위3영역 평균×8.5+150)을 역산한 비교용 평균. 영어 변환점수가 상위3에 포함될 수 있음. 예체능 실기 반영 모집단위는 제외.</x:v>
      </x:c>
      <x:c r="AG607" s="111" t="str">
        <x:v>https://www.adiga.kr/ucp/uvt/uni/univDetailSelection.do?menuId=PCUVTINF2000&amp;searchSyr=2026&amp;unvCd=0000008</x:v>
      </x:c>
    </x:row>
    <x:row r="608">
      <x:c r="A608" s="136" t="n">
        <x:v>2025</x:v>
      </x:c>
      <x:c r="B608" s="111" t="str">
        <x:v>충청남도</x:v>
      </x:c>
      <x:c r="C608" s="111" t="str">
        <x:v>국립</x:v>
      </x:c>
      <x:c r="D608" s="111" t="str">
        <x:v>국립공주대학교</x:v>
      </x:c>
      <x:c r="E608" s="111" t="str">
        <x:v>나</x:v>
      </x:c>
      <x:c r="F608" s="111" t="str">
        <x:v>수능위주(일반전형)</x:v>
      </x:c>
      <x:c r="G608" s="113" t="str">
        <x:v>사학과</x:v>
      </x:c>
      <x:c r="H608" s="136" t="n">
        <x:v>1</x:v>
      </x:c>
      <x:c r="I608" s="136" t="n">
        <x:v>0</x:v>
      </x:c>
      <x:c r="J608" s="136" t="n">
        <x:v>1</x:v>
      </x:c>
      <x:c r="K608" s="137" t="n">
        <x:v>8</x:v>
      </x:c>
      <x:c r="L608" s="136" t="n">
        <x:v>2</x:v>
      </x:c>
      <x:c r="M608" s="137"/>
      <x:c r="N608" s="137" t="n">
        <x:v>844.2</x:v>
      </x:c>
      <x:c r="O608" s="137" t="n">
        <x:v>1000</x:v>
      </x:c>
      <x:c r="P608" s="137"/>
      <x:c r="Q608" s="137"/>
      <x:c r="R608" s="137"/>
      <x:c r="S608" s="137"/>
      <x:c r="T608" s="136"/>
      <x:c r="U608" s="136"/>
      <x:c r="V608" s="137" t="n">
        <x:v>81.67</x:v>
      </x:c>
      <x:c r="W608" s="137"/>
      <x:c r="X608" s="137" t="n">
        <x:v>81.67</x:v>
      </x:c>
      <x:c r="Y608" s="137" t="str">
        <x:v>공식 환산식 역산 상위3영역 평균</x:v>
      </x:c>
      <x:c r="Z608" s="136" t="n">
        <x:v>80</x:v>
      </x:c>
      <x:c r="AA608" s="137" t="n">
        <x:v>-1.6700000000000017</x:v>
      </x:c>
      <x:c r="AB608" s="111" t="str">
        <x:v>소신</x:v>
      </x:c>
      <x:c r="AC608" s="137" t="n">
        <x:v>50</x:v>
      </x:c>
      <x:c r="AD608" s="137" t="n">
        <x:v>0</x:v>
      </x:c>
      <x:c r="AE608" s="137" t="n">
        <x:v>50</x:v>
      </x:c>
      <x:c r="AF608" s="113" t="str">
        <x:v>A4: 대학 공식 산식(수능점수=상위3영역 평균×8.5+150)을 역산한 비교용 평균. 영어 변환점수가 상위3에 포함될 수 있음. 예체능 실기 반영 모집단위는 제외.</x:v>
      </x:c>
      <x:c r="AG608" s="111" t="str">
        <x:v>https://www.adiga.kr/ucp/uvt/uni/univDetailSelection.do?menuId=PCUVTINF2000&amp;searchSyr=2026&amp;unvCd=0000008</x:v>
      </x:c>
    </x:row>
    <x:row r="609">
      <x:c r="A609" s="136" t="n">
        <x:v>2025</x:v>
      </x:c>
      <x:c r="B609" s="111" t="str">
        <x:v>충청남도</x:v>
      </x:c>
      <x:c r="C609" s="111" t="str">
        <x:v>국립</x:v>
      </x:c>
      <x:c r="D609" s="111" t="str">
        <x:v>국립공주대학교</x:v>
      </x:c>
      <x:c r="E609" s="111" t="str">
        <x:v>나</x:v>
      </x:c>
      <x:c r="F609" s="111" t="str">
        <x:v>수능위주(일반전형)</x:v>
      </x:c>
      <x:c r="G609" s="113" t="str">
        <x:v>지리학과</x:v>
      </x:c>
      <x:c r="H609" s="136" t="n">
        <x:v>0</x:v>
      </x:c>
      <x:c r="I609" s="136" t="n">
        <x:v>1</x:v>
      </x:c>
      <x:c r="J609" s="136" t="n">
        <x:v>1</x:v>
      </x:c>
      <x:c r="K609" s="137" t="n">
        <x:v>6</x:v>
      </x:c>
      <x:c r="L609" s="136" t="n">
        <x:v>2</x:v>
      </x:c>
      <x:c r="M609" s="137"/>
      <x:c r="N609" s="137" t="n">
        <x:v>793.2</x:v>
      </x:c>
      <x:c r="O609" s="137" t="n">
        <x:v>1000</x:v>
      </x:c>
      <x:c r="P609" s="137"/>
      <x:c r="Q609" s="137"/>
      <x:c r="R609" s="137"/>
      <x:c r="S609" s="137"/>
      <x:c r="T609" s="136"/>
      <x:c r="U609" s="136"/>
      <x:c r="V609" s="137" t="n">
        <x:v>75.67</x:v>
      </x:c>
      <x:c r="W609" s="137"/>
      <x:c r="X609" s="137" t="n">
        <x:v>75.67</x:v>
      </x:c>
      <x:c r="Y609" s="137" t="str">
        <x:v>공식 환산식 역산 상위3영역 평균</x:v>
      </x:c>
      <x:c r="Z609" s="136" t="n">
        <x:v>80</x:v>
      </x:c>
      <x:c r="AA609" s="137" t="n">
        <x:v>4.329999999999998</x:v>
      </x:c>
      <x:c r="AB609" s="111" t="str">
        <x:v>적정</x:v>
      </x:c>
      <x:c r="AC609" s="137" t="n">
        <x:v>50</x:v>
      </x:c>
      <x:c r="AD609" s="137" t="n">
        <x:v>50</x:v>
      </x:c>
      <x:c r="AE609" s="137"/>
      <x:c r="AF609" s="113" t="str">
        <x:v>A4: 대학 공식 산식(수능점수=상위3영역 평균×8.5+150)을 역산한 비교용 평균. 영어 변환점수가 상위3에 포함될 수 있음. 예체능 실기 반영 모집단위는 제외.</x:v>
      </x:c>
      <x:c r="AG609" s="111" t="str">
        <x:v>https://www.adiga.kr/ucp/uvt/uni/univDetailSelection.do?menuId=PCUVTINF2000&amp;searchSyr=2026&amp;unvCd=0000008</x:v>
      </x:c>
    </x:row>
    <x:row r="610">
      <x:c r="A610" s="136" t="n">
        <x:v>2025</x:v>
      </x:c>
      <x:c r="B610" s="111" t="str">
        <x:v>충청남도</x:v>
      </x:c>
      <x:c r="C610" s="111" t="str">
        <x:v>국립</x:v>
      </x:c>
      <x:c r="D610" s="111" t="str">
        <x:v>국립공주대학교</x:v>
      </x:c>
      <x:c r="E610" s="111" t="str">
        <x:v>나</x:v>
      </x:c>
      <x:c r="F610" s="111" t="str">
        <x:v>수능위주(일반전형)</x:v>
      </x:c>
      <x:c r="G610" s="113" t="str">
        <x:v>경제통상학부</x:v>
      </x:c>
      <x:c r="H610" s="136" t="n">
        <x:v>0</x:v>
      </x:c>
      <x:c r="I610" s="136" t="n">
        <x:v>2</x:v>
      </x:c>
      <x:c r="J610" s="136" t="n">
        <x:v>2</x:v>
      </x:c>
      <x:c r="K610" s="137" t="n">
        <x:v>13</x:v>
      </x:c>
      <x:c r="L610" s="136" t="n">
        <x:v>0</x:v>
      </x:c>
      <x:c r="M610" s="137"/>
      <x:c r="N610" s="137" t="n">
        <x:v>852.7</x:v>
      </x:c>
      <x:c r="O610" s="137" t="n">
        <x:v>1000</x:v>
      </x:c>
      <x:c r="P610" s="137"/>
      <x:c r="Q610" s="137"/>
      <x:c r="R610" s="137"/>
      <x:c r="S610" s="137"/>
      <x:c r="T610" s="136"/>
      <x:c r="U610" s="136"/>
      <x:c r="V610" s="137" t="n">
        <x:v>82.67</x:v>
      </x:c>
      <x:c r="W610" s="137"/>
      <x:c r="X610" s="137" t="n">
        <x:v>82.67</x:v>
      </x:c>
      <x:c r="Y610" s="137" t="str">
        <x:v>공식 환산식 역산 상위3영역 평균</x:v>
      </x:c>
      <x:c r="Z610" s="136" t="n">
        <x:v>80</x:v>
      </x:c>
      <x:c r="AA610" s="137" t="n">
        <x:v>-2.6700000000000017</x:v>
      </x:c>
      <x:c r="AB610" s="111" t="str">
        <x:v>상향</x:v>
      </x:c>
      <x:c r="AC610" s="137" t="n">
        <x:v>100</x:v>
      </x:c>
      <x:c r="AD610" s="137"/>
      <x:c r="AE610" s="137"/>
      <x:c r="AF610" s="113" t="str">
        <x:v>A4: 대학 공식 산식(수능점수=상위3영역 평균×8.5+150)을 역산한 비교용 평균. 영어 변환점수가 상위3에 포함될 수 있음. 예체능 실기 반영 모집단위는 제외.</x:v>
      </x:c>
      <x:c r="AG610" s="111" t="str">
        <x:v>https://www.adiga.kr/ucp/uvt/uni/univDetailSelection.do?menuId=PCUVTINF2000&amp;searchSyr=2026&amp;unvCd=0000008</x:v>
      </x:c>
    </x:row>
    <x:row r="611">
      <x:c r="A611" s="136" t="n">
        <x:v>2025</x:v>
      </x:c>
      <x:c r="B611" s="111" t="str">
        <x:v>충청남도</x:v>
      </x:c>
      <x:c r="C611" s="111" t="str">
        <x:v>국립</x:v>
      </x:c>
      <x:c r="D611" s="111" t="str">
        <x:v>국립공주대학교</x:v>
      </x:c>
      <x:c r="E611" s="111" t="str">
        <x:v>나</x:v>
      </x:c>
      <x:c r="F611" s="111" t="str">
        <x:v>수능위주(일반전형)</x:v>
      </x:c>
      <x:c r="G611" s="113" t="str">
        <x:v>관광경영학과</x:v>
      </x:c>
      <x:c r="H611" s="136" t="n">
        <x:v>0</x:v>
      </x:c>
      <x:c r="I611" s="136" t="n">
        <x:v>1</x:v>
      </x:c>
      <x:c r="J611" s="136" t="n">
        <x:v>1</x:v>
      </x:c>
      <x:c r="K611" s="137" t="n">
        <x:v>20</x:v>
      </x:c>
      <x:c r="L611" s="136" t="n">
        <x:v>4</x:v>
      </x:c>
      <x:c r="M611" s="137"/>
      <x:c r="N611" s="137" t="n">
        <x:v>810.2</x:v>
      </x:c>
      <x:c r="O611" s="137" t="n">
        <x:v>1000</x:v>
      </x:c>
      <x:c r="P611" s="137"/>
      <x:c r="Q611" s="137"/>
      <x:c r="R611" s="137"/>
      <x:c r="S611" s="137"/>
      <x:c r="T611" s="136"/>
      <x:c r="U611" s="136"/>
      <x:c r="V611" s="137" t="n">
        <x:v>77.67</x:v>
      </x:c>
      <x:c r="W611" s="137"/>
      <x:c r="X611" s="137" t="n">
        <x:v>77.67</x:v>
      </x:c>
      <x:c r="Y611" s="137" t="str">
        <x:v>공식 환산식 역산 상위3영역 평균</x:v>
      </x:c>
      <x:c r="Z611" s="136" t="n">
        <x:v>80</x:v>
      </x:c>
      <x:c r="AA611" s="137" t="n">
        <x:v>2.3299999999999983</x:v>
      </x:c>
      <x:c r="AB611" s="111" t="str">
        <x:v>적정</x:v>
      </x:c>
      <x:c r="AC611" s="137" t="n">
        <x:v>100</x:v>
      </x:c>
      <x:c r="AD611" s="137"/>
      <x:c r="AE611" s="137"/>
      <x:c r="AF611" s="113" t="str">
        <x:v>A4: 대학 공식 산식(수능점수=상위3영역 평균×8.5+150)을 역산한 비교용 평균. 영어 변환점수가 상위3에 포함될 수 있음. 예체능 실기 반영 모집단위는 제외.</x:v>
      </x:c>
      <x:c r="AG611" s="111" t="str">
        <x:v>https://www.adiga.kr/ucp/uvt/uni/univDetailSelection.do?menuId=PCUVTINF2000&amp;searchSyr=2026&amp;unvCd=0000008</x:v>
      </x:c>
    </x:row>
    <x:row r="612">
      <x:c r="A612" s="136" t="n">
        <x:v>2025</x:v>
      </x:c>
      <x:c r="B612" s="111" t="str">
        <x:v>충청남도</x:v>
      </x:c>
      <x:c r="C612" s="111" t="str">
        <x:v>국립</x:v>
      </x:c>
      <x:c r="D612" s="111" t="str">
        <x:v>국립공주대학교</x:v>
      </x:c>
      <x:c r="E612" s="111" t="str">
        <x:v>나</x:v>
      </x:c>
      <x:c r="F612" s="111" t="str">
        <x:v>수능위주(일반전형)</x:v>
      </x:c>
      <x:c r="G612" s="113" t="str">
        <x:v>관광&amp;영어통역융복합학과</x:v>
      </x:c>
      <x:c r="H612" s="136" t="n">
        <x:v>0</x:v>
      </x:c>
      <x:c r="I612" s="136" t="n">
        <x:v>1</x:v>
      </x:c>
      <x:c r="J612" s="136" t="n">
        <x:v>1</x:v>
      </x:c>
      <x:c r="K612" s="137" t="n">
        <x:v>9</x:v>
      </x:c>
      <x:c r="L612" s="136" t="n">
        <x:v>1</x:v>
      </x:c>
      <x:c r="M612" s="137"/>
      <x:c r="N612" s="137" t="n">
        <x:v>835.7</x:v>
      </x:c>
      <x:c r="O612" s="137" t="n">
        <x:v>1000</x:v>
      </x:c>
      <x:c r="P612" s="137"/>
      <x:c r="Q612" s="137"/>
      <x:c r="R612" s="137"/>
      <x:c r="S612" s="137"/>
      <x:c r="T612" s="136"/>
      <x:c r="U612" s="136"/>
      <x:c r="V612" s="137" t="n">
        <x:v>80.67</x:v>
      </x:c>
      <x:c r="W612" s="137"/>
      <x:c r="X612" s="137" t="n">
        <x:v>80.67</x:v>
      </x:c>
      <x:c r="Y612" s="137" t="str">
        <x:v>공식 환산식 역산 상위3영역 평균</x:v>
      </x:c>
      <x:c r="Z612" s="136" t="n">
        <x:v>80</x:v>
      </x:c>
      <x:c r="AA612" s="137" t="n">
        <x:v>-0.6700000000000017</x:v>
      </x:c>
      <x:c r="AB612" s="111" t="str">
        <x:v>소신</x:v>
      </x:c>
      <x:c r="AC612" s="137" t="n">
        <x:v>100</x:v>
      </x:c>
      <x:c r="AD612" s="137"/>
      <x:c r="AE612" s="137"/>
      <x:c r="AF612" s="113" t="str">
        <x:v>A4: 대학 공식 산식(수능점수=상위3영역 평균×8.5+150)을 역산한 비교용 평균. 영어 변환점수가 상위3에 포함될 수 있음. 예체능 실기 반영 모집단위는 제외.</x:v>
      </x:c>
      <x:c r="AG612" s="111" t="str">
        <x:v>https://www.adiga.kr/ucp/uvt/uni/univDetailSelection.do?menuId=PCUVTINF2000&amp;searchSyr=2026&amp;unvCd=0000008</x:v>
      </x:c>
    </x:row>
    <x:row r="613">
      <x:c r="A613" s="136" t="n">
        <x:v>2025</x:v>
      </x:c>
      <x:c r="B613" s="111" t="str">
        <x:v>충청남도</x:v>
      </x:c>
      <x:c r="C613" s="111" t="str">
        <x:v>국립</x:v>
      </x:c>
      <x:c r="D613" s="111" t="str">
        <x:v>국립공주대학교</x:v>
      </x:c>
      <x:c r="E613" s="111" t="str">
        <x:v>나</x:v>
      </x:c>
      <x:c r="F613" s="111" t="str">
        <x:v>수능위주(일반전형)</x:v>
      </x:c>
      <x:c r="G613" s="113" t="str">
        <x:v>행정학과</x:v>
      </x:c>
      <x:c r="H613" s="136" t="n">
        <x:v>3</x:v>
      </x:c>
      <x:c r="I613" s="136" t="n">
        <x:v>0</x:v>
      </x:c>
      <x:c r="J613" s="136" t="n">
        <x:v>3</x:v>
      </x:c>
      <x:c r="K613" s="137" t="n">
        <x:v>6</x:v>
      </x:c>
      <x:c r="L613" s="136" t="n">
        <x:v>1</x:v>
      </x:c>
      <x:c r="M613" s="137"/>
      <x:c r="N613" s="137" t="n">
        <x:v>855.5</x:v>
      </x:c>
      <x:c r="O613" s="137" t="n">
        <x:v>1000</x:v>
      </x:c>
      <x:c r="P613" s="137"/>
      <x:c r="Q613" s="137"/>
      <x:c r="R613" s="137"/>
      <x:c r="S613" s="137"/>
      <x:c r="T613" s="136"/>
      <x:c r="U613" s="136"/>
      <x:c r="V613" s="137" t="n">
        <x:v>83</x:v>
      </x:c>
      <x:c r="W613" s="137"/>
      <x:c r="X613" s="137" t="n">
        <x:v>83</x:v>
      </x:c>
      <x:c r="Y613" s="137" t="str">
        <x:v>공식 환산식 역산 상위3영역 평균</x:v>
      </x:c>
      <x:c r="Z613" s="136" t="n">
        <x:v>80</x:v>
      </x:c>
      <x:c r="AA613" s="137" t="n">
        <x:v>-3</x:v>
      </x:c>
      <x:c r="AB613" s="111" t="str">
        <x:v>상향</x:v>
      </x:c>
      <x:c r="AC613" s="137" t="n">
        <x:v>33.3</x:v>
      </x:c>
      <x:c r="AD613" s="137" t="n">
        <x:v>66.7</x:v>
      </x:c>
      <x:c r="AE613" s="137"/>
      <x:c r="AF613" s="113" t="str">
        <x:v>A4: 대학 공식 산식(수능점수=상위3영역 평균×8.5+150)을 역산한 비교용 평균. 영어 변환점수가 상위3에 포함될 수 있음. 예체능 실기 반영 모집단위는 제외.</x:v>
      </x:c>
      <x:c r="AG613" s="111" t="str">
        <x:v>https://www.adiga.kr/ucp/uvt/uni/univDetailSelection.do?menuId=PCUVTINF2000&amp;searchSyr=2026&amp;unvCd=0000008</x:v>
      </x:c>
    </x:row>
    <x:row r="614">
      <x:c r="A614" s="136" t="n">
        <x:v>2025</x:v>
      </x:c>
      <x:c r="B614" s="111" t="str">
        <x:v>충청남도</x:v>
      </x:c>
      <x:c r="C614" s="111" t="str">
        <x:v>국립</x:v>
      </x:c>
      <x:c r="D614" s="111" t="str">
        <x:v>국립공주대학교</x:v>
      </x:c>
      <x:c r="E614" s="111" t="str">
        <x:v>나</x:v>
      </x:c>
      <x:c r="F614" s="111" t="str">
        <x:v>수능위주(일반전형)</x:v>
      </x:c>
      <x:c r="G614" s="113" t="str">
        <x:v>법학과</x:v>
      </x:c>
      <x:c r="H614" s="136" t="n">
        <x:v>3</x:v>
      </x:c>
      <x:c r="I614" s="136" t="n">
        <x:v>0</x:v>
      </x:c>
      <x:c r="J614" s="136" t="n">
        <x:v>3</x:v>
      </x:c>
      <x:c r="K614" s="137" t="n">
        <x:v>7.3</x:v>
      </x:c>
      <x:c r="L614" s="136" t="n">
        <x:v>3</x:v>
      </x:c>
      <x:c r="M614" s="137"/>
      <x:c r="N614" s="137" t="n">
        <x:v>847</x:v>
      </x:c>
      <x:c r="O614" s="137" t="n">
        <x:v>1000</x:v>
      </x:c>
      <x:c r="P614" s="137"/>
      <x:c r="Q614" s="137"/>
      <x:c r="R614" s="137"/>
      <x:c r="S614" s="137"/>
      <x:c r="T614" s="136"/>
      <x:c r="U614" s="136"/>
      <x:c r="V614" s="137" t="n">
        <x:v>82</x:v>
      </x:c>
      <x:c r="W614" s="137"/>
      <x:c r="X614" s="137" t="n">
        <x:v>82</x:v>
      </x:c>
      <x:c r="Y614" s="137" t="str">
        <x:v>공식 환산식 역산 상위3영역 평균</x:v>
      </x:c>
      <x:c r="Z614" s="136" t="n">
        <x:v>80</x:v>
      </x:c>
      <x:c r="AA614" s="137" t="n">
        <x:v>-2</x:v>
      </x:c>
      <x:c r="AB614" s="111" t="str">
        <x:v>소신</x:v>
      </x:c>
      <x:c r="AC614" s="137" t="n">
        <x:v>66.7</x:v>
      </x:c>
      <x:c r="AD614" s="137" t="n">
        <x:v>33.3</x:v>
      </x:c>
      <x:c r="AE614" s="137"/>
      <x:c r="AF614" s="113" t="str">
        <x:v>A4: 대학 공식 산식(수능점수=상위3영역 평균×8.5+150)을 역산한 비교용 평균. 영어 변환점수가 상위3에 포함될 수 있음. 예체능 실기 반영 모집단위는 제외.</x:v>
      </x:c>
      <x:c r="AG614" s="111" t="str">
        <x:v>https://www.adiga.kr/ucp/uvt/uni/univDetailSelection.do?menuId=PCUVTINF2000&amp;searchSyr=2026&amp;unvCd=0000008</x:v>
      </x:c>
    </x:row>
    <x:row r="615">
      <x:c r="A615" s="136" t="n">
        <x:v>2025</x:v>
      </x:c>
      <x:c r="B615" s="111" t="str">
        <x:v>충청남도</x:v>
      </x:c>
      <x:c r="C615" s="111" t="str">
        <x:v>국립</x:v>
      </x:c>
      <x:c r="D615" s="111" t="str">
        <x:v>국립공주대학교</x:v>
      </x:c>
      <x:c r="E615" s="111" t="str">
        <x:v>나</x:v>
      </x:c>
      <x:c r="F615" s="111" t="str">
        <x:v>수능위주(일반전형)</x:v>
      </x:c>
      <x:c r="G615" s="113" t="str">
        <x:v>사회복지학과</x:v>
      </x:c>
      <x:c r="H615" s="136" t="n">
        <x:v>1</x:v>
      </x:c>
      <x:c r="I615" s="136" t="n">
        <x:v>0</x:v>
      </x:c>
      <x:c r="J615" s="136" t="n">
        <x:v>1</x:v>
      </x:c>
      <x:c r="K615" s="137" t="n">
        <x:v>6</x:v>
      </x:c>
      <x:c r="L615" s="136" t="n">
        <x:v>0</x:v>
      </x:c>
      <x:c r="M615" s="137"/>
      <x:c r="N615" s="137" t="n">
        <x:v>838.5</x:v>
      </x:c>
      <x:c r="O615" s="137" t="n">
        <x:v>1000</x:v>
      </x:c>
      <x:c r="P615" s="137"/>
      <x:c r="Q615" s="137"/>
      <x:c r="R615" s="137"/>
      <x:c r="S615" s="137"/>
      <x:c r="T615" s="136"/>
      <x:c r="U615" s="136"/>
      <x:c r="V615" s="137" t="n">
        <x:v>81</x:v>
      </x:c>
      <x:c r="W615" s="137"/>
      <x:c r="X615" s="137" t="n">
        <x:v>81</x:v>
      </x:c>
      <x:c r="Y615" s="137" t="str">
        <x:v>공식 환산식 역산 상위3영역 평균</x:v>
      </x:c>
      <x:c r="Z615" s="136" t="n">
        <x:v>80</x:v>
      </x:c>
      <x:c r="AA615" s="137" t="n">
        <x:v>-1</x:v>
      </x:c>
      <x:c r="AB615" s="111" t="str">
        <x:v>소신</x:v>
      </x:c>
      <x:c r="AC615" s="137" t="n">
        <x:v>100</x:v>
      </x:c>
      <x:c r="AD615" s="137"/>
      <x:c r="AE615" s="137"/>
      <x:c r="AF615" s="113" t="str">
        <x:v>A4: 대학 공식 산식(수능점수=상위3영역 평균×8.5+150)을 역산한 비교용 평균. 영어 변환점수가 상위3에 포함될 수 있음. 예체능 실기 반영 모집단위는 제외.</x:v>
      </x:c>
      <x:c r="AG615" s="111" t="str">
        <x:v>https://www.adiga.kr/ucp/uvt/uni/univDetailSelection.do?menuId=PCUVTINF2000&amp;searchSyr=2026&amp;unvCd=0000008</x:v>
      </x:c>
    </x:row>
    <x:row r="616">
      <x:c r="A616" s="136" t="n">
        <x:v>2025</x:v>
      </x:c>
      <x:c r="B616" s="111" t="str">
        <x:v>충청남도</x:v>
      </x:c>
      <x:c r="C616" s="111" t="str">
        <x:v>국립</x:v>
      </x:c>
      <x:c r="D616" s="111" t="str">
        <x:v>국립공주대학교</x:v>
      </x:c>
      <x:c r="E616" s="111" t="str">
        <x:v>나</x:v>
      </x:c>
      <x:c r="F616" s="111" t="str">
        <x:v>수능위주(일반전형)</x:v>
      </x:c>
      <x:c r="G616" s="113" t="str">
        <x:v>데이터정보물리학과</x:v>
      </x:c>
      <x:c r="H616" s="136" t="n">
        <x:v>0</x:v>
      </x:c>
      <x:c r="I616" s="136" t="n">
        <x:v>2</x:v>
      </x:c>
      <x:c r="J616" s="136" t="n">
        <x:v>2</x:v>
      </x:c>
      <x:c r="K616" s="137" t="n">
        <x:v>9</x:v>
      </x:c>
      <x:c r="L616" s="136" t="n">
        <x:v>2</x:v>
      </x:c>
      <x:c r="M616" s="137"/>
      <x:c r="N616" s="137" t="n">
        <x:v>801.7</x:v>
      </x:c>
      <x:c r="O616" s="137" t="n">
        <x:v>1000</x:v>
      </x:c>
      <x:c r="P616" s="137"/>
      <x:c r="Q616" s="137"/>
      <x:c r="R616" s="137"/>
      <x:c r="S616" s="137"/>
      <x:c r="T616" s="136"/>
      <x:c r="U616" s="136"/>
      <x:c r="V616" s="137" t="n">
        <x:v>76.67</x:v>
      </x:c>
      <x:c r="W616" s="137"/>
      <x:c r="X616" s="137" t="n">
        <x:v>76.67</x:v>
      </x:c>
      <x:c r="Y616" s="137" t="str">
        <x:v>공식 환산식 역산 상위3영역 평균</x:v>
      </x:c>
      <x:c r="Z616" s="136" t="n">
        <x:v>80</x:v>
      </x:c>
      <x:c r="AA616" s="137" t="n">
        <x:v>3.3299999999999983</x:v>
      </x:c>
      <x:c r="AB616" s="111" t="str">
        <x:v>적정</x:v>
      </x:c>
      <x:c r="AC616" s="137" t="n">
        <x:v>0</x:v>
      </x:c>
      <x:c r="AD616" s="137" t="n">
        <x:v>100</x:v>
      </x:c>
      <x:c r="AE616" s="137"/>
      <x:c r="AF616" s="113" t="str">
        <x:v>A4: 대학 공식 산식(수능점수=상위3영역 평균×8.5+150)을 역산한 비교용 평균. 영어 변환점수가 상위3에 포함될 수 있음. 예체능 실기 반영 모집단위는 제외.</x:v>
      </x:c>
      <x:c r="AG616" s="111" t="str">
        <x:v>https://www.adiga.kr/ucp/uvt/uni/univDetailSelection.do?menuId=PCUVTINF2000&amp;searchSyr=2026&amp;unvCd=0000008</x:v>
      </x:c>
    </x:row>
    <x:row r="617" ht="18" customHeight="1">
      <x:c r="A617" s="111" t="n">
        <x:v>2025</x:v>
      </x:c>
      <x:c r="B617" s="111" t="str">
        <x:v>경상북도</x:v>
      </x:c>
      <x:c r="C617" s="111" t="str">
        <x:v>사립</x:v>
      </x:c>
      <x:c r="D617" s="111" t="str">
        <x:v>영남대학교</x:v>
      </x:c>
      <x:c r="E617" s="111" t="str">
        <x:v>가</x:v>
      </x:c>
      <x:c r="F617" s="111" t="str">
        <x:v>수능(일반전형)</x:v>
      </x:c>
      <x:c r="G617" s="111" t="str">
        <x:v>전공자유선택학부</x:v>
      </x:c>
      <x:c r="H617" s="136"/>
      <x:c r="I617" s="136"/>
      <x:c r="J617" s="136" t="n">
        <x:v>62</x:v>
      </x:c>
      <x:c r="K617" s="137" t="n">
        <x:v>6.05</x:v>
      </x:c>
      <x:c r="L617" s="136" t="n">
        <x:v>97</x:v>
      </x:c>
      <x:c r="M617" s="137"/>
      <x:c r="N617" s="137" t="n">
        <x:v>587.8</x:v>
      </x:c>
      <x:c r="O617" s="137" t="n">
        <x:v>810</x:v>
      </x:c>
      <x:c r="P617" s="137"/>
      <x:c r="Q617" s="137"/>
      <x:c r="R617" s="137"/>
      <x:c r="S617" s="137"/>
      <x:c r="T617" s="136"/>
      <x:c r="U617" s="136"/>
      <x:c r="V617" s="137" t="n">
        <x:v>67.83</x:v>
      </x:c>
      <x:c r="W617" s="137" t="str">
        <x:f>IF(COUNT(P617:S617)&gt;=3,AVERAGE(P617:S617),"")</x:f>
      </x:c>
      <x:c r="X617" s="137" t="n">
        <x:f>IF(V617&lt;&gt;"",V617,W617)</x:f>
        <x:v>67.83</x:v>
      </x:c>
      <x:c r="Y617" s="111" t="str">
        <x:v>공식 70% 평균백분위</x:v>
      </x:c>
      <x:c r="Z617" s="137" t="n">
        <x:f>'추천_테스트'!$B$8</x:f>
        <x:v>80</x:v>
      </x:c>
      <x:c r="AA617" s="137" t="n">
        <x:f>IF(X617="","",Z617-X617)</x:f>
        <x:v>12.170000000000002</x:v>
      </x:c>
      <x:c r="AB617" s="111" t="str">
        <x:f>IF(X617="","",IF(AA617&gt;='추천_테스트'!$B$10,"안정",IF(AA617&gt;='추천_테스트'!$B$11,"적정",IF(AA617&gt;='추천_테스트'!$B$12,"소신","상향"))))</x:f>
        <x:v>안정</x:v>
      </x:c>
      <x:c r="AC617" s="137"/>
      <x:c r="AD617" s="137"/>
      <x:c r="AE617" s="137"/>
      <x:c r="AF617" s="113" t="str">
        <x:v>v5 지방 사립대 확장: 공식 2025학년도 정시 70% cut 평균(백분위) 제공</x:v>
      </x:c>
      <x:c r="AG617" s="113" t="str">
        <x:v>https://www.adiga.kr/ucp/uvt/uni/univDetailSelection.do?menuId=PCUVTINF2000&amp;searchSyr=2026&amp;unvCd=0000151</x:v>
      </x:c>
    </x:row>
    <x:row r="618" ht="18" customHeight="1">
      <x:c r="A618" s="111" t="n">
        <x:v>2025</x:v>
      </x:c>
      <x:c r="B618" s="111" t="str">
        <x:v>경상북도</x:v>
      </x:c>
      <x:c r="C618" s="111" t="str">
        <x:v>사립</x:v>
      </x:c>
      <x:c r="D618" s="111" t="str">
        <x:v>영남대학교</x:v>
      </x:c>
      <x:c r="E618" s="111" t="str">
        <x:v>나</x:v>
      </x:c>
      <x:c r="F618" s="111" t="str">
        <x:v>수능(일반전형)</x:v>
      </x:c>
      <x:c r="G618" s="111" t="str">
        <x:v>국어국문학과</x:v>
      </x:c>
      <x:c r="H618" s="136"/>
      <x:c r="I618" s="136"/>
      <x:c r="J618" s="136" t="n">
        <x:v>7</x:v>
      </x:c>
      <x:c r="K618" s="137" t="n">
        <x:v>4.57</x:v>
      </x:c>
      <x:c r="L618" s="136" t="n">
        <x:v>7</x:v>
      </x:c>
      <x:c r="M618" s="137"/>
      <x:c r="N618" s="137" t="n">
        <x:v>556.2</x:v>
      </x:c>
      <x:c r="O618" s="137" t="n">
        <x:v>810</x:v>
      </x:c>
      <x:c r="P618" s="137"/>
      <x:c r="Q618" s="137"/>
      <x:c r="R618" s="137"/>
      <x:c r="S618" s="137"/>
      <x:c r="T618" s="136"/>
      <x:c r="U618" s="136"/>
      <x:c r="V618" s="137" t="n">
        <x:v>64.33</x:v>
      </x:c>
      <x:c r="W618" s="137" t="str">
        <x:f>IF(COUNT(P618:S618)&gt;=3,AVERAGE(P618:S618),"")</x:f>
      </x:c>
      <x:c r="X618" s="137" t="n">
        <x:f>IF(V618&lt;&gt;"",V618,W618)</x:f>
        <x:v>64.33</x:v>
      </x:c>
      <x:c r="Y618" s="111" t="str">
        <x:v>공식 70% 평균백분위</x:v>
      </x:c>
      <x:c r="Z618" s="137" t="n">
        <x:f>'추천_테스트'!$B$8</x:f>
        <x:v>80</x:v>
      </x:c>
      <x:c r="AA618" s="137" t="n">
        <x:f>IF(X618="","",Z618-X618)</x:f>
        <x:v>15.670000000000002</x:v>
      </x:c>
      <x:c r="AB618" s="111" t="str">
        <x:f>IF(X618="","",IF(AA618&gt;='추천_테스트'!$B$10,"안정",IF(AA618&gt;='추천_테스트'!$B$11,"적정",IF(AA618&gt;='추천_테스트'!$B$12,"소신","상향"))))</x:f>
        <x:v>안정</x:v>
      </x:c>
      <x:c r="AC618" s="137"/>
      <x:c r="AD618" s="137"/>
      <x:c r="AE618" s="137"/>
      <x:c r="AF618" s="113" t="str">
        <x:v>v5 지방 사립대 확장: 공식 2025학년도 정시 70% cut 평균(백분위) 제공</x:v>
      </x:c>
      <x:c r="AG618" s="113" t="str">
        <x:v>https://www.adiga.kr/ucp/uvt/uni/univDetailSelection.do?menuId=PCUVTINF2000&amp;searchSyr=2026&amp;unvCd=0000151</x:v>
      </x:c>
    </x:row>
    <x:row r="619" ht="18" customHeight="1">
      <x:c r="A619" s="111" t="n">
        <x:v>2025</x:v>
      </x:c>
      <x:c r="B619" s="111" t="str">
        <x:v>경상북도</x:v>
      </x:c>
      <x:c r="C619" s="111" t="str">
        <x:v>사립</x:v>
      </x:c>
      <x:c r="D619" s="111" t="str">
        <x:v>영남대학교</x:v>
      </x:c>
      <x:c r="E619" s="111" t="str">
        <x:v>나</x:v>
      </x:c>
      <x:c r="F619" s="111" t="str">
        <x:v>수능(일반전형)</x:v>
      </x:c>
      <x:c r="G619" s="111" t="str">
        <x:v>일어일문학과</x:v>
      </x:c>
      <x:c r="H619" s="136"/>
      <x:c r="I619" s="136"/>
      <x:c r="J619" s="136" t="n">
        <x:v>4</x:v>
      </x:c>
      <x:c r="K619" s="137" t="n">
        <x:v>5</x:v>
      </x:c>
      <x:c r="L619" s="136" t="n">
        <x:v>2</x:v>
      </x:c>
      <x:c r="M619" s="137"/>
      <x:c r="N619" s="137" t="n">
        <x:v>571.2</x:v>
      </x:c>
      <x:c r="O619" s="137" t="n">
        <x:v>810</x:v>
      </x:c>
      <x:c r="P619" s="137"/>
      <x:c r="Q619" s="137"/>
      <x:c r="R619" s="137"/>
      <x:c r="S619" s="137"/>
      <x:c r="T619" s="136"/>
      <x:c r="U619" s="136"/>
      <x:c r="V619" s="137" t="n">
        <x:v>66.5</x:v>
      </x:c>
      <x:c r="W619" s="137" t="str">
        <x:f>IF(COUNT(P619:S619)&gt;=3,AVERAGE(P619:S619),"")</x:f>
      </x:c>
      <x:c r="X619" s="137" t="n">
        <x:f>IF(V619&lt;&gt;"",V619,W619)</x:f>
        <x:v>66.5</x:v>
      </x:c>
      <x:c r="Y619" s="111" t="str">
        <x:v>공식 70% 평균백분위</x:v>
      </x:c>
      <x:c r="Z619" s="137" t="n">
        <x:f>'추천_테스트'!$B$8</x:f>
        <x:v>80</x:v>
      </x:c>
      <x:c r="AA619" s="137" t="n">
        <x:f>IF(X619="","",Z619-X619)</x:f>
        <x:v>13.5</x:v>
      </x:c>
      <x:c r="AB619" s="111" t="str">
        <x:f>IF(X619="","",IF(AA619&gt;='추천_테스트'!$B$10,"안정",IF(AA619&gt;='추천_테스트'!$B$11,"적정",IF(AA619&gt;='추천_테스트'!$B$12,"소신","상향"))))</x:f>
        <x:v>안정</x:v>
      </x:c>
      <x:c r="AC619" s="137"/>
      <x:c r="AD619" s="137"/>
      <x:c r="AE619" s="137"/>
      <x:c r="AF619" s="113" t="str">
        <x:v>v5 지방 사립대 확장: 공식 2025학년도 정시 70% cut 평균(백분위) 제공</x:v>
      </x:c>
      <x:c r="AG619" s="113" t="str">
        <x:v>https://www.adiga.kr/ucp/uvt/uni/univDetailSelection.do?menuId=PCUVTINF2000&amp;searchSyr=2026&amp;unvCd=0000151</x:v>
      </x:c>
    </x:row>
    <x:row r="620" ht="18" customHeight="1">
      <x:c r="A620" s="111" t="n">
        <x:v>2025</x:v>
      </x:c>
      <x:c r="B620" s="111" t="str">
        <x:v>경상북도</x:v>
      </x:c>
      <x:c r="C620" s="111" t="str">
        <x:v>사립</x:v>
      </x:c>
      <x:c r="D620" s="111" t="str">
        <x:v>영남대학교</x:v>
      </x:c>
      <x:c r="E620" s="111" t="str">
        <x:v>나</x:v>
      </x:c>
      <x:c r="F620" s="111" t="str">
        <x:v>수능(일반전형)</x:v>
      </x:c>
      <x:c r="G620" s="111" t="str">
        <x:v>영어영문학과</x:v>
      </x:c>
      <x:c r="H620" s="136"/>
      <x:c r="I620" s="136"/>
      <x:c r="J620" s="136" t="n">
        <x:v>12</x:v>
      </x:c>
      <x:c r="K620" s="137" t="n">
        <x:v>4.67</x:v>
      </x:c>
      <x:c r="L620" s="136" t="n">
        <x:v>9</x:v>
      </x:c>
      <x:c r="M620" s="137"/>
      <x:c r="N620" s="137" t="n">
        <x:v>570.4</x:v>
      </x:c>
      <x:c r="O620" s="137" t="n">
        <x:v>810</x:v>
      </x:c>
      <x:c r="P620" s="137"/>
      <x:c r="Q620" s="137"/>
      <x:c r="R620" s="137"/>
      <x:c r="S620" s="137"/>
      <x:c r="T620" s="136"/>
      <x:c r="U620" s="136"/>
      <x:c r="V620" s="137" t="n">
        <x:v>62</x:v>
      </x:c>
      <x:c r="W620" s="137" t="str">
        <x:f>IF(COUNT(P620:S620)&gt;=3,AVERAGE(P620:S620),"")</x:f>
      </x:c>
      <x:c r="X620" s="137" t="n">
        <x:f>IF(V620&lt;&gt;"",V620,W620)</x:f>
        <x:v>62</x:v>
      </x:c>
      <x:c r="Y620" s="111" t="str">
        <x:v>공식 70% 평균백분위</x:v>
      </x:c>
      <x:c r="Z620" s="137" t="n">
        <x:f>'추천_테스트'!$B$8</x:f>
        <x:v>80</x:v>
      </x:c>
      <x:c r="AA620" s="137" t="n">
        <x:f>IF(X620="","",Z620-X620)</x:f>
        <x:v>18</x:v>
      </x:c>
      <x:c r="AB620" s="111" t="str">
        <x:f>IF(X620="","",IF(AA620&gt;='추천_테스트'!$B$10,"안정",IF(AA620&gt;='추천_테스트'!$B$11,"적정",IF(AA620&gt;='추천_테스트'!$B$12,"소신","상향"))))</x:f>
        <x:v>안정</x:v>
      </x:c>
      <x:c r="AC620" s="137"/>
      <x:c r="AD620" s="137"/>
      <x:c r="AE620" s="137"/>
      <x:c r="AF620" s="113" t="str">
        <x:v>v5 지방 사립대 확장: 공식 2025학년도 정시 70% cut 평균(백분위) 제공</x:v>
      </x:c>
      <x:c r="AG620" s="113" t="str">
        <x:v>https://www.adiga.kr/ucp/uvt/uni/univDetailSelection.do?menuId=PCUVTINF2000&amp;searchSyr=2026&amp;unvCd=0000151</x:v>
      </x:c>
    </x:row>
    <x:row r="621" ht="18" customHeight="1">
      <x:c r="A621" s="111" t="n">
        <x:v>2025</x:v>
      </x:c>
      <x:c r="B621" s="111" t="str">
        <x:v>경상북도</x:v>
      </x:c>
      <x:c r="C621" s="111" t="str">
        <x:v>사립</x:v>
      </x:c>
      <x:c r="D621" s="111" t="str">
        <x:v>영남대학교</x:v>
      </x:c>
      <x:c r="E621" s="111" t="str">
        <x:v>나</x:v>
      </x:c>
      <x:c r="F621" s="111" t="str">
        <x:v>수능(일반전형)</x:v>
      </x:c>
      <x:c r="G621" s="111" t="str">
        <x:v>유럽언어문화학부</x:v>
      </x:c>
      <x:c r="H621" s="136"/>
      <x:c r="I621" s="136"/>
      <x:c r="J621" s="136" t="n">
        <x:v>7</x:v>
      </x:c>
      <x:c r="K621" s="137" t="n">
        <x:v>5.14</x:v>
      </x:c>
      <x:c r="L621" s="136" t="n">
        <x:v>6</x:v>
      </x:c>
      <x:c r="M621" s="137"/>
      <x:c r="N621" s="137" t="n">
        <x:v>571.8</x:v>
      </x:c>
      <x:c r="O621" s="137" t="n">
        <x:v>810</x:v>
      </x:c>
      <x:c r="P621" s="137"/>
      <x:c r="Q621" s="137"/>
      <x:c r="R621" s="137"/>
      <x:c r="S621" s="137"/>
      <x:c r="T621" s="136"/>
      <x:c r="U621" s="136"/>
      <x:c r="V621" s="137" t="n">
        <x:v>62.83</x:v>
      </x:c>
      <x:c r="W621" s="137" t="str">
        <x:f>IF(COUNT(P621:S621)&gt;=3,AVERAGE(P621:S621),"")</x:f>
      </x:c>
      <x:c r="X621" s="137" t="n">
        <x:f>IF(V621&lt;&gt;"",V621,W621)</x:f>
        <x:v>62.83</x:v>
      </x:c>
      <x:c r="Y621" s="111" t="str">
        <x:v>공식 70% 평균백분위</x:v>
      </x:c>
      <x:c r="Z621" s="137" t="n">
        <x:f>'추천_테스트'!$B$8</x:f>
        <x:v>80</x:v>
      </x:c>
      <x:c r="AA621" s="137" t="n">
        <x:f>IF(X621="","",Z621-X621)</x:f>
        <x:v>17.17</x:v>
      </x:c>
      <x:c r="AB621" s="111" t="str">
        <x:f>IF(X621="","",IF(AA621&gt;='추천_테스트'!$B$10,"안정",IF(AA621&gt;='추천_테스트'!$B$11,"적정",IF(AA621&gt;='추천_테스트'!$B$12,"소신","상향"))))</x:f>
        <x:v>안정</x:v>
      </x:c>
      <x:c r="AC621" s="137"/>
      <x:c r="AD621" s="137"/>
      <x:c r="AE621" s="137"/>
      <x:c r="AF621" s="113" t="str">
        <x:v>v5 지방 사립대 확장: 공식 2025학년도 정시 70% cut 평균(백분위) 제공</x:v>
      </x:c>
      <x:c r="AG621" s="113" t="str">
        <x:v>https://www.adiga.kr/ucp/uvt/uni/univDetailSelection.do?menuId=PCUVTINF2000&amp;searchSyr=2026&amp;unvCd=0000151</x:v>
      </x:c>
    </x:row>
    <x:row r="622" ht="18" customHeight="1">
      <x:c r="A622" s="111" t="n">
        <x:v>2025</x:v>
      </x:c>
      <x:c r="B622" s="111" t="str">
        <x:v>경상북도</x:v>
      </x:c>
      <x:c r="C622" s="111" t="str">
        <x:v>사립</x:v>
      </x:c>
      <x:c r="D622" s="111" t="str">
        <x:v>영남대학교</x:v>
      </x:c>
      <x:c r="E622" s="111" t="str">
        <x:v>나</x:v>
      </x:c>
      <x:c r="F622" s="111" t="str">
        <x:v>수능(일반전형)</x:v>
      </x:c>
      <x:c r="G622" s="111" t="str">
        <x:v>철학과</x:v>
      </x:c>
      <x:c r="H622" s="136"/>
      <x:c r="I622" s="136"/>
      <x:c r="J622" s="136" t="n">
        <x:v>5</x:v>
      </x:c>
      <x:c r="K622" s="137" t="n">
        <x:v>6.4</x:v>
      </x:c>
      <x:c r="L622" s="136" t="n">
        <x:v>3</x:v>
      </x:c>
      <x:c r="M622" s="137"/>
      <x:c r="N622" s="137" t="n">
        <x:v>562.2</x:v>
      </x:c>
      <x:c r="O622" s="137" t="n">
        <x:v>810</x:v>
      </x:c>
      <x:c r="P622" s="137"/>
      <x:c r="Q622" s="137"/>
      <x:c r="R622" s="137"/>
      <x:c r="S622" s="137"/>
      <x:c r="T622" s="136"/>
      <x:c r="U622" s="136"/>
      <x:c r="V622" s="137" t="n">
        <x:v>63.67</x:v>
      </x:c>
      <x:c r="W622" s="137" t="str">
        <x:f>IF(COUNT(P622:S622)&gt;=3,AVERAGE(P622:S622),"")</x:f>
      </x:c>
      <x:c r="X622" s="137" t="n">
        <x:f>IF(V622&lt;&gt;"",V622,W622)</x:f>
        <x:v>63.67</x:v>
      </x:c>
      <x:c r="Y622" s="111" t="str">
        <x:v>공식 70% 평균백분위</x:v>
      </x:c>
      <x:c r="Z622" s="137" t="n">
        <x:f>'추천_테스트'!$B$8</x:f>
        <x:v>80</x:v>
      </x:c>
      <x:c r="AA622" s="137" t="n">
        <x:f>IF(X622="","",Z622-X622)</x:f>
        <x:v>16.33</x:v>
      </x:c>
      <x:c r="AB622" s="111" t="str">
        <x:f>IF(X622="","",IF(AA622&gt;='추천_테스트'!$B$10,"안정",IF(AA622&gt;='추천_테스트'!$B$11,"적정",IF(AA622&gt;='추천_테스트'!$B$12,"소신","상향"))))</x:f>
        <x:v>안정</x:v>
      </x:c>
      <x:c r="AC622" s="137"/>
      <x:c r="AD622" s="137"/>
      <x:c r="AE622" s="137"/>
      <x:c r="AF622" s="113" t="str">
        <x:v>v5 지방 사립대 확장: 공식 2025학년도 정시 70% cut 평균(백분위) 제공</x:v>
      </x:c>
      <x:c r="AG622" s="113" t="str">
        <x:v>https://www.adiga.kr/ucp/uvt/uni/univDetailSelection.do?menuId=PCUVTINF2000&amp;searchSyr=2026&amp;unvCd=0000151</x:v>
      </x:c>
    </x:row>
    <x:row r="623" ht="18" customHeight="1">
      <x:c r="A623" s="111" t="n">
        <x:v>2025</x:v>
      </x:c>
      <x:c r="B623" s="111" t="str">
        <x:v>경상북도</x:v>
      </x:c>
      <x:c r="C623" s="111" t="str">
        <x:v>사립</x:v>
      </x:c>
      <x:c r="D623" s="111" t="str">
        <x:v>영남대학교</x:v>
      </x:c>
      <x:c r="E623" s="111" t="str">
        <x:v>나</x:v>
      </x:c>
      <x:c r="F623" s="111" t="str">
        <x:v>수능(일반전형)</x:v>
      </x:c>
      <x:c r="G623" s="111" t="str">
        <x:v>역사학과</x:v>
      </x:c>
      <x:c r="H623" s="136"/>
      <x:c r="I623" s="136"/>
      <x:c r="J623" s="136" t="n">
        <x:v>6</x:v>
      </x:c>
      <x:c r="K623" s="137" t="n">
        <x:v>5.17</x:v>
      </x:c>
      <x:c r="L623" s="136" t="n">
        <x:v>6</x:v>
      </x:c>
      <x:c r="M623" s="137"/>
      <x:c r="N623" s="137" t="n">
        <x:v>560</x:v>
      </x:c>
      <x:c r="O623" s="137" t="n">
        <x:v>810</x:v>
      </x:c>
      <x:c r="P623" s="137"/>
      <x:c r="Q623" s="137"/>
      <x:c r="R623" s="137"/>
      <x:c r="S623" s="137"/>
      <x:c r="T623" s="136"/>
      <x:c r="U623" s="136"/>
      <x:c r="V623" s="137" t="n">
        <x:v>64.67</x:v>
      </x:c>
      <x:c r="W623" s="137" t="str">
        <x:f>IF(COUNT(P623:S623)&gt;=3,AVERAGE(P623:S623),"")</x:f>
      </x:c>
      <x:c r="X623" s="137" t="n">
        <x:f>IF(V623&lt;&gt;"",V623,W623)</x:f>
        <x:v>64.67</x:v>
      </x:c>
      <x:c r="Y623" s="111" t="str">
        <x:v>공식 70% 평균백분위</x:v>
      </x:c>
      <x:c r="Z623" s="137" t="n">
        <x:f>'추천_테스트'!$B$8</x:f>
        <x:v>80</x:v>
      </x:c>
      <x:c r="AA623" s="137" t="n">
        <x:f>IF(X623="","",Z623-X623)</x:f>
        <x:v>15.329999999999998</x:v>
      </x:c>
      <x:c r="AB623" s="111" t="str">
        <x:f>IF(X623="","",IF(AA623&gt;='추천_테스트'!$B$10,"안정",IF(AA623&gt;='추천_테스트'!$B$11,"적정",IF(AA623&gt;='추천_테스트'!$B$12,"소신","상향"))))</x:f>
        <x:v>안정</x:v>
      </x:c>
      <x:c r="AC623" s="137"/>
      <x:c r="AD623" s="137"/>
      <x:c r="AE623" s="137"/>
      <x:c r="AF623" s="113" t="str">
        <x:v>v5 지방 사립대 확장: 공식 2025학년도 정시 70% cut 평균(백분위) 제공</x:v>
      </x:c>
      <x:c r="AG623" s="113" t="str">
        <x:v>https://www.adiga.kr/ucp/uvt/uni/univDetailSelection.do?menuId=PCUVTINF2000&amp;searchSyr=2026&amp;unvCd=0000151</x:v>
      </x:c>
    </x:row>
    <x:row r="624" ht="18" customHeight="1">
      <x:c r="A624" s="111" t="n">
        <x:v>2025</x:v>
      </x:c>
      <x:c r="B624" s="111" t="str">
        <x:v>경상북도</x:v>
      </x:c>
      <x:c r="C624" s="111" t="str">
        <x:v>사립</x:v>
      </x:c>
      <x:c r="D624" s="111" t="str">
        <x:v>영남대학교</x:v>
      </x:c>
      <x:c r="E624" s="111" t="str">
        <x:v>나</x:v>
      </x:c>
      <x:c r="F624" s="111" t="str">
        <x:v>수능(일반전형)</x:v>
      </x:c>
      <x:c r="G624" s="111" t="str">
        <x:v>문화인류학과</x:v>
      </x:c>
      <x:c r="H624" s="136"/>
      <x:c r="I624" s="136"/>
      <x:c r="J624" s="136" t="n">
        <x:v>5</x:v>
      </x:c>
      <x:c r="K624" s="137" t="n">
        <x:v>5.8</x:v>
      </x:c>
      <x:c r="L624" s="136" t="n">
        <x:v>7</x:v>
      </x:c>
      <x:c r="M624" s="137"/>
      <x:c r="N624" s="137" t="n">
        <x:v>555</x:v>
      </x:c>
      <x:c r="O624" s="137" t="n">
        <x:v>810</x:v>
      </x:c>
      <x:c r="P624" s="137"/>
      <x:c r="Q624" s="137"/>
      <x:c r="R624" s="137"/>
      <x:c r="S624" s="137"/>
      <x:c r="T624" s="136"/>
      <x:c r="U624" s="136"/>
      <x:c r="V624" s="137" t="n">
        <x:v>62</x:v>
      </x:c>
      <x:c r="W624" s="137" t="str">
        <x:f>IF(COUNT(P624:S624)&gt;=3,AVERAGE(P624:S624),"")</x:f>
      </x:c>
      <x:c r="X624" s="137" t="n">
        <x:f>IF(V624&lt;&gt;"",V624,W624)</x:f>
        <x:v>62</x:v>
      </x:c>
      <x:c r="Y624" s="111" t="str">
        <x:v>공식 70% 평균백분위</x:v>
      </x:c>
      <x:c r="Z624" s="137" t="n">
        <x:f>'추천_테스트'!$B$8</x:f>
        <x:v>80</x:v>
      </x:c>
      <x:c r="AA624" s="137" t="n">
        <x:f>IF(X624="","",Z624-X624)</x:f>
        <x:v>18</x:v>
      </x:c>
      <x:c r="AB624" s="111" t="str">
        <x:f>IF(X624="","",IF(AA624&gt;='추천_테스트'!$B$10,"안정",IF(AA624&gt;='추천_테스트'!$B$11,"적정",IF(AA624&gt;='추천_테스트'!$B$12,"소신","상향"))))</x:f>
        <x:v>안정</x:v>
      </x:c>
      <x:c r="AC624" s="137"/>
      <x:c r="AD624" s="137"/>
      <x:c r="AE624" s="137"/>
      <x:c r="AF624" s="113" t="str">
        <x:v>v5 지방 사립대 확장: 공식 2025학년도 정시 70% cut 평균(백분위) 제공</x:v>
      </x:c>
      <x:c r="AG624" s="113" t="str">
        <x:v>https://www.adiga.kr/ucp/uvt/uni/univDetailSelection.do?menuId=PCUVTINF2000&amp;searchSyr=2026&amp;unvCd=0000151</x:v>
      </x:c>
    </x:row>
    <x:row r="625" ht="18" customHeight="1">
      <x:c r="A625" s="111" t="n">
        <x:v>2025</x:v>
      </x:c>
      <x:c r="B625" s="111" t="str">
        <x:v>경상북도</x:v>
      </x:c>
      <x:c r="C625" s="111" t="str">
        <x:v>사립</x:v>
      </x:c>
      <x:c r="D625" s="111" t="str">
        <x:v>영남대학교</x:v>
      </x:c>
      <x:c r="E625" s="111" t="str">
        <x:v>나</x:v>
      </x:c>
      <x:c r="F625" s="111" t="str">
        <x:v>수능(일반전형)</x:v>
      </x:c>
      <x:c r="G625" s="111" t="str">
        <x:v>수학과</x:v>
      </x:c>
      <x:c r="H625" s="136"/>
      <x:c r="I625" s="136"/>
      <x:c r="J625" s="136" t="n">
        <x:v>6</x:v>
      </x:c>
      <x:c r="K625" s="137" t="n">
        <x:v>5.33</x:v>
      </x:c>
      <x:c r="L625" s="136" t="n">
        <x:v>18</x:v>
      </x:c>
      <x:c r="M625" s="137"/>
      <x:c r="N625" s="137" t="n">
        <x:v>544.92</x:v>
      </x:c>
      <x:c r="O625" s="137" t="n">
        <x:v>832</x:v>
      </x:c>
      <x:c r="P625" s="137"/>
      <x:c r="Q625" s="137"/>
      <x:c r="R625" s="137"/>
      <x:c r="S625" s="137"/>
      <x:c r="T625" s="136"/>
      <x:c r="U625" s="136"/>
      <x:c r="V625" s="137" t="n">
        <x:v>57.17</x:v>
      </x:c>
      <x:c r="W625" s="137" t="str">
        <x:f>IF(COUNT(P625:S625)&gt;=3,AVERAGE(P625:S625),"")</x:f>
      </x:c>
      <x:c r="X625" s="137" t="n">
        <x:f>IF(V625&lt;&gt;"",V625,W625)</x:f>
        <x:v>57.17</x:v>
      </x:c>
      <x:c r="Y625" s="111" t="str">
        <x:v>공식 70% 평균백분위</x:v>
      </x:c>
      <x:c r="Z625" s="137" t="n">
        <x:f>'추천_테스트'!$B$8</x:f>
        <x:v>80</x:v>
      </x:c>
      <x:c r="AA625" s="137" t="n">
        <x:f>IF(X625="","",Z625-X625)</x:f>
        <x:v>22.83</x:v>
      </x:c>
      <x:c r="AB625" s="111" t="str">
        <x:f>IF(X625="","",IF(AA625&gt;='추천_테스트'!$B$10,"안정",IF(AA625&gt;='추천_테스트'!$B$11,"적정",IF(AA625&gt;='추천_테스트'!$B$12,"소신","상향"))))</x:f>
        <x:v>안정</x:v>
      </x:c>
      <x:c r="AC625" s="137"/>
      <x:c r="AD625" s="137"/>
      <x:c r="AE625" s="137"/>
      <x:c r="AF625" s="113" t="str">
        <x:v>v5 지방 사립대 확장: 공식 2025학년도 정시 70% cut 평균(백분위) 제공</x:v>
      </x:c>
      <x:c r="AG625" s="113" t="str">
        <x:v>https://www.adiga.kr/ucp/uvt/uni/univDetailSelection.do?menuId=PCUVTINF2000&amp;searchSyr=2026&amp;unvCd=0000151</x:v>
      </x:c>
    </x:row>
    <x:row r="626" ht="18" customHeight="1">
      <x:c r="A626" s="111" t="n">
        <x:v>2025</x:v>
      </x:c>
      <x:c r="B626" s="111" t="str">
        <x:v>경상북도</x:v>
      </x:c>
      <x:c r="C626" s="111" t="str">
        <x:v>사립</x:v>
      </x:c>
      <x:c r="D626" s="111" t="str">
        <x:v>영남대학교</x:v>
      </x:c>
      <x:c r="E626" s="111" t="str">
        <x:v>나</x:v>
      </x:c>
      <x:c r="F626" s="111" t="str">
        <x:v>수능(일반전형)</x:v>
      </x:c>
      <x:c r="G626" s="111" t="str">
        <x:v>통계학과</x:v>
      </x:c>
      <x:c r="H626" s="136"/>
      <x:c r="I626" s="136"/>
      <x:c r="J626" s="136" t="n">
        <x:v>10</x:v>
      </x:c>
      <x:c r="K626" s="137" t="n">
        <x:v>5.5</x:v>
      </x:c>
      <x:c r="L626" s="136" t="n">
        <x:v>22</x:v>
      </x:c>
      <x:c r="M626" s="137"/>
      <x:c r="N626" s="137" t="n">
        <x:v>579.17</x:v>
      </x:c>
      <x:c r="O626" s="137" t="n">
        <x:v>832</x:v>
      </x:c>
      <x:c r="P626" s="137"/>
      <x:c r="Q626" s="137"/>
      <x:c r="R626" s="137"/>
      <x:c r="S626" s="137"/>
      <x:c r="T626" s="136"/>
      <x:c r="U626" s="136"/>
      <x:c r="V626" s="137" t="n">
        <x:v>62.33</x:v>
      </x:c>
      <x:c r="W626" s="137" t="str">
        <x:f>IF(COUNT(P626:S626)&gt;=3,AVERAGE(P626:S626),"")</x:f>
      </x:c>
      <x:c r="X626" s="137" t="n">
        <x:f>IF(V626&lt;&gt;"",V626,W626)</x:f>
        <x:v>62.33</x:v>
      </x:c>
      <x:c r="Y626" s="111" t="str">
        <x:v>공식 70% 평균백분위</x:v>
      </x:c>
      <x:c r="Z626" s="137" t="n">
        <x:f>'추천_테스트'!$B$8</x:f>
        <x:v>80</x:v>
      </x:c>
      <x:c r="AA626" s="137" t="n">
        <x:f>IF(X626="","",Z626-X626)</x:f>
        <x:v>17.67</x:v>
      </x:c>
      <x:c r="AB626" s="111" t="str">
        <x:f>IF(X626="","",IF(AA626&gt;='추천_테스트'!$B$10,"안정",IF(AA626&gt;='추천_테스트'!$B$11,"적정",IF(AA626&gt;='추천_테스트'!$B$12,"소신","상향"))))</x:f>
        <x:v>안정</x:v>
      </x:c>
      <x:c r="AC626" s="137"/>
      <x:c r="AD626" s="137"/>
      <x:c r="AE626" s="137"/>
      <x:c r="AF626" s="113" t="str">
        <x:v>v5 지방 사립대 확장: 공식 2025학년도 정시 70% cut 평균(백분위) 제공</x:v>
      </x:c>
      <x:c r="AG626" s="113" t="str">
        <x:v>https://www.adiga.kr/ucp/uvt/uni/univDetailSelection.do?menuId=PCUVTINF2000&amp;searchSyr=2026&amp;unvCd=0000151</x:v>
      </x:c>
    </x:row>
    <x:row r="627" ht="18" customHeight="1">
      <x:c r="A627" s="111" t="n">
        <x:v>2025</x:v>
      </x:c>
      <x:c r="B627" s="111" t="str">
        <x:v>경상북도</x:v>
      </x:c>
      <x:c r="C627" s="111" t="str">
        <x:v>사립</x:v>
      </x:c>
      <x:c r="D627" s="111" t="str">
        <x:v>영남대학교</x:v>
      </x:c>
      <x:c r="E627" s="111" t="str">
        <x:v>나</x:v>
      </x:c>
      <x:c r="F627" s="111" t="str">
        <x:v>수능(일반전형)</x:v>
      </x:c>
      <x:c r="G627" s="111" t="str">
        <x:v>물리학과</x:v>
      </x:c>
      <x:c r="H627" s="136"/>
      <x:c r="I627" s="136"/>
      <x:c r="J627" s="136" t="n">
        <x:v>7</x:v>
      </x:c>
      <x:c r="K627" s="137" t="n">
        <x:v>9.14</x:v>
      </x:c>
      <x:c r="L627" s="136" t="n">
        <x:v>12</x:v>
      </x:c>
      <x:c r="M627" s="137"/>
      <x:c r="N627" s="137" t="n">
        <x:v>595.48</x:v>
      </x:c>
      <x:c r="O627" s="137" t="n">
        <x:v>832</x:v>
      </x:c>
      <x:c r="P627" s="137"/>
      <x:c r="Q627" s="137"/>
      <x:c r="R627" s="137"/>
      <x:c r="S627" s="137"/>
      <x:c r="T627" s="136"/>
      <x:c r="U627" s="136"/>
      <x:c r="V627" s="137" t="n">
        <x:v>65.67</x:v>
      </x:c>
      <x:c r="W627" s="137" t="str">
        <x:f>IF(COUNT(P627:S627)&gt;=3,AVERAGE(P627:S627),"")</x:f>
      </x:c>
      <x:c r="X627" s="137" t="n">
        <x:f>IF(V627&lt;&gt;"",V627,W627)</x:f>
        <x:v>65.67</x:v>
      </x:c>
      <x:c r="Y627" s="111" t="str">
        <x:v>공식 70% 평균백분위</x:v>
      </x:c>
      <x:c r="Z627" s="137" t="n">
        <x:f>'추천_테스트'!$B$8</x:f>
        <x:v>80</x:v>
      </x:c>
      <x:c r="AA627" s="137" t="n">
        <x:f>IF(X627="","",Z627-X627)</x:f>
        <x:v>14.329999999999998</x:v>
      </x:c>
      <x:c r="AB627" s="111" t="str">
        <x:f>IF(X627="","",IF(AA627&gt;='추천_테스트'!$B$10,"안정",IF(AA627&gt;='추천_테스트'!$B$11,"적정",IF(AA627&gt;='추천_테스트'!$B$12,"소신","상향"))))</x:f>
        <x:v>안정</x:v>
      </x:c>
      <x:c r="AC627" s="137"/>
      <x:c r="AD627" s="137"/>
      <x:c r="AE627" s="137"/>
      <x:c r="AF627" s="113" t="str">
        <x:v>v5 지방 사립대 확장: 공식 2025학년도 정시 70% cut 평균(백분위) 제공</x:v>
      </x:c>
      <x:c r="AG627" s="113" t="str">
        <x:v>https://www.adiga.kr/ucp/uvt/uni/univDetailSelection.do?menuId=PCUVTINF2000&amp;searchSyr=2026&amp;unvCd=0000151</x:v>
      </x:c>
    </x:row>
    <x:row r="628" ht="18" customHeight="1">
      <x:c r="A628" s="111" t="n">
        <x:v>2025</x:v>
      </x:c>
      <x:c r="B628" s="111" t="str">
        <x:v>경상북도</x:v>
      </x:c>
      <x:c r="C628" s="111" t="str">
        <x:v>사립</x:v>
      </x:c>
      <x:c r="D628" s="111" t="str">
        <x:v>영남대학교</x:v>
      </x:c>
      <x:c r="E628" s="111" t="str">
        <x:v>나</x:v>
      </x:c>
      <x:c r="F628" s="111" t="str">
        <x:v>수능(일반전형)</x:v>
      </x:c>
      <x:c r="G628" s="111" t="str">
        <x:v>화학과</x:v>
      </x:c>
      <x:c r="H628" s="136"/>
      <x:c r="I628" s="136"/>
      <x:c r="J628" s="136" t="n">
        <x:v>9</x:v>
      </x:c>
      <x:c r="K628" s="137" t="n">
        <x:v>5</x:v>
      </x:c>
      <x:c r="L628" s="136" t="n">
        <x:v>14</x:v>
      </x:c>
      <x:c r="M628" s="137"/>
      <x:c r="N628" s="137" t="n">
        <x:v>565.32</x:v>
      </x:c>
      <x:c r="O628" s="137" t="n">
        <x:v>832</x:v>
      </x:c>
      <x:c r="P628" s="137"/>
      <x:c r="Q628" s="137"/>
      <x:c r="R628" s="137"/>
      <x:c r="S628" s="137"/>
      <x:c r="T628" s="136"/>
      <x:c r="U628" s="136"/>
      <x:c r="V628" s="137" t="n">
        <x:v>61.17</x:v>
      </x:c>
      <x:c r="W628" s="137" t="str">
        <x:f>IF(COUNT(P628:S628)&gt;=3,AVERAGE(P628:S628),"")</x:f>
      </x:c>
      <x:c r="X628" s="137" t="n">
        <x:f>IF(V628&lt;&gt;"",V628,W628)</x:f>
        <x:v>61.17</x:v>
      </x:c>
      <x:c r="Y628" s="111" t="str">
        <x:v>공식 70% 평균백분위</x:v>
      </x:c>
      <x:c r="Z628" s="137" t="n">
        <x:f>'추천_테스트'!$B$8</x:f>
        <x:v>80</x:v>
      </x:c>
      <x:c r="AA628" s="137" t="n">
        <x:f>IF(X628="","",Z628-X628)</x:f>
        <x:v>18.83</x:v>
      </x:c>
      <x:c r="AB628" s="111" t="str">
        <x:f>IF(X628="","",IF(AA628&gt;='추천_테스트'!$B$10,"안정",IF(AA628&gt;='추천_테스트'!$B$11,"적정",IF(AA628&gt;='추천_테스트'!$B$12,"소신","상향"))))</x:f>
        <x:v>안정</x:v>
      </x:c>
      <x:c r="AC628" s="137"/>
      <x:c r="AD628" s="137"/>
      <x:c r="AE628" s="137"/>
      <x:c r="AF628" s="113" t="str">
        <x:v>v5 지방 사립대 확장: 공식 2025학년도 정시 70% cut 평균(백분위) 제공</x:v>
      </x:c>
      <x:c r="AG628" s="113" t="str">
        <x:v>https://www.adiga.kr/ucp/uvt/uni/univDetailSelection.do?menuId=PCUVTINF2000&amp;searchSyr=2026&amp;unvCd=0000151</x:v>
      </x:c>
    </x:row>
    <x:row r="629" ht="18" customHeight="1">
      <x:c r="A629" s="111" t="n">
        <x:v>2025</x:v>
      </x:c>
      <x:c r="B629" s="111" t="str">
        <x:v>경상북도</x:v>
      </x:c>
      <x:c r="C629" s="111" t="str">
        <x:v>사립</x:v>
      </x:c>
      <x:c r="D629" s="111" t="str">
        <x:v>영남대학교</x:v>
      </x:c>
      <x:c r="E629" s="111" t="str">
        <x:v>나</x:v>
      </x:c>
      <x:c r="F629" s="111" t="str">
        <x:v>수능(일반전형)</x:v>
      </x:c>
      <x:c r="G629" s="111" t="str">
        <x:v>생명과학과</x:v>
      </x:c>
      <x:c r="H629" s="136"/>
      <x:c r="I629" s="136"/>
      <x:c r="J629" s="136" t="n">
        <x:v>8</x:v>
      </x:c>
      <x:c r="K629" s="137" t="n">
        <x:v>10</x:v>
      </x:c>
      <x:c r="L629" s="136" t="n">
        <x:v>20</x:v>
      </x:c>
      <x:c r="M629" s="137"/>
      <x:c r="N629" s="137" t="n">
        <x:v>590.2</x:v>
      </x:c>
      <x:c r="O629" s="137" t="n">
        <x:v>832</x:v>
      </x:c>
      <x:c r="P629" s="137"/>
      <x:c r="Q629" s="137"/>
      <x:c r="R629" s="137"/>
      <x:c r="S629" s="137"/>
      <x:c r="T629" s="136"/>
      <x:c r="U629" s="136"/>
      <x:c r="V629" s="137" t="n">
        <x:v>65.67</x:v>
      </x:c>
      <x:c r="W629" s="137" t="str">
        <x:f>IF(COUNT(P629:S629)&gt;=3,AVERAGE(P629:S629),"")</x:f>
      </x:c>
      <x:c r="X629" s="137" t="n">
        <x:f>IF(V629&lt;&gt;"",V629,W629)</x:f>
        <x:v>65.67</x:v>
      </x:c>
      <x:c r="Y629" s="111" t="str">
        <x:v>공식 70% 평균백분위</x:v>
      </x:c>
      <x:c r="Z629" s="137" t="n">
        <x:f>'추천_테스트'!$B$8</x:f>
        <x:v>80</x:v>
      </x:c>
      <x:c r="AA629" s="137" t="n">
        <x:f>IF(X629="","",Z629-X629)</x:f>
        <x:v>14.329999999999998</x:v>
      </x:c>
      <x:c r="AB629" s="111" t="str">
        <x:f>IF(X629="","",IF(AA629&gt;='추천_테스트'!$B$10,"안정",IF(AA629&gt;='추천_테스트'!$B$11,"적정",IF(AA629&gt;='추천_테스트'!$B$12,"소신","상향"))))</x:f>
        <x:v>안정</x:v>
      </x:c>
      <x:c r="AC629" s="137"/>
      <x:c r="AD629" s="137"/>
      <x:c r="AE629" s="137"/>
      <x:c r="AF629" s="113" t="str">
        <x:v>v5 지방 사립대 확장: 공식 2025학년도 정시 70% cut 평균(백분위) 제공</x:v>
      </x:c>
      <x:c r="AG629" s="113" t="str">
        <x:v>https://www.adiga.kr/ucp/uvt/uni/univDetailSelection.do?menuId=PCUVTINF2000&amp;searchSyr=2026&amp;unvCd=0000151</x:v>
      </x:c>
    </x:row>
    <x:row r="630" ht="18" customHeight="1">
      <x:c r="A630" s="111" t="n">
        <x:v>2025</x:v>
      </x:c>
      <x:c r="B630" s="111" t="str">
        <x:v>경상북도</x:v>
      </x:c>
      <x:c r="C630" s="111" t="str">
        <x:v>사립</x:v>
      </x:c>
      <x:c r="D630" s="111" t="str">
        <x:v>영남대학교</x:v>
      </x:c>
      <x:c r="E630" s="111" t="str">
        <x:v>나</x:v>
      </x:c>
      <x:c r="F630" s="111" t="str">
        <x:v>수능(일반전형)</x:v>
      </x:c>
      <x:c r="G630" s="111" t="str">
        <x:v>심리학과</x:v>
      </x:c>
      <x:c r="H630" s="136"/>
      <x:c r="I630" s="136"/>
      <x:c r="J630" s="136" t="n">
        <x:v>7</x:v>
      </x:c>
      <x:c r="K630" s="137" t="n">
        <x:v>4.43</x:v>
      </x:c>
      <x:c r="L630" s="136" t="n">
        <x:v>6</x:v>
      </x:c>
      <x:c r="M630" s="137"/>
      <x:c r="N630" s="137" t="n">
        <x:v>581.8</x:v>
      </x:c>
      <x:c r="O630" s="137" t="n">
        <x:v>810</x:v>
      </x:c>
      <x:c r="P630" s="137"/>
      <x:c r="Q630" s="137"/>
      <x:c r="R630" s="137"/>
      <x:c r="S630" s="137"/>
      <x:c r="T630" s="136"/>
      <x:c r="U630" s="136"/>
      <x:c r="V630" s="137" t="n">
        <x:v>66.83</x:v>
      </x:c>
      <x:c r="W630" s="137" t="str">
        <x:f>IF(COUNT(P630:S630)&gt;=3,AVERAGE(P630:S630),"")</x:f>
      </x:c>
      <x:c r="X630" s="137" t="n">
        <x:f>IF(V630&lt;&gt;"",V630,W630)</x:f>
        <x:v>66.83</x:v>
      </x:c>
      <x:c r="Y630" s="111" t="str">
        <x:v>공식 70% 평균백분위</x:v>
      </x:c>
      <x:c r="Z630" s="137" t="n">
        <x:f>'추천_테스트'!$B$8</x:f>
        <x:v>80</x:v>
      </x:c>
      <x:c r="AA630" s="137" t="n">
        <x:f>IF(X630="","",Z630-X630)</x:f>
        <x:v>13.170000000000002</x:v>
      </x:c>
      <x:c r="AB630" s="111" t="str">
        <x:f>IF(X630="","",IF(AA630&gt;='추천_테스트'!$B$10,"안정",IF(AA630&gt;='추천_테스트'!$B$11,"적정",IF(AA630&gt;='추천_테스트'!$B$12,"소신","상향"))))</x:f>
        <x:v>안정</x:v>
      </x:c>
      <x:c r="AC630" s="137"/>
      <x:c r="AD630" s="137"/>
      <x:c r="AE630" s="137"/>
      <x:c r="AF630" s="113" t="str">
        <x:v>v5 지방 사립대 확장: 공식 2025학년도 정시 70% cut 평균(백분위) 제공</x:v>
      </x:c>
      <x:c r="AG630" s="113" t="str">
        <x:v>https://www.adiga.kr/ucp/uvt/uni/univDetailSelection.do?menuId=PCUVTINF2000&amp;searchSyr=2026&amp;unvCd=0000151</x:v>
      </x:c>
    </x:row>
    <x:row r="631" ht="18" customHeight="1">
      <x:c r="A631" s="111" t="n">
        <x:v>2025</x:v>
      </x:c>
      <x:c r="B631" s="111" t="str">
        <x:v>경상북도</x:v>
      </x:c>
      <x:c r="C631" s="111" t="str">
        <x:v>사립</x:v>
      </x:c>
      <x:c r="D631" s="111" t="str">
        <x:v>영남대학교</x:v>
      </x:c>
      <x:c r="E631" s="111" t="str">
        <x:v>나</x:v>
      </x:c>
      <x:c r="F631" s="111" t="str">
        <x:v>수능(일반전형)</x:v>
      </x:c>
      <x:c r="G631" s="111" t="str">
        <x:v>사회학과</x:v>
      </x:c>
      <x:c r="H631" s="136"/>
      <x:c r="I631" s="136"/>
      <x:c r="J631" s="136" t="n">
        <x:v>7</x:v>
      </x:c>
      <x:c r="K631" s="137" t="n">
        <x:v>4.86</x:v>
      </x:c>
      <x:c r="L631" s="136" t="n">
        <x:v>8</x:v>
      </x:c>
      <x:c r="M631" s="137"/>
      <x:c r="N631" s="137" t="n">
        <x:v>567.2</x:v>
      </x:c>
      <x:c r="O631" s="137" t="n">
        <x:v>810</x:v>
      </x:c>
      <x:c r="P631" s="137"/>
      <x:c r="Q631" s="137"/>
      <x:c r="R631" s="137"/>
      <x:c r="S631" s="137"/>
      <x:c r="T631" s="136"/>
      <x:c r="U631" s="136"/>
      <x:c r="V631" s="137" t="n">
        <x:v>61.33</x:v>
      </x:c>
      <x:c r="W631" s="137" t="str">
        <x:f>IF(COUNT(P631:S631)&gt;=3,AVERAGE(P631:S631),"")</x:f>
      </x:c>
      <x:c r="X631" s="137" t="n">
        <x:f>IF(V631&lt;&gt;"",V631,W631)</x:f>
        <x:v>61.33</x:v>
      </x:c>
      <x:c r="Y631" s="111" t="str">
        <x:v>공식 70% 평균백분위</x:v>
      </x:c>
      <x:c r="Z631" s="137" t="n">
        <x:f>'추천_테스트'!$B$8</x:f>
        <x:v>80</x:v>
      </x:c>
      <x:c r="AA631" s="137" t="n">
        <x:f>IF(X631="","",Z631-X631)</x:f>
        <x:v>18.67</x:v>
      </x:c>
      <x:c r="AB631" s="111" t="str">
        <x:f>IF(X631="","",IF(AA631&gt;='추천_테스트'!$B$10,"안정",IF(AA631&gt;='추천_테스트'!$B$11,"적정",IF(AA631&gt;='추천_테스트'!$B$12,"소신","상향"))))</x:f>
        <x:v>안정</x:v>
      </x:c>
      <x:c r="AC631" s="137"/>
      <x:c r="AD631" s="137"/>
      <x:c r="AE631" s="137"/>
      <x:c r="AF631" s="113" t="str">
        <x:v>v5 지방 사립대 확장: 공식 2025학년도 정시 70% cut 평균(백분위) 제공</x:v>
      </x:c>
      <x:c r="AG631" s="113" t="str">
        <x:v>https://www.adiga.kr/ucp/uvt/uni/univDetailSelection.do?menuId=PCUVTINF2000&amp;searchSyr=2026&amp;unvCd=0000151</x:v>
      </x:c>
    </x:row>
    <x:row r="632" ht="18" customHeight="1">
      <x:c r="A632" s="111" t="n">
        <x:v>2025</x:v>
      </x:c>
      <x:c r="B632" s="111" t="str">
        <x:v>경상북도</x:v>
      </x:c>
      <x:c r="C632" s="111" t="str">
        <x:v>사립</x:v>
      </x:c>
      <x:c r="D632" s="111" t="str">
        <x:v>영남대학교</x:v>
      </x:c>
      <x:c r="E632" s="111" t="str">
        <x:v>나</x:v>
      </x:c>
      <x:c r="F632" s="111" t="str">
        <x:v>수능(일반전형)</x:v>
      </x:c>
      <x:c r="G632" s="111" t="str">
        <x:v>미디어커뮤니케이션학과</x:v>
      </x:c>
      <x:c r="H632" s="136"/>
      <x:c r="I632" s="136"/>
      <x:c r="J632" s="136" t="n">
        <x:v>5</x:v>
      </x:c>
      <x:c r="K632" s="137" t="n">
        <x:v>6</x:v>
      </x:c>
      <x:c r="L632" s="136" t="n">
        <x:v>2</x:v>
      </x:c>
      <x:c r="M632" s="137"/>
      <x:c r="N632" s="137" t="n">
        <x:v>617.4</x:v>
      </x:c>
      <x:c r="O632" s="137" t="n">
        <x:v>810</x:v>
      </x:c>
      <x:c r="P632" s="137"/>
      <x:c r="Q632" s="137"/>
      <x:c r="R632" s="137"/>
      <x:c r="S632" s="137"/>
      <x:c r="T632" s="136"/>
      <x:c r="U632" s="136"/>
      <x:c r="V632" s="137" t="n">
        <x:v>73.67</x:v>
      </x:c>
      <x:c r="W632" s="137" t="str">
        <x:f>IF(COUNT(P632:S632)&gt;=3,AVERAGE(P632:S632),"")</x:f>
      </x:c>
      <x:c r="X632" s="137" t="n">
        <x:f>IF(V632&lt;&gt;"",V632,W632)</x:f>
        <x:v>73.67</x:v>
      </x:c>
      <x:c r="Y632" s="111" t="str">
        <x:v>공식 70% 평균백분위</x:v>
      </x:c>
      <x:c r="Z632" s="137" t="n">
        <x:f>'추천_테스트'!$B$8</x:f>
        <x:v>80</x:v>
      </x:c>
      <x:c r="AA632" s="137" t="n">
        <x:f>IF(X632="","",Z632-X632)</x:f>
        <x:v>6.329999999999998</x:v>
      </x:c>
      <x:c r="AB632" s="111" t="str">
        <x:f>IF(X632="","",IF(AA632&gt;='추천_테스트'!$B$10,"안정",IF(AA632&gt;='추천_테스트'!$B$11,"적정",IF(AA632&gt;='추천_테스트'!$B$12,"소신","상향"))))</x:f>
        <x:v>안정</x:v>
      </x:c>
      <x:c r="AC632" s="137"/>
      <x:c r="AD632" s="137"/>
      <x:c r="AE632" s="137"/>
      <x:c r="AF632" s="113" t="str">
        <x:v>v5 지방 사립대 확장: 공식 2025학년도 정시 70% cut 평균(백분위) 제공</x:v>
      </x:c>
      <x:c r="AG632" s="113" t="str">
        <x:v>https://www.adiga.kr/ucp/uvt/uni/univDetailSelection.do?menuId=PCUVTINF2000&amp;searchSyr=2026&amp;unvCd=0000151</x:v>
      </x:c>
    </x:row>
    <x:row r="633" ht="18" customHeight="1">
      <x:c r="A633" s="111" t="n">
        <x:v>2025</x:v>
      </x:c>
      <x:c r="B633" s="111" t="str">
        <x:v>경상북도</x:v>
      </x:c>
      <x:c r="C633" s="111" t="str">
        <x:v>사립</x:v>
      </x:c>
      <x:c r="D633" s="111" t="str">
        <x:v>영남대학교</x:v>
      </x:c>
      <x:c r="E633" s="111" t="str">
        <x:v>나</x:v>
      </x:c>
      <x:c r="F633" s="111" t="str">
        <x:v>수능(일반전형)</x:v>
      </x:c>
      <x:c r="G633" s="111" t="str">
        <x:v>경제금융학부</x:v>
      </x:c>
      <x:c r="H633" s="136"/>
      <x:c r="I633" s="136"/>
      <x:c r="J633" s="136" t="n">
        <x:v>27</x:v>
      </x:c>
      <x:c r="K633" s="137" t="n">
        <x:v>4.56</x:v>
      </x:c>
      <x:c r="L633" s="136" t="n">
        <x:v>27</x:v>
      </x:c>
      <x:c r="M633" s="137"/>
      <x:c r="N633" s="137" t="n">
        <x:v>578.4</x:v>
      </x:c>
      <x:c r="O633" s="137" t="n">
        <x:v>810</x:v>
      </x:c>
      <x:c r="P633" s="137"/>
      <x:c r="Q633" s="137"/>
      <x:c r="R633" s="137"/>
      <x:c r="S633" s="137"/>
      <x:c r="T633" s="136"/>
      <x:c r="U633" s="136"/>
      <x:c r="V633" s="137" t="n">
        <x:v>64.83</x:v>
      </x:c>
      <x:c r="W633" s="137" t="str">
        <x:f>IF(COUNT(P633:S633)&gt;=3,AVERAGE(P633:S633),"")</x:f>
      </x:c>
      <x:c r="X633" s="137" t="n">
        <x:f>IF(V633&lt;&gt;"",V633,W633)</x:f>
        <x:v>64.83</x:v>
      </x:c>
      <x:c r="Y633" s="111" t="str">
        <x:v>공식 70% 평균백분위</x:v>
      </x:c>
      <x:c r="Z633" s="137" t="n">
        <x:f>'추천_테스트'!$B$8</x:f>
        <x:v>80</x:v>
      </x:c>
      <x:c r="AA633" s="137" t="n">
        <x:f>IF(X633="","",Z633-X633)</x:f>
        <x:v>15.170000000000002</x:v>
      </x:c>
      <x:c r="AB633" s="111" t="str">
        <x:f>IF(X633="","",IF(AA633&gt;='추천_테스트'!$B$10,"안정",IF(AA633&gt;='추천_테스트'!$B$11,"적정",IF(AA633&gt;='추천_테스트'!$B$12,"소신","상향"))))</x:f>
        <x:v>안정</x:v>
      </x:c>
      <x:c r="AC633" s="137"/>
      <x:c r="AD633" s="137"/>
      <x:c r="AE633" s="137"/>
      <x:c r="AF633" s="113" t="str">
        <x:v>v5 지방 사립대 확장: 공식 2025학년도 정시 70% cut 평균(백분위) 제공</x:v>
      </x:c>
      <x:c r="AG633" s="113" t="str">
        <x:v>https://www.adiga.kr/ucp/uvt/uni/univDetailSelection.do?menuId=PCUVTINF2000&amp;searchSyr=2026&amp;unvCd=0000151</x:v>
      </x:c>
    </x:row>
    <x:row r="634" ht="18" customHeight="1">
      <x:c r="A634" s="111" t="n">
        <x:v>2025</x:v>
      </x:c>
      <x:c r="B634" s="111" t="str">
        <x:v>경상북도</x:v>
      </x:c>
      <x:c r="C634" s="111" t="str">
        <x:v>사립</x:v>
      </x:c>
      <x:c r="D634" s="111" t="str">
        <x:v>영남대학교</x:v>
      </x:c>
      <x:c r="E634" s="111" t="str">
        <x:v>나</x:v>
      </x:c>
      <x:c r="F634" s="111" t="str">
        <x:v>수능(일반전형)</x:v>
      </x:c>
      <x:c r="G634" s="111" t="str">
        <x:v>경영학과</x:v>
      </x:c>
      <x:c r="H634" s="136"/>
      <x:c r="I634" s="136"/>
      <x:c r="J634" s="136" t="n">
        <x:v>38</x:v>
      </x:c>
      <x:c r="K634" s="137" t="n">
        <x:v>4.53</x:v>
      </x:c>
      <x:c r="L634" s="136" t="n">
        <x:v>26</x:v>
      </x:c>
      <x:c r="M634" s="137"/>
      <x:c r="N634" s="137" t="n">
        <x:v>590.2</x:v>
      </x:c>
      <x:c r="O634" s="137" t="n">
        <x:v>810</x:v>
      </x:c>
      <x:c r="P634" s="137"/>
      <x:c r="Q634" s="137"/>
      <x:c r="R634" s="137"/>
      <x:c r="S634" s="137"/>
      <x:c r="T634" s="136"/>
      <x:c r="U634" s="136"/>
      <x:c r="V634" s="137" t="n">
        <x:v>68</x:v>
      </x:c>
      <x:c r="W634" s="137" t="str">
        <x:f>IF(COUNT(P634:S634)&gt;=3,AVERAGE(P634:S634),"")</x:f>
      </x:c>
      <x:c r="X634" s="137" t="n">
        <x:f>IF(V634&lt;&gt;"",V634,W634)</x:f>
        <x:v>68</x:v>
      </x:c>
      <x:c r="Y634" s="111" t="str">
        <x:v>공식 70% 평균백분위</x:v>
      </x:c>
      <x:c r="Z634" s="137" t="n">
        <x:f>'추천_테스트'!$B$8</x:f>
        <x:v>80</x:v>
      </x:c>
      <x:c r="AA634" s="137" t="n">
        <x:f>IF(X634="","",Z634-X634)</x:f>
        <x:v>12</x:v>
      </x:c>
      <x:c r="AB634" s="111" t="str">
        <x:f>IF(X634="","",IF(AA634&gt;='추천_테스트'!$B$10,"안정",IF(AA634&gt;='추천_테스트'!$B$11,"적정",IF(AA634&gt;='추천_테스트'!$B$12,"소신","상향"))))</x:f>
        <x:v>안정</x:v>
      </x:c>
      <x:c r="AC634" s="137"/>
      <x:c r="AD634" s="137"/>
      <x:c r="AE634" s="137"/>
      <x:c r="AF634" s="113" t="str">
        <x:v>v5 지방 사립대 확장: 공식 2025학년도 정시 70% cut 평균(백분위) 제공</x:v>
      </x:c>
      <x:c r="AG634" s="113" t="str">
        <x:v>https://www.adiga.kr/ucp/uvt/uni/univDetailSelection.do?menuId=PCUVTINF2000&amp;searchSyr=2026&amp;unvCd=0000151</x:v>
      </x:c>
    </x:row>
    <x:row r="635" ht="18" customHeight="1">
      <x:c r="A635" s="111" t="n">
        <x:v>2025</x:v>
      </x:c>
      <x:c r="B635" s="111" t="str">
        <x:v>경상북도</x:v>
      </x:c>
      <x:c r="C635" s="111" t="str">
        <x:v>사립</x:v>
      </x:c>
      <x:c r="D635" s="111" t="str">
        <x:v>영남대학교</x:v>
      </x:c>
      <x:c r="E635" s="111" t="str">
        <x:v>나</x:v>
      </x:c>
      <x:c r="F635" s="111" t="str">
        <x:v>수능(일반전형)</x:v>
      </x:c>
      <x:c r="G635" s="111" t="str">
        <x:v>무역학부</x:v>
      </x:c>
      <x:c r="H635" s="136"/>
      <x:c r="I635" s="136"/>
      <x:c r="J635" s="136" t="n">
        <x:v>21</x:v>
      </x:c>
      <x:c r="K635" s="137" t="n">
        <x:v>4.86</x:v>
      </x:c>
      <x:c r="L635" s="136" t="n">
        <x:v>10</x:v>
      </x:c>
      <x:c r="M635" s="137"/>
      <x:c r="N635" s="137" t="n">
        <x:v>550</x:v>
      </x:c>
      <x:c r="O635" s="137" t="n">
        <x:v>810</x:v>
      </x:c>
      <x:c r="P635" s="137"/>
      <x:c r="Q635" s="137"/>
      <x:c r="R635" s="137"/>
      <x:c r="S635" s="137"/>
      <x:c r="T635" s="136"/>
      <x:c r="U635" s="136"/>
      <x:c r="V635" s="137" t="n">
        <x:v>61.33</x:v>
      </x:c>
      <x:c r="W635" s="137" t="str">
        <x:f>IF(COUNT(P635:S635)&gt;=3,AVERAGE(P635:S635),"")</x:f>
      </x:c>
      <x:c r="X635" s="137" t="n">
        <x:f>IF(V635&lt;&gt;"",V635,W635)</x:f>
        <x:v>61.33</x:v>
      </x:c>
      <x:c r="Y635" s="111" t="str">
        <x:v>공식 70% 평균백분위</x:v>
      </x:c>
      <x:c r="Z635" s="137" t="n">
        <x:f>'추천_테스트'!$B$8</x:f>
        <x:v>80</x:v>
      </x:c>
      <x:c r="AA635" s="137" t="n">
        <x:f>IF(X635="","",Z635-X635)</x:f>
        <x:v>18.67</x:v>
      </x:c>
      <x:c r="AB635" s="111" t="str">
        <x:f>IF(X635="","",IF(AA635&gt;='추천_테스트'!$B$10,"안정",IF(AA635&gt;='추천_테스트'!$B$11,"적정",IF(AA635&gt;='추천_테스트'!$B$12,"소신","상향"))))</x:f>
        <x:v>안정</x:v>
      </x:c>
      <x:c r="AC635" s="137"/>
      <x:c r="AD635" s="137"/>
      <x:c r="AE635" s="137"/>
      <x:c r="AF635" s="113" t="str">
        <x:v>v5 지방 사립대 확장: 공식 2025학년도 정시 70% cut 평균(백분위) 제공</x:v>
      </x:c>
      <x:c r="AG635" s="113" t="str">
        <x:v>https://www.adiga.kr/ucp/uvt/uni/univDetailSelection.do?menuId=PCUVTINF2000&amp;searchSyr=2026&amp;unvCd=0000151</x:v>
      </x:c>
    </x:row>
    <x:row r="636" ht="18" customHeight="1">
      <x:c r="A636" s="111" t="n">
        <x:v>2025</x:v>
      </x:c>
      <x:c r="B636" s="111" t="str">
        <x:v>경상북도</x:v>
      </x:c>
      <x:c r="C636" s="111" t="str">
        <x:v>사립</x:v>
      </x:c>
      <x:c r="D636" s="111" t="str">
        <x:v>영남대학교</x:v>
      </x:c>
      <x:c r="E636" s="111" t="str">
        <x:v>나</x:v>
      </x:c>
      <x:c r="F636" s="111" t="str">
        <x:v>수능(일반전형)</x:v>
      </x:c>
      <x:c r="G636" s="111" t="str">
        <x:v>회계세무학과</x:v>
      </x:c>
      <x:c r="H636" s="136"/>
      <x:c r="I636" s="136"/>
      <x:c r="J636" s="136" t="n">
        <x:v>16</x:v>
      </x:c>
      <x:c r="K636" s="137" t="n">
        <x:v>4.13</x:v>
      </x:c>
      <x:c r="L636" s="136" t="n">
        <x:v>10</x:v>
      </x:c>
      <x:c r="M636" s="137"/>
      <x:c r="N636" s="137" t="n">
        <x:v>569.4</x:v>
      </x:c>
      <x:c r="O636" s="137" t="n">
        <x:v>810</x:v>
      </x:c>
      <x:c r="P636" s="137"/>
      <x:c r="Q636" s="137"/>
      <x:c r="R636" s="137"/>
      <x:c r="S636" s="137"/>
      <x:c r="T636" s="136"/>
      <x:c r="U636" s="136"/>
      <x:c r="V636" s="137" t="n">
        <x:v>64.33</x:v>
      </x:c>
      <x:c r="W636" s="137" t="str">
        <x:f>IF(COUNT(P636:S636)&gt;=3,AVERAGE(P636:S636),"")</x:f>
      </x:c>
      <x:c r="X636" s="137" t="n">
        <x:f>IF(V636&lt;&gt;"",V636,W636)</x:f>
        <x:v>64.33</x:v>
      </x:c>
      <x:c r="Y636" s="111" t="str">
        <x:v>공식 70% 평균백분위</x:v>
      </x:c>
      <x:c r="Z636" s="137" t="n">
        <x:f>'추천_테스트'!$B$8</x:f>
        <x:v>80</x:v>
      </x:c>
      <x:c r="AA636" s="137" t="n">
        <x:f>IF(X636="","",Z636-X636)</x:f>
        <x:v>15.670000000000002</x:v>
      </x:c>
      <x:c r="AB636" s="111" t="str">
        <x:f>IF(X636="","",IF(AA636&gt;='추천_테스트'!$B$10,"안정",IF(AA636&gt;='추천_테스트'!$B$11,"적정",IF(AA636&gt;='추천_테스트'!$B$12,"소신","상향"))))</x:f>
        <x:v>안정</x:v>
      </x:c>
      <x:c r="AC636" s="137"/>
      <x:c r="AD636" s="137"/>
      <x:c r="AE636" s="137"/>
      <x:c r="AF636" s="113" t="str">
        <x:v>v5 지방 사립대 확장: 공식 2025학년도 정시 70% cut 평균(백분위) 제공</x:v>
      </x:c>
      <x:c r="AG636" s="113" t="str">
        <x:v>https://www.adiga.kr/ucp/uvt/uni/univDetailSelection.do?menuId=PCUVTINF2000&amp;searchSyr=2026&amp;unvCd=0000151</x:v>
      </x:c>
    </x:row>
    <x:row r="637" ht="18" customHeight="1">
      <x:c r="A637" s="111" t="n">
        <x:v>2025</x:v>
      </x:c>
      <x:c r="B637" s="111" t="str">
        <x:v>경상북도</x:v>
      </x:c>
      <x:c r="C637" s="111" t="str">
        <x:v>사립</x:v>
      </x:c>
      <x:c r="D637" s="111" t="str">
        <x:v>영남대학교</x:v>
      </x:c>
      <x:c r="E637" s="111" t="str">
        <x:v>나</x:v>
      </x:c>
      <x:c r="F637" s="111" t="str">
        <x:v>수능(일반전형)</x:v>
      </x:c>
      <x:c r="G637" s="111" t="str">
        <x:v>의예과</x:v>
      </x:c>
      <x:c r="H637" s="136"/>
      <x:c r="I637" s="136"/>
      <x:c r="J637" s="136" t="n">
        <x:v>19</x:v>
      </x:c>
      <x:c r="K637" s="137" t="n">
        <x:v>5.47</x:v>
      </x:c>
      <x:c r="L637" s="136" t="n">
        <x:v>13</x:v>
      </x:c>
      <x:c r="M637" s="137"/>
      <x:c r="N637" s="137" t="n">
        <x:v>792.4</x:v>
      </x:c>
      <x:c r="O637" s="137" t="n">
        <x:v>810</x:v>
      </x:c>
      <x:c r="P637" s="137"/>
      <x:c r="Q637" s="137"/>
      <x:c r="R637" s="137"/>
      <x:c r="S637" s="137"/>
      <x:c r="T637" s="136"/>
      <x:c r="U637" s="136"/>
      <x:c r="V637" s="137" t="n">
        <x:v>98</x:v>
      </x:c>
      <x:c r="W637" s="137" t="str">
        <x:f>IF(COUNT(P637:S637)&gt;=3,AVERAGE(P637:S637),"")</x:f>
      </x:c>
      <x:c r="X637" s="137" t="n">
        <x:f>IF(V637&lt;&gt;"",V637,W637)</x:f>
        <x:v>98</x:v>
      </x:c>
      <x:c r="Y637" s="111" t="str">
        <x:v>공식 70% 평균백분위</x:v>
      </x:c>
      <x:c r="Z637" s="137" t="n">
        <x:f>'추천_테스트'!$B$8</x:f>
        <x:v>80</x:v>
      </x:c>
      <x:c r="AA637" s="137" t="n">
        <x:f>IF(X637="","",Z637-X637)</x:f>
        <x:v>-18</x:v>
      </x:c>
      <x:c r="AB637" s="111" t="str">
        <x:f>IF(X637="","",IF(AA637&gt;='추천_테스트'!$B$10,"안정",IF(AA637&gt;='추천_테스트'!$B$11,"적정",IF(AA637&gt;='추천_테스트'!$B$12,"소신","상향"))))</x:f>
        <x:v>상향</x:v>
      </x:c>
      <x:c r="AC637" s="137"/>
      <x:c r="AD637" s="137"/>
      <x:c r="AE637" s="137"/>
      <x:c r="AF637" s="113" t="str">
        <x:v>v5 지방 사립대 확장: 공식 2025학년도 정시 70% cut 평균(백분위) 제공</x:v>
      </x:c>
      <x:c r="AG637" s="113" t="str">
        <x:v>https://www.adiga.kr/ucp/uvt/uni/univDetailSelection.do?menuId=PCUVTINF2000&amp;searchSyr=2026&amp;unvCd=0000151</x:v>
      </x:c>
    </x:row>
    <x:row r="638" ht="18" customHeight="1">
      <x:c r="A638" s="111" t="n">
        <x:v>2025</x:v>
      </x:c>
      <x:c r="B638" s="111" t="str">
        <x:v>경상북도</x:v>
      </x:c>
      <x:c r="C638" s="111" t="str">
        <x:v>사립</x:v>
      </x:c>
      <x:c r="D638" s="111" t="str">
        <x:v>영남대학교</x:v>
      </x:c>
      <x:c r="E638" s="111" t="str">
        <x:v>나</x:v>
      </x:c>
      <x:c r="F638" s="111" t="str">
        <x:v>수능(일반전형)</x:v>
      </x:c>
      <x:c r="G638" s="111" t="str">
        <x:v>약학부</x:v>
      </x:c>
      <x:c r="H638" s="136"/>
      <x:c r="I638" s="136"/>
      <x:c r="J638" s="136" t="n">
        <x:v>16</x:v>
      </x:c>
      <x:c r="K638" s="137" t="n">
        <x:v>7.25</x:v>
      </x:c>
      <x:c r="L638" s="136" t="n">
        <x:v>16</x:v>
      </x:c>
      <x:c r="M638" s="137"/>
      <x:c r="N638" s="137" t="n">
        <x:v>781.2</x:v>
      </x:c>
      <x:c r="O638" s="137" t="n">
        <x:v>810</x:v>
      </x:c>
      <x:c r="P638" s="137"/>
      <x:c r="Q638" s="137"/>
      <x:c r="R638" s="137"/>
      <x:c r="S638" s="137"/>
      <x:c r="T638" s="136"/>
      <x:c r="U638" s="136"/>
      <x:c r="V638" s="137" t="n">
        <x:v>96.5</x:v>
      </x:c>
      <x:c r="W638" s="137" t="str">
        <x:f>IF(COUNT(P638:S638)&gt;=3,AVERAGE(P638:S638),"")</x:f>
      </x:c>
      <x:c r="X638" s="137" t="n">
        <x:f>IF(V638&lt;&gt;"",V638,W638)</x:f>
        <x:v>96.5</x:v>
      </x:c>
      <x:c r="Y638" s="111" t="str">
        <x:v>공식 70% 평균백분위</x:v>
      </x:c>
      <x:c r="Z638" s="137" t="n">
        <x:f>'추천_테스트'!$B$8</x:f>
        <x:v>80</x:v>
      </x:c>
      <x:c r="AA638" s="137" t="n">
        <x:f>IF(X638="","",Z638-X638)</x:f>
        <x:v>-16.5</x:v>
      </x:c>
      <x:c r="AB638" s="111" t="str">
        <x:f>IF(X638="","",IF(AA638&gt;='추천_테스트'!$B$10,"안정",IF(AA638&gt;='추천_테스트'!$B$11,"적정",IF(AA638&gt;='추천_테스트'!$B$12,"소신","상향"))))</x:f>
        <x:v>상향</x:v>
      </x:c>
      <x:c r="AC638" s="137"/>
      <x:c r="AD638" s="137"/>
      <x:c r="AE638" s="137"/>
      <x:c r="AF638" s="113" t="str">
        <x:v>v5 지방 사립대 확장: 공식 2025학년도 정시 70% cut 평균(백분위) 제공</x:v>
      </x:c>
      <x:c r="AG638" s="113" t="str">
        <x:v>https://www.adiga.kr/ucp/uvt/uni/univDetailSelection.do?menuId=PCUVTINF2000&amp;searchSyr=2026&amp;unvCd=0000151</x:v>
      </x:c>
    </x:row>
    <x:row r="639" ht="18" customHeight="1">
      <x:c r="A639" s="111" t="n">
        <x:v>2025</x:v>
      </x:c>
      <x:c r="B639" s="111" t="str">
        <x:v>경상북도</x:v>
      </x:c>
      <x:c r="C639" s="111" t="str">
        <x:v>사립</x:v>
      </x:c>
      <x:c r="D639" s="111" t="str">
        <x:v>영남대학교</x:v>
      </x:c>
      <x:c r="E639" s="111" t="str">
        <x:v>다</x:v>
      </x:c>
      <x:c r="F639" s="111" t="str">
        <x:v>수능(일반전형)</x:v>
      </x:c>
      <x:c r="G639" s="111" t="str">
        <x:v>건설시스템공학과</x:v>
      </x:c>
      <x:c r="H639" s="136"/>
      <x:c r="I639" s="136"/>
      <x:c r="J639" s="136" t="n">
        <x:v>12</x:v>
      </x:c>
      <x:c r="K639" s="137" t="n">
        <x:v>3.92</x:v>
      </x:c>
      <x:c r="L639" s="136" t="n">
        <x:v>6</x:v>
      </x:c>
      <x:c r="M639" s="137"/>
      <x:c r="N639" s="137" t="n">
        <x:v>591.86</x:v>
      </x:c>
      <x:c r="O639" s="137" t="n">
        <x:v>832</x:v>
      </x:c>
      <x:c r="P639" s="137"/>
      <x:c r="Q639" s="137"/>
      <x:c r="R639" s="137"/>
      <x:c r="S639" s="137"/>
      <x:c r="T639" s="136"/>
      <x:c r="U639" s="136"/>
      <x:c r="V639" s="137" t="n">
        <x:v>66.67</x:v>
      </x:c>
      <x:c r="W639" s="137" t="str">
        <x:f>IF(COUNT(P639:S639)&gt;=3,AVERAGE(P639:S639),"")</x:f>
      </x:c>
      <x:c r="X639" s="137" t="n">
        <x:f>IF(V639&lt;&gt;"",V639,W639)</x:f>
        <x:v>66.67</x:v>
      </x:c>
      <x:c r="Y639" s="111" t="str">
        <x:v>공식 70% 평균백분위</x:v>
      </x:c>
      <x:c r="Z639" s="137" t="n">
        <x:f>'추천_테스트'!$B$8</x:f>
        <x:v>80</x:v>
      </x:c>
      <x:c r="AA639" s="137" t="n">
        <x:f>IF(X639="","",Z639-X639)</x:f>
        <x:v>13.329999999999998</x:v>
      </x:c>
      <x:c r="AB639" s="111" t="str">
        <x:f>IF(X639="","",IF(AA639&gt;='추천_테스트'!$B$10,"안정",IF(AA639&gt;='추천_테스트'!$B$11,"적정",IF(AA639&gt;='추천_테스트'!$B$12,"소신","상향"))))</x:f>
        <x:v>안정</x:v>
      </x:c>
      <x:c r="AC639" s="137"/>
      <x:c r="AD639" s="137"/>
      <x:c r="AE639" s="137"/>
      <x:c r="AF639" s="113" t="str">
        <x:v>v5 지방 사립대 확장: 공식 2025학년도 정시 70% cut 평균(백분위) 제공</x:v>
      </x:c>
      <x:c r="AG639" s="113" t="str">
        <x:v>https://www.adiga.kr/ucp/uvt/uni/univDetailSelection.do?menuId=PCUVTINF2000&amp;searchSyr=2026&amp;unvCd=0000151</x:v>
      </x:c>
    </x:row>
    <x:row r="640" ht="18" customHeight="1">
      <x:c r="A640" s="111" t="n">
        <x:v>2025</x:v>
      </x:c>
      <x:c r="B640" s="111" t="str">
        <x:v>경상북도</x:v>
      </x:c>
      <x:c r="C640" s="111" t="str">
        <x:v>사립</x:v>
      </x:c>
      <x:c r="D640" s="111" t="str">
        <x:v>영남대학교</x:v>
      </x:c>
      <x:c r="E640" s="111" t="str">
        <x:v>다</x:v>
      </x:c>
      <x:c r="F640" s="111" t="str">
        <x:v>수능(일반전형)</x:v>
      </x:c>
      <x:c r="G640" s="111" t="str">
        <x:v>환경공학과</x:v>
      </x:c>
      <x:c r="H640" s="136"/>
      <x:c r="I640" s="136"/>
      <x:c r="J640" s="136" t="n">
        <x:v>7</x:v>
      </x:c>
      <x:c r="K640" s="137" t="n">
        <x:v>7.14</x:v>
      </x:c>
      <x:c r="L640" s="136" t="n">
        <x:v>10</x:v>
      </x:c>
      <x:c r="M640" s="137"/>
      <x:c r="N640" s="137" t="n">
        <x:v>540.96</x:v>
      </x:c>
      <x:c r="O640" s="137" t="n">
        <x:v>832</x:v>
      </x:c>
      <x:c r="P640" s="137"/>
      <x:c r="Q640" s="137"/>
      <x:c r="R640" s="137"/>
      <x:c r="S640" s="137"/>
      <x:c r="T640" s="136"/>
      <x:c r="U640" s="136"/>
      <x:c r="V640" s="137" t="n">
        <x:v>58.67</x:v>
      </x:c>
      <x:c r="W640" s="137" t="str">
        <x:f>IF(COUNT(P640:S640)&gt;=3,AVERAGE(P640:S640),"")</x:f>
      </x:c>
      <x:c r="X640" s="137" t="n">
        <x:f>IF(V640&lt;&gt;"",V640,W640)</x:f>
        <x:v>58.67</x:v>
      </x:c>
      <x:c r="Y640" s="111" t="str">
        <x:v>공식 70% 평균백분위</x:v>
      </x:c>
      <x:c r="Z640" s="137" t="n">
        <x:f>'추천_테스트'!$B$8</x:f>
        <x:v>80</x:v>
      </x:c>
      <x:c r="AA640" s="137" t="n">
        <x:f>IF(X640="","",Z640-X640)</x:f>
        <x:v>21.33</x:v>
      </x:c>
      <x:c r="AB640" s="111" t="str">
        <x:f>IF(X640="","",IF(AA640&gt;='추천_테스트'!$B$10,"안정",IF(AA640&gt;='추천_테스트'!$B$11,"적정",IF(AA640&gt;='추천_테스트'!$B$12,"소신","상향"))))</x:f>
        <x:v>안정</x:v>
      </x:c>
      <x:c r="AC640" s="137"/>
      <x:c r="AD640" s="137"/>
      <x:c r="AE640" s="137"/>
      <x:c r="AF640" s="113" t="str">
        <x:v>v5 지방 사립대 확장: 공식 2025학년도 정시 70% cut 평균(백분위) 제공</x:v>
      </x:c>
      <x:c r="AG640" s="113" t="str">
        <x:v>https://www.adiga.kr/ucp/uvt/uni/univDetailSelection.do?menuId=PCUVTINF2000&amp;searchSyr=2026&amp;unvCd=0000151</x:v>
      </x:c>
    </x:row>
    <x:row r="641" ht="18" customHeight="1">
      <x:c r="A641" s="111" t="n">
        <x:v>2025</x:v>
      </x:c>
      <x:c r="B641" s="111" t="str">
        <x:v>경상북도</x:v>
      </x:c>
      <x:c r="C641" s="111" t="str">
        <x:v>사립</x:v>
      </x:c>
      <x:c r="D641" s="111" t="str">
        <x:v>영남대학교</x:v>
      </x:c>
      <x:c r="E641" s="111" t="str">
        <x:v>다</x:v>
      </x:c>
      <x:c r="F641" s="111" t="str">
        <x:v>수능(일반전형)</x:v>
      </x:c>
      <x:c r="G641" s="111" t="str">
        <x:v>도시공학과</x:v>
      </x:c>
      <x:c r="H641" s="136"/>
      <x:c r="I641" s="136"/>
      <x:c r="J641" s="136" t="n">
        <x:v>7</x:v>
      </x:c>
      <x:c r="K641" s="137" t="n">
        <x:v>5.14</x:v>
      </x:c>
      <x:c r="L641" s="136" t="n">
        <x:v>5</x:v>
      </x:c>
      <x:c r="M641" s="137"/>
      <x:c r="N641" s="137" t="n">
        <x:v>577.6</x:v>
      </x:c>
      <x:c r="O641" s="137" t="n">
        <x:v>810</x:v>
      </x:c>
      <x:c r="P641" s="137"/>
      <x:c r="Q641" s="137"/>
      <x:c r="R641" s="137"/>
      <x:c r="S641" s="137"/>
      <x:c r="T641" s="136"/>
      <x:c r="U641" s="136"/>
      <x:c r="V641" s="137" t="n">
        <x:v>65.17</x:v>
      </x:c>
      <x:c r="W641" s="137" t="str">
        <x:f>IF(COUNT(P641:S641)&gt;=3,AVERAGE(P641:S641),"")</x:f>
      </x:c>
      <x:c r="X641" s="137" t="n">
        <x:f>IF(V641&lt;&gt;"",V641,W641)</x:f>
        <x:v>65.17</x:v>
      </x:c>
      <x:c r="Y641" s="111" t="str">
        <x:v>공식 70% 평균백분위</x:v>
      </x:c>
      <x:c r="Z641" s="137" t="n">
        <x:f>'추천_테스트'!$B$8</x:f>
        <x:v>80</x:v>
      </x:c>
      <x:c r="AA641" s="137" t="n">
        <x:f>IF(X641="","",Z641-X641)</x:f>
        <x:v>14.829999999999998</x:v>
      </x:c>
      <x:c r="AB641" s="111" t="str">
        <x:f>IF(X641="","",IF(AA641&gt;='추천_테스트'!$B$10,"안정",IF(AA641&gt;='추천_테스트'!$B$11,"적정",IF(AA641&gt;='추천_테스트'!$B$12,"소신","상향"))))</x:f>
        <x:v>안정</x:v>
      </x:c>
      <x:c r="AC641" s="137"/>
      <x:c r="AD641" s="137"/>
      <x:c r="AE641" s="137"/>
      <x:c r="AF641" s="113" t="str">
        <x:v>v5 지방 사립대 확장: 공식 2025학년도 정시 70% cut 평균(백분위) 제공</x:v>
      </x:c>
      <x:c r="AG641" s="113" t="str">
        <x:v>https://www.adiga.kr/ucp/uvt/uni/univDetailSelection.do?menuId=PCUVTINF2000&amp;searchSyr=2026&amp;unvCd=0000151</x:v>
      </x:c>
    </x:row>
    <x:row r="642" ht="18" customHeight="1">
      <x:c r="A642" s="111" t="n">
        <x:v>2025</x:v>
      </x:c>
      <x:c r="B642" s="111" t="str">
        <x:v>경상북도</x:v>
      </x:c>
      <x:c r="C642" s="111" t="str">
        <x:v>사립</x:v>
      </x:c>
      <x:c r="D642" s="111" t="str">
        <x:v>영남대학교</x:v>
      </x:c>
      <x:c r="E642" s="111" t="str">
        <x:v>다</x:v>
      </x:c>
      <x:c r="F642" s="111" t="str">
        <x:v>수능(일반전형)</x:v>
      </x:c>
      <x:c r="G642" s="111" t="str">
        <x:v>건축학부</x:v>
      </x:c>
      <x:c r="H642" s="136"/>
      <x:c r="I642" s="136"/>
      <x:c r="J642" s="136" t="n">
        <x:v>25</x:v>
      </x:c>
      <x:c r="K642" s="137" t="n">
        <x:v>3.72</x:v>
      </x:c>
      <x:c r="L642" s="136" t="n">
        <x:v>28</x:v>
      </x:c>
      <x:c r="M642" s="137"/>
      <x:c r="N642" s="137" t="n">
        <x:v>607.6</x:v>
      </x:c>
      <x:c r="O642" s="137" t="n">
        <x:v>832</x:v>
      </x:c>
      <x:c r="P642" s="137"/>
      <x:c r="Q642" s="137"/>
      <x:c r="R642" s="137"/>
      <x:c r="S642" s="137"/>
      <x:c r="T642" s="136"/>
      <x:c r="U642" s="136"/>
      <x:c r="V642" s="137" t="n">
        <x:v>68</x:v>
      </x:c>
      <x:c r="W642" s="137" t="str">
        <x:f>IF(COUNT(P642:S642)&gt;=3,AVERAGE(P642:S642),"")</x:f>
      </x:c>
      <x:c r="X642" s="137" t="n">
        <x:f>IF(V642&lt;&gt;"",V642,W642)</x:f>
        <x:v>68</x:v>
      </x:c>
      <x:c r="Y642" s="111" t="str">
        <x:v>공식 70% 평균백분위</x:v>
      </x:c>
      <x:c r="Z642" s="137" t="n">
        <x:f>'추천_테스트'!$B$8</x:f>
        <x:v>80</x:v>
      </x:c>
      <x:c r="AA642" s="137" t="n">
        <x:f>IF(X642="","",Z642-X642)</x:f>
        <x:v>12</x:v>
      </x:c>
      <x:c r="AB642" s="111" t="str">
        <x:f>IF(X642="","",IF(AA642&gt;='추천_테스트'!$B$10,"안정",IF(AA642&gt;='추천_테스트'!$B$11,"적정",IF(AA642&gt;='추천_테스트'!$B$12,"소신","상향"))))</x:f>
        <x:v>안정</x:v>
      </x:c>
      <x:c r="AC642" s="137"/>
      <x:c r="AD642" s="137"/>
      <x:c r="AE642" s="137"/>
      <x:c r="AF642" s="113" t="str">
        <x:v>v5 지방 사립대 확장: 공식 2025학년도 정시 70% cut 평균(백분위) 제공</x:v>
      </x:c>
      <x:c r="AG642" s="113" t="str">
        <x:v>https://www.adiga.kr/ucp/uvt/uni/univDetailSelection.do?menuId=PCUVTINF2000&amp;searchSyr=2026&amp;unvCd=0000151</x:v>
      </x:c>
    </x:row>
    <x:row r="643" ht="18" customHeight="1">
      <x:c r="A643" s="111" t="n">
        <x:v>2025</x:v>
      </x:c>
      <x:c r="B643" s="111" t="str">
        <x:v>경상북도</x:v>
      </x:c>
      <x:c r="C643" s="111" t="str">
        <x:v>사립</x:v>
      </x:c>
      <x:c r="D643" s="111" t="str">
        <x:v>영남대학교</x:v>
      </x:c>
      <x:c r="E643" s="111" t="str">
        <x:v>다</x:v>
      </x:c>
      <x:c r="F643" s="111" t="str">
        <x:v>수능(일반전형)</x:v>
      </x:c>
      <x:c r="G643" s="111" t="str">
        <x:v>기계공학부</x:v>
      </x:c>
      <x:c r="H643" s="136"/>
      <x:c r="I643" s="136"/>
      <x:c r="J643" s="136" t="n">
        <x:v>61</x:v>
      </x:c>
      <x:c r="K643" s="137" t="n">
        <x:v>3.8</x:v>
      </x:c>
      <x:c r="L643" s="136" t="n">
        <x:v>62</x:v>
      </x:c>
      <x:c r="M643" s="137"/>
      <x:c r="N643" s="137" t="n">
        <x:v>605.67</x:v>
      </x:c>
      <x:c r="O643" s="137" t="n">
        <x:v>832</x:v>
      </x:c>
      <x:c r="P643" s="137"/>
      <x:c r="Q643" s="137"/>
      <x:c r="R643" s="137"/>
      <x:c r="S643" s="137"/>
      <x:c r="T643" s="136"/>
      <x:c r="U643" s="136"/>
      <x:c r="V643" s="137" t="n">
        <x:v>67.83</x:v>
      </x:c>
      <x:c r="W643" s="137" t="str">
        <x:f>IF(COUNT(P643:S643)&gt;=3,AVERAGE(P643:S643),"")</x:f>
      </x:c>
      <x:c r="X643" s="137" t="n">
        <x:f>IF(V643&lt;&gt;"",V643,W643)</x:f>
        <x:v>67.83</x:v>
      </x:c>
      <x:c r="Y643" s="111" t="str">
        <x:v>공식 70% 평균백분위</x:v>
      </x:c>
      <x:c r="Z643" s="137" t="n">
        <x:f>'추천_테스트'!$B$8</x:f>
        <x:v>80</x:v>
      </x:c>
      <x:c r="AA643" s="137" t="n">
        <x:f>IF(X643="","",Z643-X643)</x:f>
        <x:v>12.170000000000002</x:v>
      </x:c>
      <x:c r="AB643" s="111" t="str">
        <x:f>IF(X643="","",IF(AA643&gt;='추천_테스트'!$B$10,"안정",IF(AA643&gt;='추천_테스트'!$B$11,"적정",IF(AA643&gt;='추천_테스트'!$B$12,"소신","상향"))))</x:f>
        <x:v>안정</x:v>
      </x:c>
      <x:c r="AC643" s="137"/>
      <x:c r="AD643" s="137"/>
      <x:c r="AE643" s="137"/>
      <x:c r="AF643" s="113" t="str">
        <x:v>v5 지방 사립대 확장: 공식 2025학년도 정시 70% cut 평균(백분위) 제공</x:v>
      </x:c>
      <x:c r="AG643" s="113" t="str">
        <x:v>https://www.adiga.kr/ucp/uvt/uni/univDetailSelection.do?menuId=PCUVTINF2000&amp;searchSyr=2026&amp;unvCd=0000151</x:v>
      </x:c>
    </x:row>
    <x:row r="644" ht="18" customHeight="1">
      <x:c r="A644" s="111" t="n">
        <x:v>2025</x:v>
      </x:c>
      <x:c r="B644" s="111" t="str">
        <x:v>경상북도</x:v>
      </x:c>
      <x:c r="C644" s="111" t="str">
        <x:v>사립</x:v>
      </x:c>
      <x:c r="D644" s="111" t="str">
        <x:v>영남대학교</x:v>
      </x:c>
      <x:c r="E644" s="111" t="str">
        <x:v>다</x:v>
      </x:c>
      <x:c r="F644" s="111" t="str">
        <x:v>수능(일반전형)</x:v>
      </x:c>
      <x:c r="G644" s="111" t="str">
        <x:v>신소재공학부</x:v>
      </x:c>
      <x:c r="H644" s="136"/>
      <x:c r="I644" s="136"/>
      <x:c r="J644" s="136" t="n">
        <x:v>26</x:v>
      </x:c>
      <x:c r="K644" s="137" t="n">
        <x:v>4.04</x:v>
      </x:c>
      <x:c r="L644" s="136" t="n">
        <x:v>21</x:v>
      </x:c>
      <x:c r="M644" s="137"/>
      <x:c r="N644" s="137" t="n">
        <x:v>591.32</x:v>
      </x:c>
      <x:c r="O644" s="137" t="n">
        <x:v>832</x:v>
      </x:c>
      <x:c r="P644" s="137"/>
      <x:c r="Q644" s="137"/>
      <x:c r="R644" s="137"/>
      <x:c r="S644" s="137"/>
      <x:c r="T644" s="136"/>
      <x:c r="U644" s="136"/>
      <x:c r="V644" s="137" t="n">
        <x:v>65.67</x:v>
      </x:c>
      <x:c r="W644" s="137" t="str">
        <x:f>IF(COUNT(P644:S644)&gt;=3,AVERAGE(P644:S644),"")</x:f>
      </x:c>
      <x:c r="X644" s="137" t="n">
        <x:f>IF(V644&lt;&gt;"",V644,W644)</x:f>
        <x:v>65.67</x:v>
      </x:c>
      <x:c r="Y644" s="111" t="str">
        <x:v>공식 70% 평균백분위</x:v>
      </x:c>
      <x:c r="Z644" s="137" t="n">
        <x:f>'추천_테스트'!$B$8</x:f>
        <x:v>80</x:v>
      </x:c>
      <x:c r="AA644" s="137" t="n">
        <x:f>IF(X644="","",Z644-X644)</x:f>
        <x:v>14.329999999999998</x:v>
      </x:c>
      <x:c r="AB644" s="111" t="str">
        <x:f>IF(X644="","",IF(AA644&gt;='추천_테스트'!$B$10,"안정",IF(AA644&gt;='추천_테스트'!$B$11,"적정",IF(AA644&gt;='추천_테스트'!$B$12,"소신","상향"))))</x:f>
        <x:v>안정</x:v>
      </x:c>
      <x:c r="AC644" s="137"/>
      <x:c r="AD644" s="137"/>
      <x:c r="AE644" s="137"/>
      <x:c r="AF644" s="113" t="str">
        <x:v>v5 지방 사립대 확장: 공식 2025학년도 정시 70% cut 평균(백분위) 제공</x:v>
      </x:c>
      <x:c r="AG644" s="113" t="str">
        <x:v>https://www.adiga.kr/ucp/uvt/uni/univDetailSelection.do?menuId=PCUVTINF2000&amp;searchSyr=2026&amp;unvCd=0000151</x:v>
      </x:c>
    </x:row>
    <x:row r="645" ht="18" customHeight="1">
      <x:c r="A645" s="111" t="n">
        <x:v>2025</x:v>
      </x:c>
      <x:c r="B645" s="111" t="str">
        <x:v>경상북도</x:v>
      </x:c>
      <x:c r="C645" s="111" t="str">
        <x:v>사립</x:v>
      </x:c>
      <x:c r="D645" s="111" t="str">
        <x:v>영남대학교</x:v>
      </x:c>
      <x:c r="E645" s="111" t="str">
        <x:v>다</x:v>
      </x:c>
      <x:c r="F645" s="111" t="str">
        <x:v>수능(일반전형)</x:v>
      </x:c>
      <x:c r="G645" s="111" t="str">
        <x:v>전기공학과</x:v>
      </x:c>
      <x:c r="H645" s="136"/>
      <x:c r="I645" s="136"/>
      <x:c r="J645" s="136" t="n">
        <x:v>14</x:v>
      </x:c>
      <x:c r="K645" s="137" t="n">
        <x:v>5.07</x:v>
      </x:c>
      <x:c r="L645" s="136" t="n">
        <x:v>13</x:v>
      </x:c>
      <x:c r="M645" s="137"/>
      <x:c r="N645" s="137" t="n">
        <x:v>629.37</x:v>
      </x:c>
      <x:c r="O645" s="137" t="n">
        <x:v>832</x:v>
      </x:c>
      <x:c r="P645" s="137"/>
      <x:c r="Q645" s="137"/>
      <x:c r="R645" s="137"/>
      <x:c r="S645" s="137"/>
      <x:c r="T645" s="136"/>
      <x:c r="U645" s="136"/>
      <x:c r="V645" s="137" t="n">
        <x:v>71.83</x:v>
      </x:c>
      <x:c r="W645" s="137" t="str">
        <x:f>IF(COUNT(P645:S645)&gt;=3,AVERAGE(P645:S645),"")</x:f>
      </x:c>
      <x:c r="X645" s="137" t="n">
        <x:f>IF(V645&lt;&gt;"",V645,W645)</x:f>
        <x:v>71.83</x:v>
      </x:c>
      <x:c r="Y645" s="111" t="str">
        <x:v>공식 70% 평균백분위</x:v>
      </x:c>
      <x:c r="Z645" s="137" t="n">
        <x:f>'추천_테스트'!$B$8</x:f>
        <x:v>80</x:v>
      </x:c>
      <x:c r="AA645" s="137" t="n">
        <x:f>IF(X645="","",Z645-X645)</x:f>
        <x:v>8.170000000000002</x:v>
      </x:c>
      <x:c r="AB645" s="111" t="str">
        <x:f>IF(X645="","",IF(AA645&gt;='추천_테스트'!$B$10,"안정",IF(AA645&gt;='추천_테스트'!$B$11,"적정",IF(AA645&gt;='추천_테스트'!$B$12,"소신","상향"))))</x:f>
        <x:v>안정</x:v>
      </x:c>
      <x:c r="AC645" s="137"/>
      <x:c r="AD645" s="137"/>
      <x:c r="AE645" s="137"/>
      <x:c r="AF645" s="113" t="str">
        <x:v>v5 지방 사립대 확장: 공식 2025학년도 정시 70% cut 평균(백분위) 제공</x:v>
      </x:c>
      <x:c r="AG645" s="113" t="str">
        <x:v>https://www.adiga.kr/ucp/uvt/uni/univDetailSelection.do?menuId=PCUVTINF2000&amp;searchSyr=2026&amp;unvCd=0000151</x:v>
      </x:c>
    </x:row>
    <x:row r="646" ht="18" customHeight="1">
      <x:c r="A646" s="111" t="n">
        <x:v>2025</x:v>
      </x:c>
      <x:c r="B646" s="111" t="str">
        <x:v>경상북도</x:v>
      </x:c>
      <x:c r="C646" s="111" t="str">
        <x:v>사립</x:v>
      </x:c>
      <x:c r="D646" s="111" t="str">
        <x:v>영남대학교</x:v>
      </x:c>
      <x:c r="E646" s="111" t="str">
        <x:v>다</x:v>
      </x:c>
      <x:c r="F646" s="111" t="str">
        <x:v>수능(일반전형)</x:v>
      </x:c>
      <x:c r="G646" s="111" t="str">
        <x:v>화학공학부</x:v>
      </x:c>
      <x:c r="H646" s="136"/>
      <x:c r="I646" s="136"/>
      <x:c r="J646" s="136" t="n">
        <x:v>41</x:v>
      </x:c>
      <x:c r="K646" s="137" t="n">
        <x:v>3.98</x:v>
      </x:c>
      <x:c r="L646" s="136" t="n">
        <x:v>48</x:v>
      </x:c>
      <x:c r="M646" s="137"/>
      <x:c r="N646" s="137" t="n">
        <x:v>591.14</x:v>
      </x:c>
      <x:c r="O646" s="137" t="n">
        <x:v>832</x:v>
      </x:c>
      <x:c r="P646" s="137"/>
      <x:c r="Q646" s="137"/>
      <x:c r="R646" s="137"/>
      <x:c r="S646" s="137"/>
      <x:c r="T646" s="136"/>
      <x:c r="U646" s="136"/>
      <x:c r="V646" s="137" t="n">
        <x:v>65.83</x:v>
      </x:c>
      <x:c r="W646" s="137" t="str">
        <x:f>IF(COUNT(P646:S646)&gt;=3,AVERAGE(P646:S646),"")</x:f>
      </x:c>
      <x:c r="X646" s="137" t="n">
        <x:f>IF(V646&lt;&gt;"",V646,W646)</x:f>
        <x:v>65.83</x:v>
      </x:c>
      <x:c r="Y646" s="111" t="str">
        <x:v>공식 70% 평균백분위</x:v>
      </x:c>
      <x:c r="Z646" s="137" t="n">
        <x:f>'추천_테스트'!$B$8</x:f>
        <x:v>80</x:v>
      </x:c>
      <x:c r="AA646" s="137" t="n">
        <x:f>IF(X646="","",Z646-X646)</x:f>
        <x:v>14.170000000000002</x:v>
      </x:c>
      <x:c r="AB646" s="111" t="str">
        <x:f>IF(X646="","",IF(AA646&gt;='추천_테스트'!$B$10,"안정",IF(AA646&gt;='추천_테스트'!$B$11,"적정",IF(AA646&gt;='추천_테스트'!$B$12,"소신","상향"))))</x:f>
        <x:v>안정</x:v>
      </x:c>
      <x:c r="AC646" s="137"/>
      <x:c r="AD646" s="137"/>
      <x:c r="AE646" s="137"/>
      <x:c r="AF646" s="113" t="str">
        <x:v>v5 지방 사립대 확장: 공식 2025학년도 정시 70% cut 평균(백분위) 제공</x:v>
      </x:c>
      <x:c r="AG646" s="113" t="str">
        <x:v>https://www.adiga.kr/ucp/uvt/uni/univDetailSelection.do?menuId=PCUVTINF2000&amp;searchSyr=2026&amp;unvCd=0000151</x:v>
      </x:c>
    </x:row>
    <x:row r="647" ht="18" customHeight="1">
      <x:c r="A647" s="111" t="n">
        <x:v>2025</x:v>
      </x:c>
      <x:c r="B647" s="111" t="str">
        <x:v>경상북도</x:v>
      </x:c>
      <x:c r="C647" s="111" t="str">
        <x:v>사립</x:v>
      </x:c>
      <x:c r="D647" s="111" t="str">
        <x:v>영남대학교</x:v>
      </x:c>
      <x:c r="E647" s="111" t="str">
        <x:v>다</x:v>
      </x:c>
      <x:c r="F647" s="111" t="str">
        <x:v>수능(일반전형)</x:v>
      </x:c>
      <x:c r="G647" s="111" t="str">
        <x:v>전자공학과</x:v>
      </x:c>
      <x:c r="H647" s="136"/>
      <x:c r="I647" s="136"/>
      <x:c r="J647" s="136" t="n">
        <x:v>19</x:v>
      </x:c>
      <x:c r="K647" s="137" t="n">
        <x:v>4.68</x:v>
      </x:c>
      <x:c r="L647" s="136" t="n">
        <x:v>41</x:v>
      </x:c>
      <x:c r="M647" s="137"/>
      <x:c r="N647" s="137" t="n">
        <x:v>646.28</x:v>
      </x:c>
      <x:c r="O647" s="137" t="n">
        <x:v>832</x:v>
      </x:c>
      <x:c r="P647" s="137"/>
      <x:c r="Q647" s="137"/>
      <x:c r="R647" s="137"/>
      <x:c r="S647" s="137"/>
      <x:c r="T647" s="136"/>
      <x:c r="U647" s="136"/>
      <x:c r="V647" s="137" t="n">
        <x:v>73.5</x:v>
      </x:c>
      <x:c r="W647" s="137" t="str">
        <x:f>IF(COUNT(P647:S647)&gt;=3,AVERAGE(P647:S647),"")</x:f>
      </x:c>
      <x:c r="X647" s="137" t="n">
        <x:f>IF(V647&lt;&gt;"",V647,W647)</x:f>
        <x:v>73.5</x:v>
      </x:c>
      <x:c r="Y647" s="111" t="str">
        <x:v>공식 70% 평균백분위</x:v>
      </x:c>
      <x:c r="Z647" s="137" t="n">
        <x:f>'추천_테스트'!$B$8</x:f>
        <x:v>80</x:v>
      </x:c>
      <x:c r="AA647" s="137" t="n">
        <x:f>IF(X647="","",Z647-X647)</x:f>
        <x:v>6.5</x:v>
      </x:c>
      <x:c r="AB647" s="111" t="str">
        <x:f>IF(X647="","",IF(AA647&gt;='추천_테스트'!$B$10,"안정",IF(AA647&gt;='추천_테스트'!$B$11,"적정",IF(AA647&gt;='추천_테스트'!$B$12,"소신","상향"))))</x:f>
        <x:v>안정</x:v>
      </x:c>
      <x:c r="AC647" s="137"/>
      <x:c r="AD647" s="137"/>
      <x:c r="AE647" s="137"/>
      <x:c r="AF647" s="113" t="str">
        <x:v>v5 지방 사립대 확장: 공식 2025학년도 정시 70% cut 평균(백분위) 제공</x:v>
      </x:c>
      <x:c r="AG647" s="113" t="str">
        <x:v>https://www.adiga.kr/ucp/uvt/uni/univDetailSelection.do?menuId=PCUVTINF2000&amp;searchSyr=2026&amp;unvCd=0000151</x:v>
      </x:c>
    </x:row>
    <x:row r="648" ht="18" customHeight="1">
      <x:c r="A648" s="111" t="n">
        <x:v>2025</x:v>
      </x:c>
      <x:c r="B648" s="111" t="str">
        <x:v>경상북도</x:v>
      </x:c>
      <x:c r="C648" s="111" t="str">
        <x:v>사립</x:v>
      </x:c>
      <x:c r="D648" s="111" t="str">
        <x:v>영남대학교</x:v>
      </x:c>
      <x:c r="E648" s="111" t="str">
        <x:v>다</x:v>
      </x:c>
      <x:c r="F648" s="111" t="str">
        <x:v>수능(일반전형)</x:v>
      </x:c>
      <x:c r="G648" s="111" t="str">
        <x:v>컴퓨터공학전공</x:v>
      </x:c>
      <x:c r="H648" s="136"/>
      <x:c r="I648" s="136"/>
      <x:c r="J648" s="136" t="n">
        <x:v>16</x:v>
      </x:c>
      <x:c r="K648" s="137" t="n">
        <x:v>6.19</x:v>
      </x:c>
      <x:c r="L648" s="136" t="n">
        <x:v>36</x:v>
      </x:c>
      <x:c r="M648" s="137"/>
      <x:c r="N648" s="137" t="n">
        <x:v>637.12</x:v>
      </x:c>
      <x:c r="O648" s="137" t="n">
        <x:v>832</x:v>
      </x:c>
      <x:c r="P648" s="137"/>
      <x:c r="Q648" s="137"/>
      <x:c r="R648" s="137"/>
      <x:c r="S648" s="137"/>
      <x:c r="T648" s="136"/>
      <x:c r="U648" s="136"/>
      <x:c r="V648" s="137" t="n">
        <x:v>72.5</x:v>
      </x:c>
      <x:c r="W648" s="137" t="str">
        <x:f>IF(COUNT(P648:S648)&gt;=3,AVERAGE(P648:S648),"")</x:f>
      </x:c>
      <x:c r="X648" s="137" t="n">
        <x:f>IF(V648&lt;&gt;"",V648,W648)</x:f>
        <x:v>72.5</x:v>
      </x:c>
      <x:c r="Y648" s="111" t="str">
        <x:v>공식 70% 평균백분위</x:v>
      </x:c>
      <x:c r="Z648" s="137" t="n">
        <x:f>'추천_테스트'!$B$8</x:f>
        <x:v>80</x:v>
      </x:c>
      <x:c r="AA648" s="137" t="n">
        <x:f>IF(X648="","",Z648-X648)</x:f>
        <x:v>7.5</x:v>
      </x:c>
      <x:c r="AB648" s="111" t="str">
        <x:f>IF(X648="","",IF(AA648&gt;='추천_테스트'!$B$10,"안정",IF(AA648&gt;='추천_테스트'!$B$11,"적정",IF(AA648&gt;='추천_테스트'!$B$12,"소신","상향"))))</x:f>
        <x:v>안정</x:v>
      </x:c>
      <x:c r="AC648" s="137"/>
      <x:c r="AD648" s="137"/>
      <x:c r="AE648" s="137"/>
      <x:c r="AF648" s="113" t="str">
        <x:v>v5 지방 사립대 확장: 공식 2025학년도 정시 70% cut 평균(백분위) 제공</x:v>
      </x:c>
      <x:c r="AG648" s="113" t="str">
        <x:v>https://www.adiga.kr/ucp/uvt/uni/univDetailSelection.do?menuId=PCUVTINF2000&amp;searchSyr=2026&amp;unvCd=0000151</x:v>
      </x:c>
    </x:row>
    <x:row r="649" ht="18" customHeight="1">
      <x:c r="A649" s="111" t="n">
        <x:v>2025</x:v>
      </x:c>
      <x:c r="B649" s="111" t="str">
        <x:v>경상북도</x:v>
      </x:c>
      <x:c r="C649" s="111" t="str">
        <x:v>사립</x:v>
      </x:c>
      <x:c r="D649" s="111" t="str">
        <x:v>영남대학교</x:v>
      </x:c>
      <x:c r="E649" s="111" t="str">
        <x:v>다</x:v>
      </x:c>
      <x:c r="F649" s="111" t="str">
        <x:v>수능(일반전형)</x:v>
      </x:c>
      <x:c r="G649" s="111" t="str">
        <x:v>정보통신공학전공</x:v>
      </x:c>
      <x:c r="H649" s="136"/>
      <x:c r="I649" s="136"/>
      <x:c r="J649" s="136" t="n">
        <x:v>13</x:v>
      </x:c>
      <x:c r="K649" s="137" t="n">
        <x:v>4.15</x:v>
      </x:c>
      <x:c r="L649" s="136" t="n">
        <x:v>10</x:v>
      </x:c>
      <x:c r="M649" s="137"/>
      <x:c r="N649" s="137" t="n">
        <x:v>590.32</x:v>
      </x:c>
      <x:c r="O649" s="137" t="n">
        <x:v>832</x:v>
      </x:c>
      <x:c r="P649" s="137"/>
      <x:c r="Q649" s="137"/>
      <x:c r="R649" s="137"/>
      <x:c r="S649" s="137"/>
      <x:c r="T649" s="136"/>
      <x:c r="U649" s="136"/>
      <x:c r="V649" s="137" t="n">
        <x:v>65.33</x:v>
      </x:c>
      <x:c r="W649" s="137" t="str">
        <x:f>IF(COUNT(P649:S649)&gt;=3,AVERAGE(P649:S649),"")</x:f>
      </x:c>
      <x:c r="X649" s="137" t="n">
        <x:f>IF(V649&lt;&gt;"",V649,W649)</x:f>
        <x:v>65.33</x:v>
      </x:c>
      <x:c r="Y649" s="111" t="str">
        <x:v>공식 70% 평균백분위</x:v>
      </x:c>
      <x:c r="Z649" s="137" t="n">
        <x:f>'추천_테스트'!$B$8</x:f>
        <x:v>80</x:v>
      </x:c>
      <x:c r="AA649" s="137" t="n">
        <x:f>IF(X649="","",Z649-X649)</x:f>
        <x:v>14.670000000000002</x:v>
      </x:c>
      <x:c r="AB649" s="111" t="str">
        <x:f>IF(X649="","",IF(AA649&gt;='추천_테스트'!$B$10,"안정",IF(AA649&gt;='추천_테스트'!$B$11,"적정",IF(AA649&gt;='추천_테스트'!$B$12,"소신","상향"))))</x:f>
        <x:v>안정</x:v>
      </x:c>
      <x:c r="AC649" s="137"/>
      <x:c r="AD649" s="137"/>
      <x:c r="AE649" s="137"/>
      <x:c r="AF649" s="113" t="str">
        <x:v>v5 지방 사립대 확장: 공식 2025학년도 정시 70% cut 평균(백분위) 제공</x:v>
      </x:c>
      <x:c r="AG649" s="113" t="str">
        <x:v>https://www.adiga.kr/ucp/uvt/uni/univDetailSelection.do?menuId=PCUVTINF2000&amp;searchSyr=2026&amp;unvCd=0000151</x:v>
      </x:c>
    </x:row>
    <x:row r="650" ht="18" customHeight="1">
      <x:c r="A650" s="111" t="n">
        <x:v>2025</x:v>
      </x:c>
      <x:c r="B650" s="111" t="str">
        <x:v>경상북도</x:v>
      </x:c>
      <x:c r="C650" s="111" t="str">
        <x:v>사립</x:v>
      </x:c>
      <x:c r="D650" s="111" t="str">
        <x:v>영남대학교</x:v>
      </x:c>
      <x:c r="E650" s="111" t="str">
        <x:v>다</x:v>
      </x:c>
      <x:c r="F650" s="111" t="str">
        <x:v>수능(일반전형)</x:v>
      </x:c>
      <x:c r="G650" s="111" t="str">
        <x:v>소프트웨어융합전공</x:v>
      </x:c>
      <x:c r="H650" s="136"/>
      <x:c r="I650" s="136"/>
      <x:c r="J650" s="136" t="n">
        <x:v>11</x:v>
      </x:c>
      <x:c r="K650" s="137" t="n">
        <x:v>7</x:v>
      </x:c>
      <x:c r="L650" s="136" t="n">
        <x:v>7</x:v>
      </x:c>
      <x:c r="M650" s="137"/>
      <x:c r="N650" s="137" t="n">
        <x:v>611.8</x:v>
      </x:c>
      <x:c r="O650" s="137" t="n">
        <x:v>832</x:v>
      </x:c>
      <x:c r="P650" s="137"/>
      <x:c r="Q650" s="137"/>
      <x:c r="R650" s="137"/>
      <x:c r="S650" s="137"/>
      <x:c r="T650" s="136"/>
      <x:c r="U650" s="136"/>
      <x:c r="V650" s="137" t="n">
        <x:v>70.33</x:v>
      </x:c>
      <x:c r="W650" s="137" t="str">
        <x:f>IF(COUNT(P650:S650)&gt;=3,AVERAGE(P650:S650),"")</x:f>
      </x:c>
      <x:c r="X650" s="137" t="n">
        <x:f>IF(V650&lt;&gt;"",V650,W650)</x:f>
        <x:v>70.33</x:v>
      </x:c>
      <x:c r="Y650" s="111" t="str">
        <x:v>공식 70% 평균백분위</x:v>
      </x:c>
      <x:c r="Z650" s="137" t="n">
        <x:f>'추천_테스트'!$B$8</x:f>
        <x:v>80</x:v>
      </x:c>
      <x:c r="AA650" s="137" t="n">
        <x:f>IF(X650="","",Z650-X650)</x:f>
        <x:v>9.670000000000002</x:v>
      </x:c>
      <x:c r="AB650" s="111" t="str">
        <x:f>IF(X650="","",IF(AA650&gt;='추천_테스트'!$B$10,"안정",IF(AA650&gt;='추천_테스트'!$B$11,"적정",IF(AA650&gt;='추천_테스트'!$B$12,"소신","상향"))))</x:f>
        <x:v>안정</x:v>
      </x:c>
      <x:c r="AC650" s="137"/>
      <x:c r="AD650" s="137"/>
      <x:c r="AE650" s="137"/>
      <x:c r="AF650" s="113" t="str">
        <x:v>v5 지방 사립대 확장: 공식 2025학년도 정시 70% cut 평균(백분위) 제공</x:v>
      </x:c>
      <x:c r="AG650" s="113" t="str">
        <x:v>https://www.adiga.kr/ucp/uvt/uni/univDetailSelection.do?menuId=PCUVTINF2000&amp;searchSyr=2026&amp;unvCd=0000151</x:v>
      </x:c>
    </x:row>
    <x:row r="651" ht="18" customHeight="1">
      <x:c r="A651" s="111" t="n">
        <x:v>2025</x:v>
      </x:c>
      <x:c r="B651" s="111" t="str">
        <x:v>경상북도</x:v>
      </x:c>
      <x:c r="C651" s="111" t="str">
        <x:v>사립</x:v>
      </x:c>
      <x:c r="D651" s="111" t="str">
        <x:v>영남대학교</x:v>
      </x:c>
      <x:c r="E651" s="111" t="str">
        <x:v>다</x:v>
      </x:c>
      <x:c r="F651" s="111" t="str">
        <x:v>수능(일반전형)</x:v>
      </x:c>
      <x:c r="G651" s="111" t="str">
        <x:v>미래자동차공학과</x:v>
      </x:c>
      <x:c r="H651" s="136"/>
      <x:c r="I651" s="136"/>
      <x:c r="J651" s="136" t="n">
        <x:v>17</x:v>
      </x:c>
      <x:c r="K651" s="137" t="n">
        <x:v>5.29</x:v>
      </x:c>
      <x:c r="L651" s="136" t="n">
        <x:v>18</x:v>
      </x:c>
      <x:c r="M651" s="137"/>
      <x:c r="N651" s="137" t="n">
        <x:v>583.67</x:v>
      </x:c>
      <x:c r="O651" s="137" t="n">
        <x:v>832</x:v>
      </x:c>
      <x:c r="P651" s="137"/>
      <x:c r="Q651" s="137"/>
      <x:c r="R651" s="137"/>
      <x:c r="S651" s="137"/>
      <x:c r="T651" s="136"/>
      <x:c r="U651" s="136"/>
      <x:c r="V651" s="137" t="n">
        <x:v>64.17</x:v>
      </x:c>
      <x:c r="W651" s="137" t="str">
        <x:f>IF(COUNT(P651:S651)&gt;=3,AVERAGE(P651:S651),"")</x:f>
      </x:c>
      <x:c r="X651" s="137" t="n">
        <x:f>IF(V651&lt;&gt;"",V651,W651)</x:f>
        <x:v>64.17</x:v>
      </x:c>
      <x:c r="Y651" s="111" t="str">
        <x:v>공식 70% 평균백분위</x:v>
      </x:c>
      <x:c r="Z651" s="137" t="n">
        <x:f>'추천_테스트'!$B$8</x:f>
        <x:v>80</x:v>
      </x:c>
      <x:c r="AA651" s="137" t="n">
        <x:f>IF(X651="","",Z651-X651)</x:f>
        <x:v>15.829999999999998</x:v>
      </x:c>
      <x:c r="AB651" s="111" t="str">
        <x:f>IF(X651="","",IF(AA651&gt;='추천_테스트'!$B$10,"안정",IF(AA651&gt;='추천_테스트'!$B$11,"적정",IF(AA651&gt;='추천_테스트'!$B$12,"소신","상향"))))</x:f>
        <x:v>안정</x:v>
      </x:c>
      <x:c r="AC651" s="137"/>
      <x:c r="AD651" s="137"/>
      <x:c r="AE651" s="137"/>
      <x:c r="AF651" s="113" t="str">
        <x:v>v5 지방 사립대 확장: 공식 2025학년도 정시 70% cut 평균(백분위) 제공</x:v>
      </x:c>
      <x:c r="AG651" s="113" t="str">
        <x:v>https://www.adiga.kr/ucp/uvt/uni/univDetailSelection.do?menuId=PCUVTINF2000&amp;searchSyr=2026&amp;unvCd=0000151</x:v>
      </x:c>
    </x:row>
    <x:row r="652" ht="18" customHeight="1">
      <x:c r="A652" s="111" t="n">
        <x:v>2025</x:v>
      </x:c>
      <x:c r="B652" s="111" t="str">
        <x:v>경상북도</x:v>
      </x:c>
      <x:c r="C652" s="111" t="str">
        <x:v>사립</x:v>
      </x:c>
      <x:c r="D652" s="111" t="str">
        <x:v>영남대학교</x:v>
      </x:c>
      <x:c r="E652" s="111" t="str">
        <x:v>다</x:v>
      </x:c>
      <x:c r="F652" s="111" t="str">
        <x:v>수능(일반전형)</x:v>
      </x:c>
      <x:c r="G652" s="111" t="str">
        <x:v>로봇공학과</x:v>
      </x:c>
      <x:c r="H652" s="136"/>
      <x:c r="I652" s="136"/>
      <x:c r="J652" s="136" t="n">
        <x:v>12</x:v>
      </x:c>
      <x:c r="K652" s="137" t="n">
        <x:v>3.83</x:v>
      </x:c>
      <x:c r="L652" s="136" t="n">
        <x:v>5</x:v>
      </x:c>
      <x:c r="M652" s="137"/>
      <x:c r="N652" s="137" t="n">
        <x:v>589.12</x:v>
      </x:c>
      <x:c r="O652" s="137" t="n">
        <x:v>832</x:v>
      </x:c>
      <x:c r="P652" s="137"/>
      <x:c r="Q652" s="137"/>
      <x:c r="R652" s="137"/>
      <x:c r="S652" s="137"/>
      <x:c r="T652" s="136"/>
      <x:c r="U652" s="136"/>
      <x:c r="V652" s="137" t="n">
        <x:v>66.33</x:v>
      </x:c>
      <x:c r="W652" s="137" t="str">
        <x:f>IF(COUNT(P652:S652)&gt;=3,AVERAGE(P652:S652),"")</x:f>
      </x:c>
      <x:c r="X652" s="137" t="n">
        <x:f>IF(V652&lt;&gt;"",V652,W652)</x:f>
        <x:v>66.33</x:v>
      </x:c>
      <x:c r="Y652" s="111" t="str">
        <x:v>공식 70% 평균백분위</x:v>
      </x:c>
      <x:c r="Z652" s="137" t="n">
        <x:f>'추천_테스트'!$B$8</x:f>
        <x:v>80</x:v>
      </x:c>
      <x:c r="AA652" s="137" t="n">
        <x:f>IF(X652="","",Z652-X652)</x:f>
        <x:v>13.670000000000002</x:v>
      </x:c>
      <x:c r="AB652" s="111" t="str">
        <x:f>IF(X652="","",IF(AA652&gt;='추천_테스트'!$B$10,"안정",IF(AA652&gt;='추천_테스트'!$B$11,"적정",IF(AA652&gt;='추천_테스트'!$B$12,"소신","상향"))))</x:f>
        <x:v>안정</x:v>
      </x:c>
      <x:c r="AC652" s="137"/>
      <x:c r="AD652" s="137"/>
      <x:c r="AE652" s="137"/>
      <x:c r="AF652" s="113" t="str">
        <x:v>v5 지방 사립대 확장: 공식 2025학년도 정시 70% cut 평균(백분위) 제공</x:v>
      </x:c>
      <x:c r="AG652" s="113" t="str">
        <x:v>https://www.adiga.kr/ucp/uvt/uni/univDetailSelection.do?menuId=PCUVTINF2000&amp;searchSyr=2026&amp;unvCd=0000151</x:v>
      </x:c>
    </x:row>
    <x:row r="653" ht="18" customHeight="1">
      <x:c r="A653" s="111" t="n">
        <x:v>2025</x:v>
      </x:c>
      <x:c r="B653" s="111" t="str">
        <x:v>경상북도</x:v>
      </x:c>
      <x:c r="C653" s="111" t="str">
        <x:v>사립</x:v>
      </x:c>
      <x:c r="D653" s="111" t="str">
        <x:v>영남대학교</x:v>
      </x:c>
      <x:c r="E653" s="111" t="str">
        <x:v>다</x:v>
      </x:c>
      <x:c r="F653" s="111" t="str">
        <x:v>수능(일반전형)</x:v>
      </x:c>
      <x:c r="G653" s="111" t="str">
        <x:v>차세대반도체학과</x:v>
      </x:c>
      <x:c r="H653" s="136"/>
      <x:c r="I653" s="136"/>
      <x:c r="J653" s="136" t="n">
        <x:v>6</x:v>
      </x:c>
      <x:c r="K653" s="137" t="n">
        <x:v>5.83</x:v>
      </x:c>
      <x:c r="L653" s="136" t="n">
        <x:v>4</x:v>
      </x:c>
      <x:c r="M653" s="137"/>
      <x:c r="N653" s="137" t="n">
        <x:v>590.92</x:v>
      </x:c>
      <x:c r="O653" s="137" t="n">
        <x:v>832</x:v>
      </x:c>
      <x:c r="P653" s="137"/>
      <x:c r="Q653" s="137"/>
      <x:c r="R653" s="137"/>
      <x:c r="S653" s="137"/>
      <x:c r="T653" s="136"/>
      <x:c r="U653" s="136"/>
      <x:c r="V653" s="137" t="n">
        <x:v>66.67</x:v>
      </x:c>
      <x:c r="W653" s="137" t="str">
        <x:f>IF(COUNT(P653:S653)&gt;=3,AVERAGE(P653:S653),"")</x:f>
      </x:c>
      <x:c r="X653" s="137" t="n">
        <x:f>IF(V653&lt;&gt;"",V653,W653)</x:f>
        <x:v>66.67</x:v>
      </x:c>
      <x:c r="Y653" s="111" t="str">
        <x:v>공식 70% 평균백분위</x:v>
      </x:c>
      <x:c r="Z653" s="137" t="n">
        <x:f>'추천_테스트'!$B$8</x:f>
        <x:v>80</x:v>
      </x:c>
      <x:c r="AA653" s="137" t="n">
        <x:f>IF(X653="","",Z653-X653)</x:f>
        <x:v>13.329999999999998</x:v>
      </x:c>
      <x:c r="AB653" s="111" t="str">
        <x:f>IF(X653="","",IF(AA653&gt;='추천_테스트'!$B$10,"안정",IF(AA653&gt;='추천_테스트'!$B$11,"적정",IF(AA653&gt;='추천_테스트'!$B$12,"소신","상향"))))</x:f>
        <x:v>안정</x:v>
      </x:c>
      <x:c r="AC653" s="137"/>
      <x:c r="AD653" s="137"/>
      <x:c r="AE653" s="137"/>
      <x:c r="AF653" s="113" t="str">
        <x:v>v5 지방 사립대 확장: 공식 2025학년도 정시 70% cut 평균(백분위) 제공</x:v>
      </x:c>
      <x:c r="AG653" s="113" t="str">
        <x:v>https://www.adiga.kr/ucp/uvt/uni/univDetailSelection.do?menuId=PCUVTINF2000&amp;searchSyr=2026&amp;unvCd=0000151</x:v>
      </x:c>
    </x:row>
    <x:row r="654" ht="18" customHeight="1">
      <x:c r="A654" s="111" t="n">
        <x:v>2025</x:v>
      </x:c>
      <x:c r="B654" s="111" t="str">
        <x:v>경상북도</x:v>
      </x:c>
      <x:c r="C654" s="111" t="str">
        <x:v>사립</x:v>
      </x:c>
      <x:c r="D654" s="111" t="str">
        <x:v>영남대학교</x:v>
      </x:c>
      <x:c r="E654" s="111" t="str">
        <x:v>다</x:v>
      </x:c>
      <x:c r="F654" s="111" t="str">
        <x:v>수능(일반전형)</x:v>
      </x:c>
      <x:c r="G654" s="111" t="str">
        <x:v>정치외교학과</x:v>
      </x:c>
      <x:c r="H654" s="136"/>
      <x:c r="I654" s="136"/>
      <x:c r="J654" s="136" t="n">
        <x:v>6</x:v>
      </x:c>
      <x:c r="K654" s="137" t="n">
        <x:v>9.5</x:v>
      </x:c>
      <x:c r="L654" s="136" t="n">
        <x:v>23</x:v>
      </x:c>
      <x:c r="M654" s="137"/>
      <x:c r="N654" s="137" t="n">
        <x:v>605.2</x:v>
      </x:c>
      <x:c r="O654" s="137" t="n">
        <x:v>810</x:v>
      </x:c>
      <x:c r="P654" s="137"/>
      <x:c r="Q654" s="137"/>
      <x:c r="R654" s="137"/>
      <x:c r="S654" s="137"/>
      <x:c r="T654" s="136"/>
      <x:c r="U654" s="136"/>
      <x:c r="V654" s="137" t="n">
        <x:v>71.83</x:v>
      </x:c>
      <x:c r="W654" s="137" t="str">
        <x:f>IF(COUNT(P654:S654)&gt;=3,AVERAGE(P654:S654),"")</x:f>
      </x:c>
      <x:c r="X654" s="137" t="n">
        <x:f>IF(V654&lt;&gt;"",V654,W654)</x:f>
        <x:v>71.83</x:v>
      </x:c>
      <x:c r="Y654" s="111" t="str">
        <x:v>공식 70% 평균백분위</x:v>
      </x:c>
      <x:c r="Z654" s="137" t="n">
        <x:f>'추천_테스트'!$B$8</x:f>
        <x:v>80</x:v>
      </x:c>
      <x:c r="AA654" s="137" t="n">
        <x:f>IF(X654="","",Z654-X654)</x:f>
        <x:v>8.170000000000002</x:v>
      </x:c>
      <x:c r="AB654" s="111" t="str">
        <x:f>IF(X654="","",IF(AA654&gt;='추천_테스트'!$B$10,"안정",IF(AA654&gt;='추천_테스트'!$B$11,"적정",IF(AA654&gt;='추천_테스트'!$B$12,"소신","상향"))))</x:f>
        <x:v>안정</x:v>
      </x:c>
      <x:c r="AC654" s="137"/>
      <x:c r="AD654" s="137"/>
      <x:c r="AE654" s="137"/>
      <x:c r="AF654" s="113" t="str">
        <x:v>v5 지방 사립대 확장: 공식 2025학년도 정시 70% cut 평균(백분위) 제공</x:v>
      </x:c>
      <x:c r="AG654" s="113" t="str">
        <x:v>https://www.adiga.kr/ucp/uvt/uni/univDetailSelection.do?menuId=PCUVTINF2000&amp;searchSyr=2026&amp;unvCd=0000151</x:v>
      </x:c>
    </x:row>
    <x:row r="655" ht="18" customHeight="1">
      <x:c r="A655" s="111" t="n">
        <x:v>2025</x:v>
      </x:c>
      <x:c r="B655" s="111" t="str">
        <x:v>경상북도</x:v>
      </x:c>
      <x:c r="C655" s="111" t="str">
        <x:v>사립</x:v>
      </x:c>
      <x:c r="D655" s="111" t="str">
        <x:v>영남대학교</x:v>
      </x:c>
      <x:c r="E655" s="111" t="str">
        <x:v>다</x:v>
      </x:c>
      <x:c r="F655" s="111" t="str">
        <x:v>수능(일반전형)</x:v>
      </x:c>
      <x:c r="G655" s="111" t="str">
        <x:v>행정학과</x:v>
      </x:c>
      <x:c r="H655" s="136"/>
      <x:c r="I655" s="136"/>
      <x:c r="J655" s="136" t="n">
        <x:v>12</x:v>
      </x:c>
      <x:c r="K655" s="137" t="n">
        <x:v>7.92</x:v>
      </x:c>
      <x:c r="L655" s="136" t="n">
        <x:v>18</x:v>
      </x:c>
      <x:c r="M655" s="137"/>
      <x:c r="N655" s="137" t="n">
        <x:v>627.8</x:v>
      </x:c>
      <x:c r="O655" s="137" t="n">
        <x:v>810</x:v>
      </x:c>
      <x:c r="P655" s="137"/>
      <x:c r="Q655" s="137"/>
      <x:c r="R655" s="137"/>
      <x:c r="S655" s="137"/>
      <x:c r="T655" s="136"/>
      <x:c r="U655" s="136"/>
      <x:c r="V655" s="137" t="n">
        <x:v>73.33</x:v>
      </x:c>
      <x:c r="W655" s="137" t="str">
        <x:f>IF(COUNT(P655:S655)&gt;=3,AVERAGE(P655:S655),"")</x:f>
      </x:c>
      <x:c r="X655" s="137" t="n">
        <x:f>IF(V655&lt;&gt;"",V655,W655)</x:f>
        <x:v>73.33</x:v>
      </x:c>
      <x:c r="Y655" s="111" t="str">
        <x:v>공식 70% 평균백분위</x:v>
      </x:c>
      <x:c r="Z655" s="137" t="n">
        <x:f>'추천_테스트'!$B$8</x:f>
        <x:v>80</x:v>
      </x:c>
      <x:c r="AA655" s="137" t="n">
        <x:f>IF(X655="","",Z655-X655)</x:f>
        <x:v>6.670000000000002</x:v>
      </x:c>
      <x:c r="AB655" s="111" t="str">
        <x:f>IF(X655="","",IF(AA655&gt;='추천_테스트'!$B$10,"안정",IF(AA655&gt;='추천_테스트'!$B$11,"적정",IF(AA655&gt;='추천_테스트'!$B$12,"소신","상향"))))</x:f>
        <x:v>안정</x:v>
      </x:c>
      <x:c r="AC655" s="137"/>
      <x:c r="AD655" s="137"/>
      <x:c r="AE655" s="137"/>
      <x:c r="AF655" s="113" t="str">
        <x:v>v5 지방 사립대 확장: 공식 2025학년도 정시 70% cut 평균(백분위) 제공</x:v>
      </x:c>
      <x:c r="AG655" s="113" t="str">
        <x:v>https://www.adiga.kr/ucp/uvt/uni/univDetailSelection.do?menuId=PCUVTINF2000&amp;searchSyr=2026&amp;unvCd=0000151</x:v>
      </x:c>
    </x:row>
    <x:row r="656" ht="18" customHeight="1">
      <x:c r="A656" s="111" t="n">
        <x:v>2025</x:v>
      </x:c>
      <x:c r="B656" s="111" t="str">
        <x:v>경상북도</x:v>
      </x:c>
      <x:c r="C656" s="111" t="str">
        <x:v>사립</x:v>
      </x:c>
      <x:c r="D656" s="111" t="str">
        <x:v>영남대학교</x:v>
      </x:c>
      <x:c r="E656" s="111" t="str">
        <x:v>다</x:v>
      </x:c>
      <x:c r="F656" s="111" t="str">
        <x:v>수능(일반전형)</x:v>
      </x:c>
      <x:c r="G656" s="111" t="str">
        <x:v>경찰행정학과</x:v>
      </x:c>
      <x:c r="H656" s="136"/>
      <x:c r="I656" s="136"/>
      <x:c r="J656" s="136" t="n">
        <x:v>9</x:v>
      </x:c>
      <x:c r="K656" s="137" t="n">
        <x:v>4.89</x:v>
      </x:c>
      <x:c r="L656" s="136" t="n">
        <x:v>7</x:v>
      </x:c>
      <x:c r="M656" s="137"/>
      <x:c r="N656" s="137" t="n">
        <x:v>611.2</x:v>
      </x:c>
      <x:c r="O656" s="137" t="n">
        <x:v>810</x:v>
      </x:c>
      <x:c r="P656" s="137"/>
      <x:c r="Q656" s="137"/>
      <x:c r="R656" s="137"/>
      <x:c r="S656" s="137"/>
      <x:c r="T656" s="136"/>
      <x:c r="U656" s="136"/>
      <x:c r="V656" s="137" t="n">
        <x:v>70</x:v>
      </x:c>
      <x:c r="W656" s="137" t="str">
        <x:f>IF(COUNT(P656:S656)&gt;=3,AVERAGE(P656:S656),"")</x:f>
      </x:c>
      <x:c r="X656" s="137" t="n">
        <x:f>IF(V656&lt;&gt;"",V656,W656)</x:f>
        <x:v>70</x:v>
      </x:c>
      <x:c r="Y656" s="111" t="str">
        <x:v>공식 70% 평균백분위</x:v>
      </x:c>
      <x:c r="Z656" s="137" t="n">
        <x:f>'추천_테스트'!$B$8</x:f>
        <x:v>80</x:v>
      </x:c>
      <x:c r="AA656" s="137" t="n">
        <x:f>IF(X656="","",Z656-X656)</x:f>
        <x:v>10</x:v>
      </x:c>
      <x:c r="AB656" s="111" t="str">
        <x:f>IF(X656="","",IF(AA656&gt;='추천_테스트'!$B$10,"안정",IF(AA656&gt;='추천_테스트'!$B$11,"적정",IF(AA656&gt;='추천_테스트'!$B$12,"소신","상향"))))</x:f>
        <x:v>안정</x:v>
      </x:c>
      <x:c r="AC656" s="137"/>
      <x:c r="AD656" s="137"/>
      <x:c r="AE656" s="137"/>
      <x:c r="AF656" s="113" t="str">
        <x:v>v5 지방 사립대 확장: 공식 2025학년도 정시 70% cut 평균(백분위) 제공</x:v>
      </x:c>
      <x:c r="AG656" s="113" t="str">
        <x:v>https://www.adiga.kr/ucp/uvt/uni/univDetailSelection.do?menuId=PCUVTINF2000&amp;searchSyr=2026&amp;unvCd=0000151</x:v>
      </x:c>
    </x:row>
    <x:row r="657" ht="18" customHeight="1">
      <x:c r="A657" s="111" t="n">
        <x:v>2025</x:v>
      </x:c>
      <x:c r="B657" s="111" t="str">
        <x:v>부산광역시</x:v>
      </x:c>
      <x:c r="C657" s="111" t="str">
        <x:v>사립</x:v>
      </x:c>
      <x:c r="D657" s="111" t="str">
        <x:v>동아대학교</x:v>
      </x:c>
      <x:c r="E657" s="111" t="str">
        <x:v>나</x:v>
      </x:c>
      <x:c r="F657" s="111" t="str">
        <x:v>수능(일반전형)</x:v>
      </x:c>
      <x:c r="G657" s="111" t="str">
        <x:v>철학생명의료윤리학과</x:v>
      </x:c>
      <x:c r="H657" s="136"/>
      <x:c r="I657" s="136"/>
      <x:c r="J657" s="136" t="n">
        <x:v>5</x:v>
      </x:c>
      <x:c r="K657" s="137" t="n">
        <x:v>3.6</x:v>
      </x:c>
      <x:c r="L657" s="136" t="n">
        <x:v>3</x:v>
      </x:c>
      <x:c r="M657" s="137" t="n">
        <x:v>521</x:v>
      </x:c>
      <x:c r="N657" s="137" t="n">
        <x:v>513</x:v>
      </x:c>
      <x:c r="O657" s="137" t="n">
        <x:v>800</x:v>
      </x:c>
      <x:c r="P657" s="137"/>
      <x:c r="Q657" s="137"/>
      <x:c r="R657" s="137"/>
      <x:c r="S657" s="137"/>
      <x:c r="T657" s="136"/>
      <x:c r="U657" s="136"/>
      <x:c r="V657" s="137" t="n">
        <x:v>60.83</x:v>
      </x:c>
      <x:c r="W657" s="137" t="str">
        <x:f>IF(COUNT(P657:S657)&gt;=3,AVERAGE(P657:S657),"")</x:f>
      </x:c>
      <x:c r="X657" s="137" t="n">
        <x:f>IF(V657&lt;&gt;"",V657,W657)</x:f>
        <x:v>60.83</x:v>
      </x:c>
      <x:c r="Y657" s="111" t="str">
        <x:v>공식 70% 평균백분위</x:v>
      </x:c>
      <x:c r="Z657" s="137" t="n">
        <x:f>'추천_테스트'!$B$8</x:f>
        <x:v>80</x:v>
      </x:c>
      <x:c r="AA657" s="137" t="n">
        <x:f>IF(X657="","",Z657-X657)</x:f>
        <x:v>19.17</x:v>
      </x:c>
      <x:c r="AB657" s="111" t="str">
        <x:f>IF(X657="","",IF(AA657&gt;='추천_테스트'!$B$10,"안정",IF(AA657&gt;='추천_테스트'!$B$11,"적정",IF(AA657&gt;='추천_테스트'!$B$12,"소신","상향"))))</x:f>
        <x:v>안정</x:v>
      </x:c>
      <x:c r="AC657" s="137"/>
      <x:c r="AD657" s="137"/>
      <x:c r="AE657" s="137"/>
      <x:c r="AF657" s="113" t="str">
        <x:v>v5 지방 사립대 확장: 공식 2025학년도 정시 70% cut 평균(백분위) 제공</x:v>
      </x:c>
      <x:c r="AG657" s="113" t="str">
        <x:v>https://www.adiga.kr/ucp/uvt/uni/univDetailSelection.do?menuId=PCUVTINF2000&amp;searchSyr=2026&amp;unvCd=0000105</x:v>
      </x:c>
    </x:row>
    <x:row r="658" ht="18" customHeight="1">
      <x:c r="A658" s="111" t="n">
        <x:v>2025</x:v>
      </x:c>
      <x:c r="B658" s="111" t="str">
        <x:v>부산광역시</x:v>
      </x:c>
      <x:c r="C658" s="111" t="str">
        <x:v>사립</x:v>
      </x:c>
      <x:c r="D658" s="111" t="str">
        <x:v>동아대학교</x:v>
      </x:c>
      <x:c r="E658" s="111" t="str">
        <x:v>나</x:v>
      </x:c>
      <x:c r="F658" s="111" t="str">
        <x:v>수능(일반전형)</x:v>
      </x:c>
      <x:c r="G658" s="111" t="str">
        <x:v>사학전공</x:v>
      </x:c>
      <x:c r="H658" s="136"/>
      <x:c r="I658" s="136"/>
      <x:c r="J658" s="136" t="n">
        <x:v>4</x:v>
      </x:c>
      <x:c r="K658" s="137" t="n">
        <x:v>5.75</x:v>
      </x:c>
      <x:c r="L658" s="136" t="n">
        <x:v>2</x:v>
      </x:c>
      <x:c r="M658" s="137" t="n">
        <x:v>518</x:v>
      </x:c>
      <x:c r="N658" s="137" t="n">
        <x:v>518</x:v>
      </x:c>
      <x:c r="O658" s="137" t="n">
        <x:v>800</x:v>
      </x:c>
      <x:c r="P658" s="137"/>
      <x:c r="Q658" s="137"/>
      <x:c r="R658" s="137"/>
      <x:c r="S658" s="137"/>
      <x:c r="T658" s="136"/>
      <x:c r="U658" s="136"/>
      <x:c r="V658" s="137" t="n">
        <x:v>57</x:v>
      </x:c>
      <x:c r="W658" s="137" t="str">
        <x:f>IF(COUNT(P658:S658)&gt;=3,AVERAGE(P658:S658),"")</x:f>
      </x:c>
      <x:c r="X658" s="137" t="n">
        <x:f>IF(V658&lt;&gt;"",V658,W658)</x:f>
        <x:v>57</x:v>
      </x:c>
      <x:c r="Y658" s="111" t="str">
        <x:v>공식 70% 평균백분위</x:v>
      </x:c>
      <x:c r="Z658" s="137" t="n">
        <x:f>'추천_테스트'!$B$8</x:f>
        <x:v>80</x:v>
      </x:c>
      <x:c r="AA658" s="137" t="n">
        <x:f>IF(X658="","",Z658-X658)</x:f>
        <x:v>23</x:v>
      </x:c>
      <x:c r="AB658" s="111" t="str">
        <x:f>IF(X658="","",IF(AA658&gt;='추천_테스트'!$B$10,"안정",IF(AA658&gt;='추천_테스트'!$B$11,"적정",IF(AA658&gt;='추천_테스트'!$B$12,"소신","상향"))))</x:f>
        <x:v>안정</x:v>
      </x:c>
      <x:c r="AC658" s="137"/>
      <x:c r="AD658" s="137"/>
      <x:c r="AE658" s="137"/>
      <x:c r="AF658" s="113" t="str">
        <x:v>v5 지방 사립대 확장: 공식 2025학년도 정시 70% cut 평균(백분위) 제공</x:v>
      </x:c>
      <x:c r="AG658" s="113" t="str">
        <x:v>https://www.adiga.kr/ucp/uvt/uni/univDetailSelection.do?menuId=PCUVTINF2000&amp;searchSyr=2026&amp;unvCd=0000105</x:v>
      </x:c>
    </x:row>
    <x:row r="659" ht="18" customHeight="1">
      <x:c r="A659" s="111" t="n">
        <x:v>2025</x:v>
      </x:c>
      <x:c r="B659" s="111" t="str">
        <x:v>부산광역시</x:v>
      </x:c>
      <x:c r="C659" s="111" t="str">
        <x:v>사립</x:v>
      </x:c>
      <x:c r="D659" s="111" t="str">
        <x:v>동아대학교</x:v>
      </x:c>
      <x:c r="E659" s="111" t="str">
        <x:v>다</x:v>
      </x:c>
      <x:c r="F659" s="111" t="str">
        <x:v>수능(일반전형)</x:v>
      </x:c>
      <x:c r="G659" s="111" t="str">
        <x:v>고고미술사학전공</x:v>
      </x:c>
      <x:c r="H659" s="136"/>
      <x:c r="I659" s="136"/>
      <x:c r="J659" s="136" t="n">
        <x:v>4</x:v>
      </x:c>
      <x:c r="K659" s="137" t="n">
        <x:v>6.5</x:v>
      </x:c>
      <x:c r="L659" s="136" t="n">
        <x:v>11</x:v>
      </x:c>
      <x:c r="M659" s="137" t="n">
        <x:v>532</x:v>
      </x:c>
      <x:c r="N659" s="137" t="n">
        <x:v>529</x:v>
      </x:c>
      <x:c r="O659" s="137" t="n">
        <x:v>800</x:v>
      </x:c>
      <x:c r="P659" s="137"/>
      <x:c r="Q659" s="137"/>
      <x:c r="R659" s="137"/>
      <x:c r="S659" s="137"/>
      <x:c r="T659" s="136"/>
      <x:c r="U659" s="136"/>
      <x:c r="V659" s="137" t="n">
        <x:v>64.5</x:v>
      </x:c>
      <x:c r="W659" s="137" t="str">
        <x:f>IF(COUNT(P659:S659)&gt;=3,AVERAGE(P659:S659),"")</x:f>
      </x:c>
      <x:c r="X659" s="137" t="n">
        <x:f>IF(V659&lt;&gt;"",V659,W659)</x:f>
        <x:v>64.5</x:v>
      </x:c>
      <x:c r="Y659" s="111" t="str">
        <x:v>공식 70% 평균백분위</x:v>
      </x:c>
      <x:c r="Z659" s="137" t="n">
        <x:f>'추천_테스트'!$B$8</x:f>
        <x:v>80</x:v>
      </x:c>
      <x:c r="AA659" s="137" t="n">
        <x:f>IF(X659="","",Z659-X659)</x:f>
        <x:v>15.5</x:v>
      </x:c>
      <x:c r="AB659" s="111" t="str">
        <x:f>IF(X659="","",IF(AA659&gt;='추천_테스트'!$B$10,"안정",IF(AA659&gt;='추천_테스트'!$B$11,"적정",IF(AA659&gt;='추천_테스트'!$B$12,"소신","상향"))))</x:f>
        <x:v>안정</x:v>
      </x:c>
      <x:c r="AC659" s="137"/>
      <x:c r="AD659" s="137"/>
      <x:c r="AE659" s="137"/>
      <x:c r="AF659" s="113" t="str">
        <x:v>v5 지방 사립대 확장: 공식 2025학년도 정시 70% cut 평균(백분위) 제공</x:v>
      </x:c>
      <x:c r="AG659" s="113" t="str">
        <x:v>https://www.adiga.kr/ucp/uvt/uni/univDetailSelection.do?menuId=PCUVTINF2000&amp;searchSyr=2026&amp;unvCd=0000105</x:v>
      </x:c>
    </x:row>
    <x:row r="660" ht="18" customHeight="1">
      <x:c r="A660" s="111" t="n">
        <x:v>2025</x:v>
      </x:c>
      <x:c r="B660" s="111" t="str">
        <x:v>부산광역시</x:v>
      </x:c>
      <x:c r="C660" s="111" t="str">
        <x:v>사립</x:v>
      </x:c>
      <x:c r="D660" s="111" t="str">
        <x:v>동아대학교</x:v>
      </x:c>
      <x:c r="E660" s="111" t="str">
        <x:v>나</x:v>
      </x:c>
      <x:c r="F660" s="111" t="str">
        <x:v>수능(일반전형)</x:v>
      </x:c>
      <x:c r="G660" s="111" t="str">
        <x:v>한국어문학과</x:v>
      </x:c>
      <x:c r="H660" s="136"/>
      <x:c r="I660" s="136"/>
      <x:c r="J660" s="136" t="n">
        <x:v>9</x:v>
      </x:c>
      <x:c r="K660" s="137" t="n">
        <x:v>3.56</x:v>
      </x:c>
      <x:c r="L660" s="136" t="n">
        <x:v>5</x:v>
      </x:c>
      <x:c r="M660" s="137" t="n">
        <x:v>519</x:v>
      </x:c>
      <x:c r="N660" s="137" t="n">
        <x:v>513.9</x:v>
      </x:c>
      <x:c r="O660" s="137" t="n">
        <x:v>800</x:v>
      </x:c>
      <x:c r="P660" s="137"/>
      <x:c r="Q660" s="137"/>
      <x:c r="R660" s="137"/>
      <x:c r="S660" s="137"/>
      <x:c r="T660" s="136"/>
      <x:c r="U660" s="136"/>
      <x:c r="V660" s="137" t="n">
        <x:v>63.67</x:v>
      </x:c>
      <x:c r="W660" s="137" t="str">
        <x:f>IF(COUNT(P660:S660)&gt;=3,AVERAGE(P660:S660),"")</x:f>
      </x:c>
      <x:c r="X660" s="137" t="n">
        <x:f>IF(V660&lt;&gt;"",V660,W660)</x:f>
        <x:v>63.67</x:v>
      </x:c>
      <x:c r="Y660" s="111" t="str">
        <x:v>공식 70% 평균백분위</x:v>
      </x:c>
      <x:c r="Z660" s="137" t="n">
        <x:f>'추천_테스트'!$B$8</x:f>
        <x:v>80</x:v>
      </x:c>
      <x:c r="AA660" s="137" t="n">
        <x:f>IF(X660="","",Z660-X660)</x:f>
        <x:v>16.33</x:v>
      </x:c>
      <x:c r="AB660" s="111" t="str">
        <x:f>IF(X660="","",IF(AA660&gt;='추천_테스트'!$B$10,"안정",IF(AA660&gt;='추천_테스트'!$B$11,"적정",IF(AA660&gt;='추천_테스트'!$B$12,"소신","상향"))))</x:f>
        <x:v>안정</x:v>
      </x:c>
      <x:c r="AC660" s="137"/>
      <x:c r="AD660" s="137"/>
      <x:c r="AE660" s="137"/>
      <x:c r="AF660" s="113" t="str">
        <x:v>v5 지방 사립대 확장: 공식 2025학년도 정시 70% cut 평균(백분위) 제공</x:v>
      </x:c>
      <x:c r="AG660" s="113" t="str">
        <x:v>https://www.adiga.kr/ucp/uvt/uni/univDetailSelection.do?menuId=PCUVTINF2000&amp;searchSyr=2026&amp;unvCd=0000105</x:v>
      </x:c>
    </x:row>
    <x:row r="661" ht="18" customHeight="1">
      <x:c r="A661" s="111" t="n">
        <x:v>2025</x:v>
      </x:c>
      <x:c r="B661" s="111" t="str">
        <x:v>부산광역시</x:v>
      </x:c>
      <x:c r="C661" s="111" t="str">
        <x:v>사립</x:v>
      </x:c>
      <x:c r="D661" s="111" t="str">
        <x:v>동아대학교</x:v>
      </x:c>
      <x:c r="E661" s="111" t="str">
        <x:v>나</x:v>
      </x:c>
      <x:c r="F661" s="111" t="str">
        <x:v>수능(일반전형)</x:v>
      </x:c>
      <x:c r="G661" s="111" t="str">
        <x:v>교육학과</x:v>
      </x:c>
      <x:c r="H661" s="136"/>
      <x:c r="I661" s="136"/>
      <x:c r="J661" s="136" t="n">
        <x:v>5</x:v>
      </x:c>
      <x:c r="K661" s="137" t="n">
        <x:v>3.8</x:v>
      </x:c>
      <x:c r="L661" s="136" t="n">
        <x:v>5</x:v>
      </x:c>
      <x:c r="M661" s="137" t="n">
        <x:v>528</x:v>
      </x:c>
      <x:c r="N661" s="137" t="n">
        <x:v>526</x:v>
      </x:c>
      <x:c r="O661" s="137" t="n">
        <x:v>800</x:v>
      </x:c>
      <x:c r="P661" s="137"/>
      <x:c r="Q661" s="137"/>
      <x:c r="R661" s="137"/>
      <x:c r="S661" s="137"/>
      <x:c r="T661" s="136"/>
      <x:c r="U661" s="136"/>
      <x:c r="V661" s="137" t="n">
        <x:v>64.5</x:v>
      </x:c>
      <x:c r="W661" s="137" t="str">
        <x:f>IF(COUNT(P661:S661)&gt;=3,AVERAGE(P661:S661),"")</x:f>
      </x:c>
      <x:c r="X661" s="137" t="n">
        <x:f>IF(V661&lt;&gt;"",V661,W661)</x:f>
        <x:v>64.5</x:v>
      </x:c>
      <x:c r="Y661" s="111" t="str">
        <x:v>공식 70% 평균백분위</x:v>
      </x:c>
      <x:c r="Z661" s="137" t="n">
        <x:f>'추천_테스트'!$B$8</x:f>
        <x:v>80</x:v>
      </x:c>
      <x:c r="AA661" s="137" t="n">
        <x:f>IF(X661="","",Z661-X661)</x:f>
        <x:v>15.5</x:v>
      </x:c>
      <x:c r="AB661" s="111" t="str">
        <x:f>IF(X661="","",IF(AA661&gt;='추천_테스트'!$B$10,"안정",IF(AA661&gt;='추천_테스트'!$B$11,"적정",IF(AA661&gt;='추천_테스트'!$B$12,"소신","상향"))))</x:f>
        <x:v>안정</x:v>
      </x:c>
      <x:c r="AC661" s="137"/>
      <x:c r="AD661" s="137"/>
      <x:c r="AE661" s="137"/>
      <x:c r="AF661" s="113" t="str">
        <x:v>v5 지방 사립대 확장: 공식 2025학년도 정시 70% cut 평균(백분위) 제공</x:v>
      </x:c>
      <x:c r="AG661" s="113" t="str">
        <x:v>https://www.adiga.kr/ucp/uvt/uni/univDetailSelection.do?menuId=PCUVTINF2000&amp;searchSyr=2026&amp;unvCd=0000105</x:v>
      </x:c>
    </x:row>
    <x:row r="662" ht="18" customHeight="1">
      <x:c r="A662" s="111" t="n">
        <x:v>2025</x:v>
      </x:c>
      <x:c r="B662" s="111" t="str">
        <x:v>부산광역시</x:v>
      </x:c>
      <x:c r="C662" s="111" t="str">
        <x:v>사립</x:v>
      </x:c>
      <x:c r="D662" s="111" t="str">
        <x:v>동아대학교</x:v>
      </x:c>
      <x:c r="E662" s="111" t="str">
        <x:v>다</x:v>
      </x:c>
      <x:c r="F662" s="111" t="str">
        <x:v>수능(일반전형)</x:v>
      </x:c>
      <x:c r="G662" s="111" t="str">
        <x:v>아동학과</x:v>
      </x:c>
      <x:c r="H662" s="136"/>
      <x:c r="I662" s="136"/>
      <x:c r="J662" s="136" t="n">
        <x:v>11</x:v>
      </x:c>
      <x:c r="K662" s="137" t="n">
        <x:v>7.91</x:v>
      </x:c>
      <x:c r="L662" s="136" t="n">
        <x:v>25</x:v>
      </x:c>
      <x:c r="M662" s="137" t="n">
        <x:v>509</x:v>
      </x:c>
      <x:c r="N662" s="137" t="n">
        <x:v>508</x:v>
      </x:c>
      <x:c r="O662" s="137" t="n">
        <x:v>800</x:v>
      </x:c>
      <x:c r="P662" s="137"/>
      <x:c r="Q662" s="137"/>
      <x:c r="R662" s="137"/>
      <x:c r="S662" s="137"/>
      <x:c r="T662" s="136"/>
      <x:c r="U662" s="136"/>
      <x:c r="V662" s="137" t="n">
        <x:v>53.83</x:v>
      </x:c>
      <x:c r="W662" s="137" t="str">
        <x:f>IF(COUNT(P662:S662)&gt;=3,AVERAGE(P662:S662),"")</x:f>
      </x:c>
      <x:c r="X662" s="137" t="n">
        <x:f>IF(V662&lt;&gt;"",V662,W662)</x:f>
        <x:v>53.83</x:v>
      </x:c>
      <x:c r="Y662" s="111" t="str">
        <x:v>공식 70% 평균백분위</x:v>
      </x:c>
      <x:c r="Z662" s="137" t="n">
        <x:f>'추천_테스트'!$B$8</x:f>
        <x:v>80</x:v>
      </x:c>
      <x:c r="AA662" s="137" t="n">
        <x:f>IF(X662="","",Z662-X662)</x:f>
        <x:v>26.17</x:v>
      </x:c>
      <x:c r="AB662" s="111" t="str">
        <x:f>IF(X662="","",IF(AA662&gt;='추천_테스트'!$B$10,"안정",IF(AA662&gt;='추천_테스트'!$B$11,"적정",IF(AA662&gt;='추천_테스트'!$B$12,"소신","상향"))))</x:f>
        <x:v>안정</x:v>
      </x:c>
      <x:c r="AC662" s="137"/>
      <x:c r="AD662" s="137"/>
      <x:c r="AE662" s="137"/>
      <x:c r="AF662" s="113" t="str">
        <x:v>v5 지방 사립대 확장: 공식 2025학년도 정시 70% cut 평균(백분위) 제공</x:v>
      </x:c>
      <x:c r="AG662" s="113" t="str">
        <x:v>https://www.adiga.kr/ucp/uvt/uni/univDetailSelection.do?menuId=PCUVTINF2000&amp;searchSyr=2026&amp;unvCd=0000105</x:v>
      </x:c>
    </x:row>
    <x:row r="663" ht="18" customHeight="1">
      <x:c r="A663" s="111" t="n">
        <x:v>2025</x:v>
      </x:c>
      <x:c r="B663" s="111" t="str">
        <x:v>부산광역시</x:v>
      </x:c>
      <x:c r="C663" s="111" t="str">
        <x:v>사립</x:v>
      </x:c>
      <x:c r="D663" s="111" t="str">
        <x:v>동아대학교</x:v>
      </x:c>
      <x:c r="E663" s="111" t="str">
        <x:v>나</x:v>
      </x:c>
      <x:c r="F663" s="111" t="str">
        <x:v>수능(일반전형)</x:v>
      </x:c>
      <x:c r="G663" s="111" t="str">
        <x:v>정보수학과</x:v>
      </x:c>
      <x:c r="H663" s="136"/>
      <x:c r="I663" s="136"/>
      <x:c r="J663" s="136" t="n">
        <x:v>9</x:v>
      </x:c>
      <x:c r="K663" s="137" t="n">
        <x:v>3.44</x:v>
      </x:c>
      <x:c r="L663" s="136" t="n">
        <x:v>6</x:v>
      </x:c>
      <x:c r="M663" s="137" t="n">
        <x:v>517.48</x:v>
      </x:c>
      <x:c r="N663" s="137" t="n">
        <x:v>512.3</x:v>
      </x:c>
      <x:c r="O663" s="137" t="n">
        <x:v>800</x:v>
      </x:c>
      <x:c r="P663" s="137"/>
      <x:c r="Q663" s="137"/>
      <x:c r="R663" s="137"/>
      <x:c r="S663" s="137"/>
      <x:c r="T663" s="136"/>
      <x:c r="U663" s="136"/>
      <x:c r="V663" s="137" t="n">
        <x:v>58.5</x:v>
      </x:c>
      <x:c r="W663" s="137" t="str">
        <x:f>IF(COUNT(P663:S663)&gt;=3,AVERAGE(P663:S663),"")</x:f>
      </x:c>
      <x:c r="X663" s="137" t="n">
        <x:f>IF(V663&lt;&gt;"",V663,W663)</x:f>
        <x:v>58.5</x:v>
      </x:c>
      <x:c r="Y663" s="111" t="str">
        <x:v>공식 70% 평균백분위</x:v>
      </x:c>
      <x:c r="Z663" s="137" t="n">
        <x:f>'추천_테스트'!$B$8</x:f>
        <x:v>80</x:v>
      </x:c>
      <x:c r="AA663" s="137" t="n">
        <x:f>IF(X663="","",Z663-X663)</x:f>
        <x:v>21.5</x:v>
      </x:c>
      <x:c r="AB663" s="111" t="str">
        <x:f>IF(X663="","",IF(AA663&gt;='추천_테스트'!$B$10,"안정",IF(AA663&gt;='추천_테스트'!$B$11,"적정",IF(AA663&gt;='추천_테스트'!$B$12,"소신","상향"))))</x:f>
        <x:v>안정</x:v>
      </x:c>
      <x:c r="AC663" s="137"/>
      <x:c r="AD663" s="137"/>
      <x:c r="AE663" s="137"/>
      <x:c r="AF663" s="113" t="str">
        <x:v>v5 지방 사립대 확장: 공식 2025학년도 정시 70% cut 평균(백분위) 제공</x:v>
      </x:c>
      <x:c r="AG663" s="113" t="str">
        <x:v>https://www.adiga.kr/ucp/uvt/uni/univDetailSelection.do?menuId=PCUVTINF2000&amp;searchSyr=2026&amp;unvCd=0000105</x:v>
      </x:c>
    </x:row>
    <x:row r="664" ht="18" customHeight="1">
      <x:c r="A664" s="111" t="n">
        <x:v>2025</x:v>
      </x:c>
      <x:c r="B664" s="111" t="str">
        <x:v>부산광역시</x:v>
      </x:c>
      <x:c r="C664" s="111" t="str">
        <x:v>사립</x:v>
      </x:c>
      <x:c r="D664" s="111" t="str">
        <x:v>동아대학교</x:v>
      </x:c>
      <x:c r="E664" s="111" t="str">
        <x:v>나</x:v>
      </x:c>
      <x:c r="F664" s="111" t="str">
        <x:v>수능(일반전형)</x:v>
      </x:c>
      <x:c r="G664" s="111" t="str">
        <x:v>반도체학과</x:v>
      </x:c>
      <x:c r="H664" s="136"/>
      <x:c r="I664" s="136"/>
      <x:c r="J664" s="136" t="n">
        <x:v>5</x:v>
      </x:c>
      <x:c r="K664" s="137" t="n">
        <x:v>4</x:v>
      </x:c>
      <x:c r="L664" s="136" t="n">
        <x:v>6</x:v>
      </x:c>
      <x:c r="M664" s="137" t="n">
        <x:v>522.3</x:v>
      </x:c>
      <x:c r="N664" s="137" t="n">
        <x:v>522</x:v>
      </x:c>
      <x:c r="O664" s="137" t="n">
        <x:v>800</x:v>
      </x:c>
      <x:c r="P664" s="137"/>
      <x:c r="Q664" s="137"/>
      <x:c r="R664" s="137"/>
      <x:c r="S664" s="137"/>
      <x:c r="T664" s="136"/>
      <x:c r="U664" s="136"/>
      <x:c r="V664" s="137" t="n">
        <x:v>61.67</x:v>
      </x:c>
      <x:c r="W664" s="137" t="str">
        <x:f>IF(COUNT(P664:S664)&gt;=3,AVERAGE(P664:S664),"")</x:f>
      </x:c>
      <x:c r="X664" s="137" t="n">
        <x:f>IF(V664&lt;&gt;"",V664,W664)</x:f>
        <x:v>61.67</x:v>
      </x:c>
      <x:c r="Y664" s="111" t="str">
        <x:v>공식 70% 평균백분위</x:v>
      </x:c>
      <x:c r="Z664" s="137" t="n">
        <x:f>'추천_테스트'!$B$8</x:f>
        <x:v>80</x:v>
      </x:c>
      <x:c r="AA664" s="137" t="n">
        <x:f>IF(X664="","",Z664-X664)</x:f>
        <x:v>18.33</x:v>
      </x:c>
      <x:c r="AB664" s="111" t="str">
        <x:f>IF(X664="","",IF(AA664&gt;='추천_테스트'!$B$10,"안정",IF(AA664&gt;='추천_테스트'!$B$11,"적정",IF(AA664&gt;='추천_테스트'!$B$12,"소신","상향"))))</x:f>
        <x:v>안정</x:v>
      </x:c>
      <x:c r="AC664" s="137"/>
      <x:c r="AD664" s="137"/>
      <x:c r="AE664" s="137"/>
      <x:c r="AF664" s="113" t="str">
        <x:v>v5 지방 사립대 확장: 공식 2025학년도 정시 70% cut 평균(백분위) 제공</x:v>
      </x:c>
      <x:c r="AG664" s="113" t="str">
        <x:v>https://www.adiga.kr/ucp/uvt/uni/univDetailSelection.do?menuId=PCUVTINF2000&amp;searchSyr=2026&amp;unvCd=0000105</x:v>
      </x:c>
    </x:row>
    <x:row r="665" ht="18" customHeight="1">
      <x:c r="A665" s="111" t="n">
        <x:v>2025</x:v>
      </x:c>
      <x:c r="B665" s="111" t="str">
        <x:v>부산광역시</x:v>
      </x:c>
      <x:c r="C665" s="111" t="str">
        <x:v>사립</x:v>
      </x:c>
      <x:c r="D665" s="111" t="str">
        <x:v>동아대학교</x:v>
      </x:c>
      <x:c r="E665" s="111" t="str">
        <x:v>다</x:v>
      </x:c>
      <x:c r="F665" s="111" t="str">
        <x:v>수능(일반전형)</x:v>
      </x:c>
      <x:c r="G665" s="111" t="str">
        <x:v>화학과</x:v>
      </x:c>
      <x:c r="H665" s="136"/>
      <x:c r="I665" s="136"/>
      <x:c r="J665" s="136" t="n">
        <x:v>15</x:v>
      </x:c>
      <x:c r="K665" s="137" t="n">
        <x:v>6.2</x:v>
      </x:c>
      <x:c r="L665" s="136" t="n">
        <x:v>20</x:v>
      </x:c>
      <x:c r="M665" s="137" t="n">
        <x:v>528.24</x:v>
      </x:c>
      <x:c r="N665" s="137" t="n">
        <x:v>520.48</x:v>
      </x:c>
      <x:c r="O665" s="137" t="n">
        <x:v>800</x:v>
      </x:c>
      <x:c r="P665" s="137"/>
      <x:c r="Q665" s="137"/>
      <x:c r="R665" s="137"/>
      <x:c r="S665" s="137"/>
      <x:c r="T665" s="136"/>
      <x:c r="U665" s="136"/>
      <x:c r="V665" s="137" t="n">
        <x:v>64.17</x:v>
      </x:c>
      <x:c r="W665" s="137" t="str">
        <x:f>IF(COUNT(P665:S665)&gt;=3,AVERAGE(P665:S665),"")</x:f>
      </x:c>
      <x:c r="X665" s="137" t="n">
        <x:f>IF(V665&lt;&gt;"",V665,W665)</x:f>
        <x:v>64.17</x:v>
      </x:c>
      <x:c r="Y665" s="111" t="str">
        <x:v>공식 70% 평균백분위</x:v>
      </x:c>
      <x:c r="Z665" s="137" t="n">
        <x:f>'추천_테스트'!$B$8</x:f>
        <x:v>80</x:v>
      </x:c>
      <x:c r="AA665" s="137" t="n">
        <x:f>IF(X665="","",Z665-X665)</x:f>
        <x:v>15.829999999999998</x:v>
      </x:c>
      <x:c r="AB665" s="111" t="str">
        <x:f>IF(X665="","",IF(AA665&gt;='추천_테스트'!$B$10,"안정",IF(AA665&gt;='추천_테스트'!$B$11,"적정",IF(AA665&gt;='추천_테스트'!$B$12,"소신","상향"))))</x:f>
        <x:v>안정</x:v>
      </x:c>
      <x:c r="AC665" s="137"/>
      <x:c r="AD665" s="137"/>
      <x:c r="AE665" s="137"/>
      <x:c r="AF665" s="113" t="str">
        <x:v>v5 지방 사립대 확장: 공식 2025학년도 정시 70% cut 평균(백분위) 제공</x:v>
      </x:c>
      <x:c r="AG665" s="113" t="str">
        <x:v>https://www.adiga.kr/ucp/uvt/uni/univDetailSelection.do?menuId=PCUVTINF2000&amp;searchSyr=2026&amp;unvCd=0000105</x:v>
      </x:c>
    </x:row>
    <x:row r="666" ht="18" customHeight="1">
      <x:c r="A666" s="111" t="n">
        <x:v>2025</x:v>
      </x:c>
      <x:c r="B666" s="111" t="str">
        <x:v>부산광역시</x:v>
      </x:c>
      <x:c r="C666" s="111" t="str">
        <x:v>사립</x:v>
      </x:c>
      <x:c r="D666" s="111" t="str">
        <x:v>동아대학교</x:v>
      </x:c>
      <x:c r="E666" s="111" t="str">
        <x:v>나</x:v>
      </x:c>
      <x:c r="F666" s="111" t="str">
        <x:v>수능(일반전형)</x:v>
      </x:c>
      <x:c r="G666" s="111" t="str">
        <x:v>바이오메디컬학과</x:v>
      </x:c>
      <x:c r="H666" s="136"/>
      <x:c r="I666" s="136"/>
      <x:c r="J666" s="136" t="n">
        <x:v>10</x:v>
      </x:c>
      <x:c r="K666" s="137" t="n">
        <x:v>3.6</x:v>
      </x:c>
      <x:c r="L666" s="136" t="n">
        <x:v>17</x:v>
      </x:c>
      <x:c r="M666" s="137" t="n">
        <x:v>524</x:v>
      </x:c>
      <x:c r="N666" s="137" t="n">
        <x:v>521.48</x:v>
      </x:c>
      <x:c r="O666" s="137" t="n">
        <x:v>800</x:v>
      </x:c>
      <x:c r="P666" s="137"/>
      <x:c r="Q666" s="137"/>
      <x:c r="R666" s="137"/>
      <x:c r="S666" s="137"/>
      <x:c r="T666" s="136"/>
      <x:c r="U666" s="136"/>
      <x:c r="V666" s="137" t="n">
        <x:v>63</x:v>
      </x:c>
      <x:c r="W666" s="137" t="str">
        <x:f>IF(COUNT(P666:S666)&gt;=3,AVERAGE(P666:S666),"")</x:f>
      </x:c>
      <x:c r="X666" s="137" t="n">
        <x:f>IF(V666&lt;&gt;"",V666,W666)</x:f>
        <x:v>63</x:v>
      </x:c>
      <x:c r="Y666" s="111" t="str">
        <x:v>공식 70% 평균백분위</x:v>
      </x:c>
      <x:c r="Z666" s="137" t="n">
        <x:f>'추천_테스트'!$B$8</x:f>
        <x:v>80</x:v>
      </x:c>
      <x:c r="AA666" s="137" t="n">
        <x:f>IF(X666="","",Z666-X666)</x:f>
        <x:v>17</x:v>
      </x:c>
      <x:c r="AB666" s="111" t="str">
        <x:f>IF(X666="","",IF(AA666&gt;='추천_테스트'!$B$10,"안정",IF(AA666&gt;='추천_테스트'!$B$11,"적정",IF(AA666&gt;='추천_테스트'!$B$12,"소신","상향"))))</x:f>
        <x:v>안정</x:v>
      </x:c>
      <x:c r="AC666" s="137"/>
      <x:c r="AD666" s="137"/>
      <x:c r="AE666" s="137"/>
      <x:c r="AF666" s="113" t="str">
        <x:v>v5 지방 사립대 확장: 공식 2025학년도 정시 70% cut 평균(백분위) 제공</x:v>
      </x:c>
      <x:c r="AG666" s="113" t="str">
        <x:v>https://www.adiga.kr/ucp/uvt/uni/univDetailSelection.do?menuId=PCUVTINF2000&amp;searchSyr=2026&amp;unvCd=0000105</x:v>
      </x:c>
    </x:row>
    <x:row r="667" ht="18" customHeight="1">
      <x:c r="A667" s="111" t="n">
        <x:v>2025</x:v>
      </x:c>
      <x:c r="B667" s="111" t="str">
        <x:v>부산광역시</x:v>
      </x:c>
      <x:c r="C667" s="111" t="str">
        <x:v>사립</x:v>
      </x:c>
      <x:c r="D667" s="111" t="str">
        <x:v>동아대학교</x:v>
      </x:c>
      <x:c r="E667" s="111" t="str">
        <x:v>나</x:v>
      </x:c>
      <x:c r="F667" s="111" t="str">
        <x:v>수능(일반전형)</x:v>
      </x:c>
      <x:c r="G667" s="111" t="str">
        <x:v>정치외교학전공</x:v>
      </x:c>
      <x:c r="H667" s="136"/>
      <x:c r="I667" s="136"/>
      <x:c r="J667" s="136" t="n">
        <x:v>7</x:v>
      </x:c>
      <x:c r="K667" s="137" t="n">
        <x:v>5.14</x:v>
      </x:c>
      <x:c r="L667" s="136" t="n">
        <x:v>3</x:v>
      </x:c>
      <x:c r="M667" s="137" t="n">
        <x:v>530</x:v>
      </x:c>
      <x:c r="N667" s="137" t="n">
        <x:v>529</x:v>
      </x:c>
      <x:c r="O667" s="137" t="n">
        <x:v>800</x:v>
      </x:c>
      <x:c r="P667" s="137"/>
      <x:c r="Q667" s="137"/>
      <x:c r="R667" s="137"/>
      <x:c r="S667" s="137"/>
      <x:c r="T667" s="136"/>
      <x:c r="U667" s="136"/>
      <x:c r="V667" s="137" t="n">
        <x:v>64.33</x:v>
      </x:c>
      <x:c r="W667" s="137" t="str">
        <x:f>IF(COUNT(P667:S667)&gt;=3,AVERAGE(P667:S667),"")</x:f>
      </x:c>
      <x:c r="X667" s="137" t="n">
        <x:f>IF(V667&lt;&gt;"",V667,W667)</x:f>
        <x:v>64.33</x:v>
      </x:c>
      <x:c r="Y667" s="111" t="str">
        <x:v>공식 70% 평균백분위</x:v>
      </x:c>
      <x:c r="Z667" s="137" t="n">
        <x:f>'추천_테스트'!$B$8</x:f>
        <x:v>80</x:v>
      </x:c>
      <x:c r="AA667" s="137" t="n">
        <x:f>IF(X667="","",Z667-X667)</x:f>
        <x:v>15.670000000000002</x:v>
      </x:c>
      <x:c r="AB667" s="111" t="str">
        <x:f>IF(X667="","",IF(AA667&gt;='추천_테스트'!$B$10,"안정",IF(AA667&gt;='추천_테스트'!$B$11,"적정",IF(AA667&gt;='추천_테스트'!$B$12,"소신","상향"))))</x:f>
        <x:v>안정</x:v>
      </x:c>
      <x:c r="AC667" s="137"/>
      <x:c r="AD667" s="137"/>
      <x:c r="AE667" s="137"/>
      <x:c r="AF667" s="113" t="str">
        <x:v>v5 지방 사립대 확장: 공식 2025학년도 정시 70% cut 평균(백분위) 제공</x:v>
      </x:c>
      <x:c r="AG667" s="113" t="str">
        <x:v>https://www.adiga.kr/ucp/uvt/uni/univDetailSelection.do?menuId=PCUVTINF2000&amp;searchSyr=2026&amp;unvCd=0000105</x:v>
      </x:c>
    </x:row>
    <x:row r="668" ht="18" customHeight="1">
      <x:c r="A668" s="111" t="n">
        <x:v>2025</x:v>
      </x:c>
      <x:c r="B668" s="111" t="str">
        <x:v>부산광역시</x:v>
      </x:c>
      <x:c r="C668" s="111" t="str">
        <x:v>사립</x:v>
      </x:c>
      <x:c r="D668" s="111" t="str">
        <x:v>동아대학교</x:v>
      </x:c>
      <x:c r="E668" s="111" t="str">
        <x:v>나</x:v>
      </x:c>
      <x:c r="F668" s="111" t="str">
        <x:v>수능(일반전형)</x:v>
      </x:c>
      <x:c r="G668" s="111" t="str">
        <x:v>사회학전공</x:v>
      </x:c>
      <x:c r="H668" s="136"/>
      <x:c r="I668" s="136"/>
      <x:c r="J668" s="136" t="n">
        <x:v>6</x:v>
      </x:c>
      <x:c r="K668" s="137" t="n">
        <x:v>4.83</x:v>
      </x:c>
      <x:c r="L668" s="136" t="n">
        <x:v>3</x:v>
      </x:c>
      <x:c r="M668" s="137" t="n">
        <x:v>517</x:v>
      </x:c>
      <x:c r="N668" s="137" t="n">
        <x:v>508</x:v>
      </x:c>
      <x:c r="O668" s="137" t="n">
        <x:v>800</x:v>
      </x:c>
      <x:c r="P668" s="137"/>
      <x:c r="Q668" s="137"/>
      <x:c r="R668" s="137"/>
      <x:c r="S668" s="137"/>
      <x:c r="T668" s="136"/>
      <x:c r="U668" s="136"/>
      <x:c r="V668" s="137" t="n">
        <x:v>58.33</x:v>
      </x:c>
      <x:c r="W668" s="137" t="str">
        <x:f>IF(COUNT(P668:S668)&gt;=3,AVERAGE(P668:S668),"")</x:f>
      </x:c>
      <x:c r="X668" s="137" t="n">
        <x:f>IF(V668&lt;&gt;"",V668,W668)</x:f>
        <x:v>58.33</x:v>
      </x:c>
      <x:c r="Y668" s="111" t="str">
        <x:v>공식 70% 평균백분위</x:v>
      </x:c>
      <x:c r="Z668" s="137" t="n">
        <x:f>'추천_테스트'!$B$8</x:f>
        <x:v>80</x:v>
      </x:c>
      <x:c r="AA668" s="137" t="n">
        <x:f>IF(X668="","",Z668-X668)</x:f>
        <x:v>21.67</x:v>
      </x:c>
      <x:c r="AB668" s="111" t="str">
        <x:f>IF(X668="","",IF(AA668&gt;='추천_테스트'!$B$10,"안정",IF(AA668&gt;='추천_테스트'!$B$11,"적정",IF(AA668&gt;='추천_테스트'!$B$12,"소신","상향"))))</x:f>
        <x:v>안정</x:v>
      </x:c>
      <x:c r="AC668" s="137"/>
      <x:c r="AD668" s="137"/>
      <x:c r="AE668" s="137"/>
      <x:c r="AF668" s="113" t="str">
        <x:v>v5 지방 사립대 확장: 공식 2025학년도 정시 70% cut 평균(백분위) 제공</x:v>
      </x:c>
      <x:c r="AG668" s="113" t="str">
        <x:v>https://www.adiga.kr/ucp/uvt/uni/univDetailSelection.do?menuId=PCUVTINF2000&amp;searchSyr=2026&amp;unvCd=0000105</x:v>
      </x:c>
    </x:row>
    <x:row r="669" ht="18" customHeight="1">
      <x:c r="A669" s="111" t="n">
        <x:v>2025</x:v>
      </x:c>
      <x:c r="B669" s="111" t="str">
        <x:v>경상남도</x:v>
      </x:c>
      <x:c r="C669" s="111" t="str">
        <x:v>사립</x:v>
      </x:c>
      <x:c r="D669" s="111" t="str">
        <x:v>인제대학교</x:v>
      </x:c>
      <x:c r="E669" s="111" t="str">
        <x:v>가</x:v>
      </x:c>
      <x:c r="F669" s="111" t="str">
        <x:v>수능(일반전형)</x:v>
      </x:c>
      <x:c r="G669" s="111" t="str">
        <x:v>의예과</x:v>
      </x:c>
      <x:c r="H669" s="136"/>
      <x:c r="I669" s="136"/>
      <x:c r="J669" s="136" t="n">
        <x:v>19</x:v>
      </x:c>
      <x:c r="K669" s="137" t="n">
        <x:v>6.16</x:v>
      </x:c>
      <x:c r="L669" s="136" t="n">
        <x:v>18</x:v>
      </x:c>
      <x:c r="M669" s="137"/>
      <x:c r="N669" s="137" t="n">
        <x:v>542</x:v>
      </x:c>
      <x:c r="O669" s="137" t="n">
        <x:v>735</x:v>
      </x:c>
      <x:c r="P669" s="137"/>
      <x:c r="Q669" s="137"/>
      <x:c r="R669" s="137"/>
      <x:c r="S669" s="137"/>
      <x:c r="T669" s="136"/>
      <x:c r="U669" s="136"/>
      <x:c r="V669" s="137" t="n">
        <x:v>97.72</x:v>
      </x:c>
      <x:c r="W669" s="137" t="str">
        <x:f>IF(COUNT(P669:S669)&gt;=3,AVERAGE(P669:S669),"")</x:f>
      </x:c>
      <x:c r="X669" s="137" t="n">
        <x:f>IF(V669&lt;&gt;"",V669,W669)</x:f>
        <x:v>97.72</x:v>
      </x:c>
      <x:c r="Y669" s="111" t="str">
        <x:v>공식 70% 평균백분위</x:v>
      </x:c>
      <x:c r="Z669" s="137" t="n">
        <x:f>'추천_테스트'!$B$8</x:f>
        <x:v>80</x:v>
      </x:c>
      <x:c r="AA669" s="137" t="n">
        <x:f>IF(X669="","",Z669-X669)</x:f>
        <x:v>-17.72</x:v>
      </x:c>
      <x:c r="AB669" s="111" t="str">
        <x:f>IF(X669="","",IF(AA669&gt;='추천_테스트'!$B$10,"안정",IF(AA669&gt;='추천_테스트'!$B$11,"적정",IF(AA669&gt;='추천_테스트'!$B$12,"소신","상향"))))</x:f>
        <x:v>상향</x:v>
      </x:c>
      <x:c r="AC669" s="137"/>
      <x:c r="AD669" s="137"/>
      <x:c r="AE669" s="137"/>
      <x:c r="AF669" s="113" t="str">
        <x:v>v5 지방 사립대 확장: 공식 2025학년도 정시 70% cut 평균(백분위) 제공</x:v>
      </x:c>
      <x:c r="AG669" s="113" t="str">
        <x:v>https://www.adiga.kr/ucp/uvt/uni/univDetailSelection.do?menuId=PCUVTINF2000&amp;searchSyr=2026&amp;unvCd=0000164</x:v>
      </x:c>
    </x:row>
    <x:row r="670" ht="18" customHeight="1">
      <x:c r="A670" s="111" t="n">
        <x:v>2025</x:v>
      </x:c>
      <x:c r="B670" s="111" t="str">
        <x:v>경상남도</x:v>
      </x:c>
      <x:c r="C670" s="111" t="str">
        <x:v>사립</x:v>
      </x:c>
      <x:c r="D670" s="111" t="str">
        <x:v>인제대학교</x:v>
      </x:c>
      <x:c r="E670" s="111" t="str">
        <x:v>가</x:v>
      </x:c>
      <x:c r="F670" s="111" t="str">
        <x:v>수능(일반전형)</x:v>
      </x:c>
      <x:c r="G670" s="111" t="str">
        <x:v>약학과</x:v>
      </x:c>
      <x:c r="H670" s="136"/>
      <x:c r="I670" s="136"/>
      <x:c r="J670" s="136" t="n">
        <x:v>6</x:v>
      </x:c>
      <x:c r="K670" s="137" t="n">
        <x:v>12</x:v>
      </x:c>
      <x:c r="L670" s="136" t="n">
        <x:v>15</x:v>
      </x:c>
      <x:c r="M670" s="137"/>
      <x:c r="N670" s="137" t="n">
        <x:v>527</x:v>
      </x:c>
      <x:c r="O670" s="137" t="n">
        <x:v>735</x:v>
      </x:c>
      <x:c r="P670" s="137"/>
      <x:c r="Q670" s="137"/>
      <x:c r="R670" s="137"/>
      <x:c r="S670" s="137"/>
      <x:c r="T670" s="136"/>
      <x:c r="U670" s="136"/>
      <x:c r="V670" s="137" t="n">
        <x:v>94.38</x:v>
      </x:c>
      <x:c r="W670" s="137" t="str">
        <x:f>IF(COUNT(P670:S670)&gt;=3,AVERAGE(P670:S670),"")</x:f>
      </x:c>
      <x:c r="X670" s="137" t="n">
        <x:f>IF(V670&lt;&gt;"",V670,W670)</x:f>
        <x:v>94.38</x:v>
      </x:c>
      <x:c r="Y670" s="111" t="str">
        <x:v>공식 70% 평균백분위</x:v>
      </x:c>
      <x:c r="Z670" s="137" t="n">
        <x:f>'추천_테스트'!$B$8</x:f>
        <x:v>80</x:v>
      </x:c>
      <x:c r="AA670" s="137" t="n">
        <x:f>IF(X670="","",Z670-X670)</x:f>
        <x:v>-14.379999999999995</x:v>
      </x:c>
      <x:c r="AB670" s="111" t="str">
        <x:f>IF(X670="","",IF(AA670&gt;='추천_테스트'!$B$10,"안정",IF(AA670&gt;='추천_테스트'!$B$11,"적정",IF(AA670&gt;='추천_테스트'!$B$12,"소신","상향"))))</x:f>
        <x:v>상향</x:v>
      </x:c>
      <x:c r="AC670" s="137"/>
      <x:c r="AD670" s="137"/>
      <x:c r="AE670" s="137"/>
      <x:c r="AF670" s="113" t="str">
        <x:v>v5 지방 사립대 확장: 공식 2025학년도 정시 70% cut 평균(백분위) 제공</x:v>
      </x:c>
      <x:c r="AG670" s="113" t="str">
        <x:v>https://www.adiga.kr/ucp/uvt/uni/univDetailSelection.do?menuId=PCUVTINF2000&amp;searchSyr=2026&amp;unvCd=0000164</x:v>
      </x:c>
    </x:row>
    <x:row r="671" ht="18" customHeight="1">
      <x:c r="A671" s="111" t="n">
        <x:v>2025</x:v>
      </x:c>
      <x:c r="B671" s="111" t="str">
        <x:v>경상남도</x:v>
      </x:c>
      <x:c r="C671" s="111" t="str">
        <x:v>사립</x:v>
      </x:c>
      <x:c r="D671" s="111" t="str">
        <x:v>인제대학교</x:v>
      </x:c>
      <x:c r="E671" s="111" t="str">
        <x:v>가</x:v>
      </x:c>
      <x:c r="F671" s="111" t="str">
        <x:v>수능(일반전형)</x:v>
      </x:c>
      <x:c r="G671" s="111" t="str">
        <x:v>간호학과</x:v>
      </x:c>
      <x:c r="H671" s="136"/>
      <x:c r="I671" s="136"/>
      <x:c r="J671" s="136" t="n">
        <x:v>19</x:v>
      </x:c>
      <x:c r="K671" s="137" t="n">
        <x:v>4.05</x:v>
      </x:c>
      <x:c r="L671" s="136" t="n">
        <x:v>23</x:v>
      </x:c>
      <x:c r="M671" s="137"/>
      <x:c r="N671" s="137" t="n">
        <x:v>479</x:v>
      </x:c>
      <x:c r="O671" s="137" t="n">
        <x:v>735</x:v>
      </x:c>
      <x:c r="P671" s="137"/>
      <x:c r="Q671" s="137"/>
      <x:c r="R671" s="137"/>
      <x:c r="S671" s="137"/>
      <x:c r="T671" s="136"/>
      <x:c r="U671" s="136"/>
      <x:c r="V671" s="137" t="n">
        <x:v>76.34</x:v>
      </x:c>
      <x:c r="W671" s="137" t="str">
        <x:f>IF(COUNT(P671:S671)&gt;=3,AVERAGE(P671:S671),"")</x:f>
      </x:c>
      <x:c r="X671" s="137" t="n">
        <x:f>IF(V671&lt;&gt;"",V671,W671)</x:f>
        <x:v>76.34</x:v>
      </x:c>
      <x:c r="Y671" s="111" t="str">
        <x:v>공식 70% 평균백분위</x:v>
      </x:c>
      <x:c r="Z671" s="137" t="n">
        <x:f>'추천_테스트'!$B$8</x:f>
        <x:v>80</x:v>
      </x:c>
      <x:c r="AA671" s="137" t="n">
        <x:f>IF(X671="","",Z671-X671)</x:f>
        <x:v>3.6599999999999966</x:v>
      </x:c>
      <x:c r="AB671" s="111" t="str">
        <x:f>IF(X671="","",IF(AA671&gt;='추천_테스트'!$B$10,"안정",IF(AA671&gt;='추천_테스트'!$B$11,"적정",IF(AA671&gt;='추천_테스트'!$B$12,"소신","상향"))))</x:f>
        <x:v>적정</x:v>
      </x:c>
      <x:c r="AC671" s="137"/>
      <x:c r="AD671" s="137"/>
      <x:c r="AE671" s="137"/>
      <x:c r="AF671" s="113" t="str">
        <x:v>v5 지방 사립대 확장: 공식 2025학년도 정시 70% cut 평균(백분위) 제공</x:v>
      </x:c>
      <x:c r="AG671" s="113" t="str">
        <x:v>https://www.adiga.kr/ucp/uvt/uni/univDetailSelection.do?menuId=PCUVTINF2000&amp;searchSyr=2026&amp;unvCd=0000164</x:v>
      </x:c>
    </x:row>
    <x:row r="672" ht="18" customHeight="1">
      <x:c r="A672" s="111" t="n">
        <x:v>2025</x:v>
      </x:c>
      <x:c r="B672" s="111" t="str">
        <x:v>경상남도</x:v>
      </x:c>
      <x:c r="C672" s="111" t="str">
        <x:v>사립</x:v>
      </x:c>
      <x:c r="D672" s="111" t="str">
        <x:v>인제대학교</x:v>
      </x:c>
      <x:c r="E672" s="111" t="str">
        <x:v>가</x:v>
      </x:c>
      <x:c r="F672" s="111" t="str">
        <x:v>수능(일반전형)</x:v>
      </x:c>
      <x:c r="G672" s="111" t="str">
        <x:v>물리치료학과</x:v>
      </x:c>
      <x:c r="H672" s="136"/>
      <x:c r="I672" s="136"/>
      <x:c r="J672" s="136" t="n">
        <x:v>4</x:v>
      </x:c>
      <x:c r="K672" s="137" t="n">
        <x:v>7</x:v>
      </x:c>
      <x:c r="L672" s="136" t="n">
        <x:v>7</x:v>
      </x:c>
      <x:c r="M672" s="137"/>
      <x:c r="N672" s="137" t="n">
        <x:v>459</x:v>
      </x:c>
      <x:c r="O672" s="137" t="n">
        <x:v>735</x:v>
      </x:c>
      <x:c r="P672" s="137"/>
      <x:c r="Q672" s="137"/>
      <x:c r="R672" s="137"/>
      <x:c r="S672" s="137"/>
      <x:c r="T672" s="136"/>
      <x:c r="U672" s="136"/>
      <x:c r="V672" s="137" t="n">
        <x:v>66.88</x:v>
      </x:c>
      <x:c r="W672" s="137" t="str">
        <x:f>IF(COUNT(P672:S672)&gt;=3,AVERAGE(P672:S672),"")</x:f>
      </x:c>
      <x:c r="X672" s="137" t="n">
        <x:f>IF(V672&lt;&gt;"",V672,W672)</x:f>
        <x:v>66.88</x:v>
      </x:c>
      <x:c r="Y672" s="111" t="str">
        <x:v>공식 70% 평균백분위</x:v>
      </x:c>
      <x:c r="Z672" s="137" t="n">
        <x:f>'추천_테스트'!$B$8</x:f>
        <x:v>80</x:v>
      </x:c>
      <x:c r="AA672" s="137" t="n">
        <x:f>IF(X672="","",Z672-X672)</x:f>
        <x:v>13.120000000000005</x:v>
      </x:c>
      <x:c r="AB672" s="111" t="str">
        <x:f>IF(X672="","",IF(AA672&gt;='추천_테스트'!$B$10,"안정",IF(AA672&gt;='추천_테스트'!$B$11,"적정",IF(AA672&gt;='추천_테스트'!$B$12,"소신","상향"))))</x:f>
        <x:v>안정</x:v>
      </x:c>
      <x:c r="AC672" s="137"/>
      <x:c r="AD672" s="137"/>
      <x:c r="AE672" s="137"/>
      <x:c r="AF672" s="113" t="str">
        <x:v>v5 지방 사립대 확장: 공식 2025학년도 정시 70% cut 평균(백분위) 제공</x:v>
      </x:c>
      <x:c r="AG672" s="113" t="str">
        <x:v>https://www.adiga.kr/ucp/uvt/uni/univDetailSelection.do?menuId=PCUVTINF2000&amp;searchSyr=2026&amp;unvCd=0000164</x:v>
      </x:c>
    </x:row>
    <x:row r="673" ht="18" customHeight="1">
      <x:c r="A673" s="111" t="n">
        <x:v>2025</x:v>
      </x:c>
      <x:c r="B673" s="111" t="str">
        <x:v>경상남도</x:v>
      </x:c>
      <x:c r="C673" s="111" t="str">
        <x:v>사립</x:v>
      </x:c>
      <x:c r="D673" s="111" t="str">
        <x:v>인제대학교</x:v>
      </x:c>
      <x:c r="E673" s="111" t="str">
        <x:v>가</x:v>
      </x:c>
      <x:c r="F673" s="111" t="str">
        <x:v>수능(일반전형)</x:v>
      </x:c>
      <x:c r="G673" s="111" t="str">
        <x:v>반려동물보건학과</x:v>
      </x:c>
      <x:c r="H673" s="136"/>
      <x:c r="I673" s="136"/>
      <x:c r="J673" s="136" t="n">
        <x:v>3</x:v>
      </x:c>
      <x:c r="K673" s="137" t="n">
        <x:v>4.33</x:v>
      </x:c>
      <x:c r="L673" s="136" t="n">
        <x:v>10</x:v>
      </x:c>
      <x:c r="M673" s="137"/>
      <x:c r="N673" s="137" t="n">
        <x:v>398</x:v>
      </x:c>
      <x:c r="O673" s="137" t="n">
        <x:v>735</x:v>
      </x:c>
      <x:c r="P673" s="137"/>
      <x:c r="Q673" s="137"/>
      <x:c r="R673" s="137"/>
      <x:c r="S673" s="137"/>
      <x:c r="T673" s="136"/>
      <x:c r="U673" s="136"/>
      <x:c r="V673" s="137" t="n">
        <x:v>42.45</x:v>
      </x:c>
      <x:c r="W673" s="137" t="str">
        <x:f>IF(COUNT(P673:S673)&gt;=3,AVERAGE(P673:S673),"")</x:f>
      </x:c>
      <x:c r="X673" s="137" t="n">
        <x:f>IF(V673&lt;&gt;"",V673,W673)</x:f>
        <x:v>42.45</x:v>
      </x:c>
      <x:c r="Y673" s="111" t="str">
        <x:v>공식 70% 평균백분위</x:v>
      </x:c>
      <x:c r="Z673" s="137" t="n">
        <x:f>'추천_테스트'!$B$8</x:f>
        <x:v>80</x:v>
      </x:c>
      <x:c r="AA673" s="137" t="n">
        <x:f>IF(X673="","",Z673-X673)</x:f>
        <x:v>37.55</x:v>
      </x:c>
      <x:c r="AB673" s="111" t="str">
        <x:f>IF(X673="","",IF(AA673&gt;='추천_테스트'!$B$10,"안정",IF(AA673&gt;='추천_테스트'!$B$11,"적정",IF(AA673&gt;='추천_테스트'!$B$12,"소신","상향"))))</x:f>
        <x:v>안정</x:v>
      </x:c>
      <x:c r="AC673" s="137"/>
      <x:c r="AD673" s="137"/>
      <x:c r="AE673" s="137"/>
      <x:c r="AF673" s="113" t="str">
        <x:v>v5 지방 사립대 확장: 공식 2025학년도 정시 70% cut 평균(백분위) 제공</x:v>
      </x:c>
      <x:c r="AG673" s="113" t="str">
        <x:v>https://www.adiga.kr/ucp/uvt/uni/univDetailSelection.do?menuId=PCUVTINF2000&amp;searchSyr=2026&amp;unvCd=0000164</x:v>
      </x:c>
    </x:row>
    <x:row r="674" ht="18" customHeight="1">
      <x:c r="A674" s="111" t="n">
        <x:v>2025</x:v>
      </x:c>
      <x:c r="B674" s="111" t="str">
        <x:v>경상남도</x:v>
      </x:c>
      <x:c r="C674" s="111" t="str">
        <x:v>사립</x:v>
      </x:c>
      <x:c r="D674" s="111" t="str">
        <x:v>인제대학교</x:v>
      </x:c>
      <x:c r="E674" s="111" t="str">
        <x:v>가</x:v>
      </x:c>
      <x:c r="F674" s="111" t="str">
        <x:v>수능(일반전형)</x:v>
      </x:c>
      <x:c r="G674" s="111" t="str">
        <x:v>방사선학과</x:v>
      </x:c>
      <x:c r="H674" s="136"/>
      <x:c r="I674" s="136"/>
      <x:c r="J674" s="136" t="n">
        <x:v>2</x:v>
      </x:c>
      <x:c r="K674" s="137" t="n">
        <x:v>13.5</x:v>
      </x:c>
      <x:c r="L674" s="136" t="n">
        <x:v>3</x:v>
      </x:c>
      <x:c r="M674" s="137"/>
      <x:c r="N674" s="137" t="n">
        <x:v>471</x:v>
      </x:c>
      <x:c r="O674" s="137" t="n">
        <x:v>735</x:v>
      </x:c>
      <x:c r="P674" s="137"/>
      <x:c r="Q674" s="137"/>
      <x:c r="R674" s="137"/>
      <x:c r="S674" s="137"/>
      <x:c r="T674" s="136"/>
      <x:c r="U674" s="136"/>
      <x:c r="V674" s="137" t="n">
        <x:v>69.5</x:v>
      </x:c>
      <x:c r="W674" s="137" t="str">
        <x:f>IF(COUNT(P674:S674)&gt;=3,AVERAGE(P674:S674),"")</x:f>
      </x:c>
      <x:c r="X674" s="137" t="n">
        <x:f>IF(V674&lt;&gt;"",V674,W674)</x:f>
        <x:v>69.5</x:v>
      </x:c>
      <x:c r="Y674" s="111" t="str">
        <x:v>공식 70% 평균백분위</x:v>
      </x:c>
      <x:c r="Z674" s="137" t="n">
        <x:f>'추천_테스트'!$B$8</x:f>
        <x:v>80</x:v>
      </x:c>
      <x:c r="AA674" s="137" t="n">
        <x:f>IF(X674="","",Z674-X674)</x:f>
        <x:v>10.5</x:v>
      </x:c>
      <x:c r="AB674" s="111" t="str">
        <x:f>IF(X674="","",IF(AA674&gt;='추천_테스트'!$B$10,"안정",IF(AA674&gt;='추천_테스트'!$B$11,"적정",IF(AA674&gt;='추천_테스트'!$B$12,"소신","상향"))))</x:f>
        <x:v>안정</x:v>
      </x:c>
      <x:c r="AC674" s="137"/>
      <x:c r="AD674" s="137"/>
      <x:c r="AE674" s="137"/>
      <x:c r="AF674" s="113" t="str">
        <x:v>v5 지방 사립대 확장: 공식 2025학년도 정시 70% cut 평균(백분위) 제공</x:v>
      </x:c>
      <x:c r="AG674" s="113" t="str">
        <x:v>https://www.adiga.kr/ucp/uvt/uni/univDetailSelection.do?menuId=PCUVTINF2000&amp;searchSyr=2026&amp;unvCd=0000164</x:v>
      </x:c>
    </x:row>
    <x:row r="675" ht="18" customHeight="1">
      <x:c r="A675" s="111" t="n">
        <x:v>2025</x:v>
      </x:c>
      <x:c r="B675" s="111" t="str">
        <x:v>경상남도</x:v>
      </x:c>
      <x:c r="C675" s="111" t="str">
        <x:v>사립</x:v>
      </x:c>
      <x:c r="D675" s="111" t="str">
        <x:v>인제대학교</x:v>
      </x:c>
      <x:c r="E675" s="111" t="str">
        <x:v>가</x:v>
      </x:c>
      <x:c r="F675" s="111" t="str">
        <x:v>수능(일반전형)</x:v>
      </x:c>
      <x:c r="G675" s="111" t="str">
        <x:v>작업치료학과</x:v>
      </x:c>
      <x:c r="H675" s="136"/>
      <x:c r="I675" s="136"/>
      <x:c r="J675" s="136" t="n">
        <x:v>2</x:v>
      </x:c>
      <x:c r="K675" s="137" t="n">
        <x:v>3.5</x:v>
      </x:c>
      <x:c r="L675" s="136" t="n">
        <x:v>5</x:v>
      </x:c>
      <x:c r="M675" s="137"/>
      <x:c r="N675" s="137" t="n">
        <x:v>438</x:v>
      </x:c>
      <x:c r="O675" s="137" t="n">
        <x:v>735</x:v>
      </x:c>
      <x:c r="P675" s="137"/>
      <x:c r="Q675" s="137"/>
      <x:c r="R675" s="137"/>
      <x:c r="S675" s="137"/>
      <x:c r="T675" s="136"/>
      <x:c r="U675" s="136"/>
      <x:c r="V675" s="137" t="n">
        <x:v>56.25</x:v>
      </x:c>
      <x:c r="W675" s="137" t="str">
        <x:f>IF(COUNT(P675:S675)&gt;=3,AVERAGE(P675:S675),"")</x:f>
      </x:c>
      <x:c r="X675" s="137" t="n">
        <x:f>IF(V675&lt;&gt;"",V675,W675)</x:f>
        <x:v>56.25</x:v>
      </x:c>
      <x:c r="Y675" s="111" t="str">
        <x:v>공식 70% 평균백분위</x:v>
      </x:c>
      <x:c r="Z675" s="137" t="n">
        <x:f>'추천_테스트'!$B$8</x:f>
        <x:v>80</x:v>
      </x:c>
      <x:c r="AA675" s="137" t="n">
        <x:f>IF(X675="","",Z675-X675)</x:f>
        <x:v>23.75</x:v>
      </x:c>
      <x:c r="AB675" s="111" t="str">
        <x:f>IF(X675="","",IF(AA675&gt;='추천_테스트'!$B$10,"안정",IF(AA675&gt;='추천_테스트'!$B$11,"적정",IF(AA675&gt;='추천_테스트'!$B$12,"소신","상향"))))</x:f>
        <x:v>안정</x:v>
      </x:c>
      <x:c r="AC675" s="137"/>
      <x:c r="AD675" s="137"/>
      <x:c r="AE675" s="137"/>
      <x:c r="AF675" s="113" t="str">
        <x:v>v5 지방 사립대 확장: 공식 2025학년도 정시 70% cut 평균(백분위) 제공</x:v>
      </x:c>
      <x:c r="AG675" s="113" t="str">
        <x:v>https://www.adiga.kr/ucp/uvt/uni/univDetailSelection.do?menuId=PCUVTINF2000&amp;searchSyr=2026&amp;unvCd=0000164</x:v>
      </x:c>
    </x:row>
    <x:row r="676" ht="18" customHeight="1">
      <x:c r="A676" s="111" t="n">
        <x:v>2025</x:v>
      </x:c>
      <x:c r="B676" s="111" t="str">
        <x:v>경상남도</x:v>
      </x:c>
      <x:c r="C676" s="111" t="str">
        <x:v>사립</x:v>
      </x:c>
      <x:c r="D676" s="111" t="str">
        <x:v>인제대학교</x:v>
      </x:c>
      <x:c r="E676" s="111" t="str">
        <x:v>가</x:v>
      </x:c>
      <x:c r="F676" s="111" t="str">
        <x:v>수능(일반전형)</x:v>
      </x:c>
      <x:c r="G676" s="111" t="str">
        <x:v>식품영양·식품공학부</x:v>
      </x:c>
      <x:c r="H676" s="136"/>
      <x:c r="I676" s="136"/>
      <x:c r="J676" s="136" t="n">
        <x:v>7</x:v>
      </x:c>
      <x:c r="K676" s="137" t="n">
        <x:v>3.43</x:v>
      </x:c>
      <x:c r="L676" s="136" t="n">
        <x:v>4</x:v>
      </x:c>
      <x:c r="M676" s="137"/>
      <x:c r="N676" s="137" t="n">
        <x:v>391</x:v>
      </x:c>
      <x:c r="O676" s="137" t="n">
        <x:v>735</x:v>
      </x:c>
      <x:c r="P676" s="137"/>
      <x:c r="Q676" s="137"/>
      <x:c r="R676" s="137"/>
      <x:c r="S676" s="137"/>
      <x:c r="T676" s="136"/>
      <x:c r="U676" s="136"/>
      <x:c r="V676" s="137" t="n">
        <x:v>40.04</x:v>
      </x:c>
      <x:c r="W676" s="137" t="str">
        <x:f>IF(COUNT(P676:S676)&gt;=3,AVERAGE(P676:S676),"")</x:f>
      </x:c>
      <x:c r="X676" s="137" t="n">
        <x:f>IF(V676&lt;&gt;"",V676,W676)</x:f>
        <x:v>40.04</x:v>
      </x:c>
      <x:c r="Y676" s="111" t="str">
        <x:v>공식 70% 평균백분위</x:v>
      </x:c>
      <x:c r="Z676" s="137" t="n">
        <x:f>'추천_테스트'!$B$8</x:f>
        <x:v>80</x:v>
      </x:c>
      <x:c r="AA676" s="137" t="n">
        <x:f>IF(X676="","",Z676-X676)</x:f>
        <x:v>39.96</x:v>
      </x:c>
      <x:c r="AB676" s="111" t="str">
        <x:f>IF(X676="","",IF(AA676&gt;='추천_테스트'!$B$10,"안정",IF(AA676&gt;='추천_테스트'!$B$11,"적정",IF(AA676&gt;='추천_테스트'!$B$12,"소신","상향"))))</x:f>
        <x:v>안정</x:v>
      </x:c>
      <x:c r="AC676" s="137"/>
      <x:c r="AD676" s="137"/>
      <x:c r="AE676" s="137"/>
      <x:c r="AF676" s="113" t="str">
        <x:v>v5 지방 사립대 확장: 공식 2025학년도 정시 70% cut 평균(백분위) 제공</x:v>
      </x:c>
      <x:c r="AG676" s="113" t="str">
        <x:v>https://www.adiga.kr/ucp/uvt/uni/univDetailSelection.do?menuId=PCUVTINF2000&amp;searchSyr=2026&amp;unvCd=0000164</x:v>
      </x:c>
    </x:row>
    <x:row r="677" ht="18" customHeight="1">
      <x:c r="A677" s="111" t="n">
        <x:v>2025</x:v>
      </x:c>
      <x:c r="B677" s="111" t="str">
        <x:v>충청남도</x:v>
      </x:c>
      <x:c r="C677" s="111" t="str">
        <x:v>사립</x:v>
      </x:c>
      <x:c r="D677" s="111" t="str">
        <x:v>호서대학교</x:v>
      </x:c>
      <x:c r="E677" s="111" t="str">
        <x:v>가</x:v>
      </x:c>
      <x:c r="F677" s="111" t="str">
        <x:v>수능(일반전형)</x:v>
      </x:c>
      <x:c r="G677" s="111" t="str">
        <x:v>한국언어문화학과</x:v>
      </x:c>
      <x:c r="H677" s="136"/>
      <x:c r="I677" s="136"/>
      <x:c r="J677" s="136" t="n">
        <x:v>5</x:v>
      </x:c>
      <x:c r="K677" s="137" t="n">
        <x:v>6.6</x:v>
      </x:c>
      <x:c r="L677" s="136" t="n">
        <x:v>6</x:v>
      </x:c>
      <x:c r="M677" s="137"/>
      <x:c r="N677" s="137" t="n">
        <x:v>822.75</x:v>
      </x:c>
      <x:c r="O677" s="137" t="n">
        <x:v>1000</x:v>
      </x:c>
      <x:c r="P677" s="137"/>
      <x:c r="Q677" s="137"/>
      <x:c r="R677" s="137"/>
      <x:c r="S677" s="137"/>
      <x:c r="T677" s="136"/>
      <x:c r="U677" s="136"/>
      <x:c r="V677" s="137" t="n">
        <x:v>63</x:v>
      </x:c>
      <x:c r="W677" s="137" t="str">
        <x:f>IF(COUNT(P677:S677)&gt;=3,AVERAGE(P677:S677),"")</x:f>
      </x:c>
      <x:c r="X677" s="137" t="n">
        <x:f>IF(V677&lt;&gt;"",V677,W677)</x:f>
        <x:v>63</x:v>
      </x:c>
      <x:c r="Y677" s="111" t="str">
        <x:v>공식 70% 평균백분위</x:v>
      </x:c>
      <x:c r="Z677" s="137" t="n">
        <x:f>'추천_테스트'!$B$8</x:f>
        <x:v>80</x:v>
      </x:c>
      <x:c r="AA677" s="137" t="n">
        <x:f>IF(X677="","",Z677-X677)</x:f>
        <x:v>17</x:v>
      </x:c>
      <x:c r="AB677" s="111" t="str">
        <x:f>IF(X677="","",IF(AA677&gt;='추천_테스트'!$B$10,"안정",IF(AA677&gt;='추천_테스트'!$B$11,"적정",IF(AA677&gt;='추천_테스트'!$B$12,"소신","상향"))))</x:f>
        <x:v>안정</x:v>
      </x:c>
      <x:c r="AC677" s="137"/>
      <x:c r="AD677" s="137"/>
      <x:c r="AE677" s="137"/>
      <x:c r="AF677" s="113" t="str">
        <x:v>v5 지방 사립대 확장: 공식 2025학년도 정시 70% cut 평균(백분위) 제공</x:v>
      </x:c>
      <x:c r="AG677" s="113" t="str">
        <x:v>https://www.adiga.kr/ucp/uvt/uni/univDetailSelection.do?menuId=PCUVTINF2000&amp;searchSyr=2026&amp;unvCd=0000211</x:v>
      </x:c>
    </x:row>
    <x:row r="678" ht="18" customHeight="1">
      <x:c r="A678" s="111" t="n">
        <x:v>2025</x:v>
      </x:c>
      <x:c r="B678" s="111" t="str">
        <x:v>충청남도</x:v>
      </x:c>
      <x:c r="C678" s="111" t="str">
        <x:v>사립</x:v>
      </x:c>
      <x:c r="D678" s="111" t="str">
        <x:v>호서대학교</x:v>
      </x:c>
      <x:c r="E678" s="111" t="str">
        <x:v>가</x:v>
      </x:c>
      <x:c r="F678" s="111" t="str">
        <x:v>수능(일반전형)</x:v>
      </x:c>
      <x:c r="G678" s="111" t="str">
        <x:v>영어영문학과</x:v>
      </x:c>
      <x:c r="H678" s="136"/>
      <x:c r="I678" s="136"/>
      <x:c r="J678" s="136" t="n">
        <x:v>11</x:v>
      </x:c>
      <x:c r="K678" s="137" t="n">
        <x:v>8.6</x:v>
      </x:c>
      <x:c r="L678" s="136" t="n">
        <x:v>8</x:v>
      </x:c>
      <x:c r="M678" s="137"/>
      <x:c r="N678" s="137" t="n">
        <x:v>838.65</x:v>
      </x:c>
      <x:c r="O678" s="137" t="n">
        <x:v>1000</x:v>
      </x:c>
      <x:c r="P678" s="137"/>
      <x:c r="Q678" s="137"/>
      <x:c r="R678" s="137"/>
      <x:c r="S678" s="137"/>
      <x:c r="T678" s="136"/>
      <x:c r="U678" s="136"/>
      <x:c r="V678" s="137" t="n">
        <x:v>67.33</x:v>
      </x:c>
      <x:c r="W678" s="137" t="str">
        <x:f>IF(COUNT(P678:S678)&gt;=3,AVERAGE(P678:S678),"")</x:f>
      </x:c>
      <x:c r="X678" s="137" t="n">
        <x:f>IF(V678&lt;&gt;"",V678,W678)</x:f>
        <x:v>67.33</x:v>
      </x:c>
      <x:c r="Y678" s="111" t="str">
        <x:v>공식 70% 평균백분위</x:v>
      </x:c>
      <x:c r="Z678" s="137" t="n">
        <x:f>'추천_테스트'!$B$8</x:f>
        <x:v>80</x:v>
      </x:c>
      <x:c r="AA678" s="137" t="n">
        <x:f>IF(X678="","",Z678-X678)</x:f>
        <x:v>12.670000000000002</x:v>
      </x:c>
      <x:c r="AB678" s="111" t="str">
        <x:f>IF(X678="","",IF(AA678&gt;='추천_테스트'!$B$10,"안정",IF(AA678&gt;='추천_테스트'!$B$11,"적정",IF(AA678&gt;='추천_테스트'!$B$12,"소신","상향"))))</x:f>
        <x:v>안정</x:v>
      </x:c>
      <x:c r="AC678" s="137"/>
      <x:c r="AD678" s="137"/>
      <x:c r="AE678" s="137"/>
      <x:c r="AF678" s="113" t="str">
        <x:v>v5 지방 사립대 확장: 공식 2025학년도 정시 70% cut 평균(백분위) 제공</x:v>
      </x:c>
      <x:c r="AG678" s="113" t="str">
        <x:v>https://www.adiga.kr/ucp/uvt/uni/univDetailSelection.do?menuId=PCUVTINF2000&amp;searchSyr=2026&amp;unvCd=0000211</x:v>
      </x:c>
    </x:row>
    <x:row r="679" ht="18" customHeight="1">
      <x:c r="A679" s="111" t="n">
        <x:v>2025</x:v>
      </x:c>
      <x:c r="B679" s="111" t="str">
        <x:v>충청남도</x:v>
      </x:c>
      <x:c r="C679" s="111" t="str">
        <x:v>사립</x:v>
      </x:c>
      <x:c r="D679" s="111" t="str">
        <x:v>호서대학교</x:v>
      </x:c>
      <x:c r="E679" s="111" t="str">
        <x:v>가</x:v>
      </x:c>
      <x:c r="F679" s="111" t="str">
        <x:v>수능(일반전형)</x:v>
      </x:c>
      <x:c r="G679" s="111" t="str">
        <x:v>중국학과</x:v>
      </x:c>
      <x:c r="H679" s="136"/>
      <x:c r="I679" s="136"/>
      <x:c r="J679" s="136" t="n">
        <x:v>16</x:v>
      </x:c>
      <x:c r="K679" s="137" t="n">
        <x:v>6.6</x:v>
      </x:c>
      <x:c r="L679" s="136" t="n">
        <x:v>23</x:v>
      </x:c>
      <x:c r="M679" s="137"/>
      <x:c r="N679" s="137" t="n">
        <x:v>823.25</x:v>
      </x:c>
      <x:c r="O679" s="137" t="n">
        <x:v>1000</x:v>
      </x:c>
      <x:c r="P679" s="137"/>
      <x:c r="Q679" s="137"/>
      <x:c r="R679" s="137"/>
      <x:c r="S679" s="137"/>
      <x:c r="T679" s="136"/>
      <x:c r="U679" s="136"/>
      <x:c r="V679" s="137" t="n">
        <x:v>63.33</x:v>
      </x:c>
      <x:c r="W679" s="137" t="str">
        <x:f>IF(COUNT(P679:S679)&gt;=3,AVERAGE(P679:S679),"")</x:f>
      </x:c>
      <x:c r="X679" s="137" t="n">
        <x:f>IF(V679&lt;&gt;"",V679,W679)</x:f>
        <x:v>63.33</x:v>
      </x:c>
      <x:c r="Y679" s="111" t="str">
        <x:v>공식 70% 평균백분위</x:v>
      </x:c>
      <x:c r="Z679" s="137" t="n">
        <x:f>'추천_테스트'!$B$8</x:f>
        <x:v>80</x:v>
      </x:c>
      <x:c r="AA679" s="137" t="n">
        <x:f>IF(X679="","",Z679-X679)</x:f>
        <x:v>16.67</x:v>
      </x:c>
      <x:c r="AB679" s="111" t="str">
        <x:f>IF(X679="","",IF(AA679&gt;='추천_테스트'!$B$10,"안정",IF(AA679&gt;='추천_테스트'!$B$11,"적정",IF(AA679&gt;='추천_테스트'!$B$12,"소신","상향"))))</x:f>
        <x:v>안정</x:v>
      </x:c>
      <x:c r="AC679" s="137"/>
      <x:c r="AD679" s="137"/>
      <x:c r="AE679" s="137"/>
      <x:c r="AF679" s="113" t="str">
        <x:v>v5 지방 사립대 확장: 공식 2025학년도 정시 70% cut 평균(백분위) 제공</x:v>
      </x:c>
      <x:c r="AG679" s="113" t="str">
        <x:v>https://www.adiga.kr/ucp/uvt/uni/univDetailSelection.do?menuId=PCUVTINF2000&amp;searchSyr=2026&amp;unvCd=0000211</x:v>
      </x:c>
    </x:row>
    <x:row r="680" ht="18" customHeight="1">
      <x:c r="A680" s="111" t="n">
        <x:v>2025</x:v>
      </x:c>
      <x:c r="B680" s="111" t="str">
        <x:v>충청남도</x:v>
      </x:c>
      <x:c r="C680" s="111" t="str">
        <x:v>사립</x:v>
      </x:c>
      <x:c r="D680" s="111" t="str">
        <x:v>호서대학교</x:v>
      </x:c>
      <x:c r="E680" s="111" t="str">
        <x:v>가</x:v>
      </x:c>
      <x:c r="F680" s="111" t="str">
        <x:v>수능(일반전형)</x:v>
      </x:c>
      <x:c r="G680" s="111" t="str">
        <x:v>법경찰행정학과</x:v>
      </x:c>
      <x:c r="H680" s="136"/>
      <x:c r="I680" s="136"/>
      <x:c r="J680" s="136" t="n">
        <x:v>12</x:v>
      </x:c>
      <x:c r="K680" s="137" t="n">
        <x:v>4.2</x:v>
      </x:c>
      <x:c r="L680" s="136" t="n">
        <x:v>17</x:v>
      </x:c>
      <x:c r="M680" s="137"/>
      <x:c r="N680" s="137" t="n">
        <x:v>841.5</x:v>
      </x:c>
      <x:c r="O680" s="137" t="n">
        <x:v>1000</x:v>
      </x:c>
      <x:c r="P680" s="137"/>
      <x:c r="Q680" s="137"/>
      <x:c r="R680" s="137"/>
      <x:c r="S680" s="137"/>
      <x:c r="T680" s="136"/>
      <x:c r="U680" s="136"/>
      <x:c r="V680" s="137" t="n">
        <x:v>68</x:v>
      </x:c>
      <x:c r="W680" s="137" t="str">
        <x:f>IF(COUNT(P680:S680)&gt;=3,AVERAGE(P680:S680),"")</x:f>
      </x:c>
      <x:c r="X680" s="137" t="n">
        <x:f>IF(V680&lt;&gt;"",V680,W680)</x:f>
        <x:v>68</x:v>
      </x:c>
      <x:c r="Y680" s="111" t="str">
        <x:v>공식 70% 평균백분위</x:v>
      </x:c>
      <x:c r="Z680" s="137" t="n">
        <x:f>'추천_테스트'!$B$8</x:f>
        <x:v>80</x:v>
      </x:c>
      <x:c r="AA680" s="137" t="n">
        <x:f>IF(X680="","",Z680-X680)</x:f>
        <x:v>12</x:v>
      </x:c>
      <x:c r="AB680" s="111" t="str">
        <x:f>IF(X680="","",IF(AA680&gt;='추천_테스트'!$B$10,"안정",IF(AA680&gt;='추천_테스트'!$B$11,"적정",IF(AA680&gt;='추천_테스트'!$B$12,"소신","상향"))))</x:f>
        <x:v>안정</x:v>
      </x:c>
      <x:c r="AC680" s="137"/>
      <x:c r="AD680" s="137"/>
      <x:c r="AE680" s="137"/>
      <x:c r="AF680" s="113" t="str">
        <x:v>v5 지방 사립대 확장: 공식 2025학년도 정시 70% cut 평균(백분위) 제공</x:v>
      </x:c>
      <x:c r="AG680" s="113" t="str">
        <x:v>https://www.adiga.kr/ucp/uvt/uni/univDetailSelection.do?menuId=PCUVTINF2000&amp;searchSyr=2026&amp;unvCd=0000211</x:v>
      </x:c>
    </x:row>
    <x:row r="681" ht="18" customHeight="1">
      <x:c r="A681" s="111" t="n">
        <x:v>2025</x:v>
      </x:c>
      <x:c r="B681" s="111" t="str">
        <x:v>충청남도</x:v>
      </x:c>
      <x:c r="C681" s="111" t="str">
        <x:v>사립</x:v>
      </x:c>
      <x:c r="D681" s="111" t="str">
        <x:v>호서대학교</x:v>
      </x:c>
      <x:c r="E681" s="111" t="str">
        <x:v>가</x:v>
      </x:c>
      <x:c r="F681" s="111" t="str">
        <x:v>수능(일반전형)</x:v>
      </x:c>
      <x:c r="G681" s="111" t="str">
        <x:v>산업심리학과</x:v>
      </x:c>
      <x:c r="H681" s="136"/>
      <x:c r="I681" s="136"/>
      <x:c r="J681" s="136" t="n">
        <x:v>12</x:v>
      </x:c>
      <x:c r="K681" s="137" t="n">
        <x:v>4.7</x:v>
      </x:c>
      <x:c r="L681" s="136" t="n">
        <x:v>21</x:v>
      </x:c>
      <x:c r="M681" s="137"/>
      <x:c r="N681" s="137" t="n">
        <x:v>836.5</x:v>
      </x:c>
      <x:c r="O681" s="137" t="n">
        <x:v>1000</x:v>
      </x:c>
      <x:c r="P681" s="137"/>
      <x:c r="Q681" s="137"/>
      <x:c r="R681" s="137"/>
      <x:c r="S681" s="137"/>
      <x:c r="T681" s="136"/>
      <x:c r="U681" s="136"/>
      <x:c r="V681" s="137" t="n">
        <x:v>66.33</x:v>
      </x:c>
      <x:c r="W681" s="137" t="str">
        <x:f>IF(COUNT(P681:S681)&gt;=3,AVERAGE(P681:S681),"")</x:f>
      </x:c>
      <x:c r="X681" s="137" t="n">
        <x:f>IF(V681&lt;&gt;"",V681,W681)</x:f>
        <x:v>66.33</x:v>
      </x:c>
      <x:c r="Y681" s="111" t="str">
        <x:v>공식 70% 평균백분위</x:v>
      </x:c>
      <x:c r="Z681" s="137" t="n">
        <x:f>'추천_테스트'!$B$8</x:f>
        <x:v>80</x:v>
      </x:c>
      <x:c r="AA681" s="137" t="n">
        <x:f>IF(X681="","",Z681-X681)</x:f>
        <x:v>13.670000000000002</x:v>
      </x:c>
      <x:c r="AB681" s="111" t="str">
        <x:f>IF(X681="","",IF(AA681&gt;='추천_테스트'!$B$10,"안정",IF(AA681&gt;='추천_테스트'!$B$11,"적정",IF(AA681&gt;='추천_테스트'!$B$12,"소신","상향"))))</x:f>
        <x:v>안정</x:v>
      </x:c>
      <x:c r="AC681" s="137"/>
      <x:c r="AD681" s="137"/>
      <x:c r="AE681" s="137"/>
      <x:c r="AF681" s="113" t="str">
        <x:v>v5 지방 사립대 확장: 공식 2025학년도 정시 70% cut 평균(백분위) 제공</x:v>
      </x:c>
      <x:c r="AG681" s="113" t="str">
        <x:v>https://www.adiga.kr/ucp/uvt/uni/univDetailSelection.do?menuId=PCUVTINF2000&amp;searchSyr=2026&amp;unvCd=0000211</x:v>
      </x:c>
    </x:row>
    <x:row r="682" ht="18" customHeight="1">
      <x:c r="A682" s="111" t="n">
        <x:v>2025</x:v>
      </x:c>
      <x:c r="B682" s="111" t="str">
        <x:v>충청남도</x:v>
      </x:c>
      <x:c r="C682" s="111" t="str">
        <x:v>사립</x:v>
      </x:c>
      <x:c r="D682" s="111" t="str">
        <x:v>호서대학교</x:v>
      </x:c>
      <x:c r="E682" s="111" t="str">
        <x:v>가</x:v>
      </x:c>
      <x:c r="F682" s="111" t="str">
        <x:v>수능(일반전형)</x:v>
      </x:c>
      <x:c r="G682" s="111" t="str">
        <x:v>사회복지학부</x:v>
      </x:c>
      <x:c r="H682" s="136"/>
      <x:c r="I682" s="136"/>
      <x:c r="J682" s="136" t="n">
        <x:v>8</x:v>
      </x:c>
      <x:c r="K682" s="137" t="n">
        <x:v>5.4</x:v>
      </x:c>
      <x:c r="L682" s="136" t="n">
        <x:v>7</x:v>
      </x:c>
      <x:c r="M682" s="137"/>
      <x:c r="N682" s="137" t="n">
        <x:v>834.5</x:v>
      </x:c>
      <x:c r="O682" s="137" t="n">
        <x:v>1000</x:v>
      </x:c>
      <x:c r="P682" s="137"/>
      <x:c r="Q682" s="137"/>
      <x:c r="R682" s="137"/>
      <x:c r="S682" s="137"/>
      <x:c r="T682" s="136"/>
      <x:c r="U682" s="136"/>
      <x:c r="V682" s="137" t="n">
        <x:v>66.67</x:v>
      </x:c>
      <x:c r="W682" s="137" t="str">
        <x:f>IF(COUNT(P682:S682)&gt;=3,AVERAGE(P682:S682),"")</x:f>
      </x:c>
      <x:c r="X682" s="137" t="n">
        <x:f>IF(V682&lt;&gt;"",V682,W682)</x:f>
        <x:v>66.67</x:v>
      </x:c>
      <x:c r="Y682" s="111" t="str">
        <x:v>공식 70% 평균백분위</x:v>
      </x:c>
      <x:c r="Z682" s="137" t="n">
        <x:f>'추천_테스트'!$B$8</x:f>
        <x:v>80</x:v>
      </x:c>
      <x:c r="AA682" s="137" t="n">
        <x:f>IF(X682="","",Z682-X682)</x:f>
        <x:v>13.329999999999998</x:v>
      </x:c>
      <x:c r="AB682" s="111" t="str">
        <x:f>IF(X682="","",IF(AA682&gt;='추천_테스트'!$B$10,"안정",IF(AA682&gt;='추천_테스트'!$B$11,"적정",IF(AA682&gt;='추천_테스트'!$B$12,"소신","상향"))))</x:f>
        <x:v>안정</x:v>
      </x:c>
      <x:c r="AC682" s="137"/>
      <x:c r="AD682" s="137"/>
      <x:c r="AE682" s="137"/>
      <x:c r="AF682" s="113" t="str">
        <x:v>v5 지방 사립대 확장: 공식 2025학년도 정시 70% cut 평균(백분위) 제공</x:v>
      </x:c>
      <x:c r="AG682" s="113" t="str">
        <x:v>https://www.adiga.kr/ucp/uvt/uni/univDetailSelection.do?menuId=PCUVTINF2000&amp;searchSyr=2026&amp;unvCd=0000211</x:v>
      </x:c>
    </x:row>
    <x:row r="683" ht="18" customHeight="1">
      <x:c r="A683" s="111" t="n">
        <x:v>2025</x:v>
      </x:c>
      <x:c r="B683" s="111" t="str">
        <x:v>충청남도</x:v>
      </x:c>
      <x:c r="C683" s="111" t="str">
        <x:v>사립</x:v>
      </x:c>
      <x:c r="D683" s="111" t="str">
        <x:v>호서대학교</x:v>
      </x:c>
      <x:c r="E683" s="111" t="str">
        <x:v>가</x:v>
      </x:c>
      <x:c r="F683" s="111" t="str">
        <x:v>수능(일반전형)</x:v>
      </x:c>
      <x:c r="G683" s="111" t="str">
        <x:v>유아교육과</x:v>
      </x:c>
      <x:c r="H683" s="136"/>
      <x:c r="I683" s="136"/>
      <x:c r="J683" s="136" t="n">
        <x:v>7</x:v>
      </x:c>
      <x:c r="K683" s="137" t="n">
        <x:v>4.7</x:v>
      </x:c>
      <x:c r="L683" s="136" t="n">
        <x:v>5</x:v>
      </x:c>
      <x:c r="M683" s="137"/>
      <x:c r="N683" s="137" t="n">
        <x:v>838</x:v>
      </x:c>
      <x:c r="O683" s="137" t="n">
        <x:v>1000</x:v>
      </x:c>
      <x:c r="P683" s="137"/>
      <x:c r="Q683" s="137"/>
      <x:c r="R683" s="137"/>
      <x:c r="S683" s="137"/>
      <x:c r="T683" s="136"/>
      <x:c r="U683" s="136"/>
      <x:c r="V683" s="137" t="n">
        <x:v>66.67</x:v>
      </x:c>
      <x:c r="W683" s="137" t="str">
        <x:f>IF(COUNT(P683:S683)&gt;=3,AVERAGE(P683:S683),"")</x:f>
      </x:c>
      <x:c r="X683" s="137" t="n">
        <x:f>IF(V683&lt;&gt;"",V683,W683)</x:f>
        <x:v>66.67</x:v>
      </x:c>
      <x:c r="Y683" s="111" t="str">
        <x:v>공식 70% 평균백분위</x:v>
      </x:c>
      <x:c r="Z683" s="137" t="n">
        <x:f>'추천_테스트'!$B$8</x:f>
        <x:v>80</x:v>
      </x:c>
      <x:c r="AA683" s="137" t="n">
        <x:f>IF(X683="","",Z683-X683)</x:f>
        <x:v>13.329999999999998</x:v>
      </x:c>
      <x:c r="AB683" s="111" t="str">
        <x:f>IF(X683="","",IF(AA683&gt;='추천_테스트'!$B$10,"안정",IF(AA683&gt;='추천_테스트'!$B$11,"적정",IF(AA683&gt;='추천_테스트'!$B$12,"소신","상향"))))</x:f>
        <x:v>안정</x:v>
      </x:c>
      <x:c r="AC683" s="137"/>
      <x:c r="AD683" s="137"/>
      <x:c r="AE683" s="137"/>
      <x:c r="AF683" s="113" t="str">
        <x:v>v5 지방 사립대 확장: 공식 2025학년도 정시 70% cut 평균(백분위) 제공</x:v>
      </x:c>
      <x:c r="AG683" s="113" t="str">
        <x:v>https://www.adiga.kr/ucp/uvt/uni/univDetailSelection.do?menuId=PCUVTINF2000&amp;searchSyr=2026&amp;unvCd=0000211</x:v>
      </x:c>
    </x:row>
    <x:row r="684" ht="18" customHeight="1">
      <x:c r="A684" s="111" t="n">
        <x:v>2025</x:v>
      </x:c>
      <x:c r="B684" s="111" t="str">
        <x:v>충청남도</x:v>
      </x:c>
      <x:c r="C684" s="111" t="str">
        <x:v>사립</x:v>
      </x:c>
      <x:c r="D684" s="111" t="str">
        <x:v>호서대학교</x:v>
      </x:c>
      <x:c r="E684" s="111" t="str">
        <x:v>가</x:v>
      </x:c>
      <x:c r="F684" s="111" t="str">
        <x:v>수능(일반전형)</x:v>
      </x:c>
      <x:c r="G684" s="111" t="str">
        <x:v>경영학부</x:v>
      </x:c>
      <x:c r="H684" s="136"/>
      <x:c r="I684" s="136"/>
      <x:c r="J684" s="136" t="n">
        <x:v>16</x:v>
      </x:c>
      <x:c r="K684" s="137" t="n">
        <x:v>7.1</x:v>
      </x:c>
      <x:c r="L684" s="136" t="n">
        <x:v>28</x:v>
      </x:c>
      <x:c r="M684" s="137"/>
      <x:c r="N684" s="137" t="n">
        <x:v>844.25</x:v>
      </x:c>
      <x:c r="O684" s="137" t="n">
        <x:v>1000</x:v>
      </x:c>
      <x:c r="P684" s="137"/>
      <x:c r="Q684" s="137"/>
      <x:c r="R684" s="137"/>
      <x:c r="S684" s="137"/>
      <x:c r="T684" s="136"/>
      <x:c r="U684" s="136"/>
      <x:c r="V684" s="137" t="n">
        <x:v>68.67</x:v>
      </x:c>
      <x:c r="W684" s="137" t="str">
        <x:f>IF(COUNT(P684:S684)&gt;=3,AVERAGE(P684:S684),"")</x:f>
      </x:c>
      <x:c r="X684" s="137" t="n">
        <x:f>IF(V684&lt;&gt;"",V684,W684)</x:f>
        <x:v>68.67</x:v>
      </x:c>
      <x:c r="Y684" s="111" t="str">
        <x:v>공식 70% 평균백분위</x:v>
      </x:c>
      <x:c r="Z684" s="137" t="n">
        <x:f>'추천_테스트'!$B$8</x:f>
        <x:v>80</x:v>
      </x:c>
      <x:c r="AA684" s="137" t="n">
        <x:f>IF(X684="","",Z684-X684)</x:f>
        <x:v>11.329999999999998</x:v>
      </x:c>
      <x:c r="AB684" s="111" t="str">
        <x:f>IF(X684="","",IF(AA684&gt;='추천_테스트'!$B$10,"안정",IF(AA684&gt;='추천_테스트'!$B$11,"적정",IF(AA684&gt;='추천_테스트'!$B$12,"소신","상향"))))</x:f>
        <x:v>안정</x:v>
      </x:c>
      <x:c r="AC684" s="137"/>
      <x:c r="AD684" s="137"/>
      <x:c r="AE684" s="137"/>
      <x:c r="AF684" s="113" t="str">
        <x:v>v5 지방 사립대 확장: 공식 2025학년도 정시 70% cut 평균(백분위) 제공</x:v>
      </x:c>
      <x:c r="AG684" s="113" t="str">
        <x:v>https://www.adiga.kr/ucp/uvt/uni/univDetailSelection.do?menuId=PCUVTINF2000&amp;searchSyr=2026&amp;unvCd=0000211</x:v>
      </x:c>
    </x:row>
    <x:row r="685" ht="18" customHeight="1">
      <x:c r="A685" s="111" t="n">
        <x:v>2025</x:v>
      </x:c>
      <x:c r="B685" s="111" t="str">
        <x:v>충청남도</x:v>
      </x:c>
      <x:c r="C685" s="111" t="str">
        <x:v>사립</x:v>
      </x:c>
      <x:c r="D685" s="111" t="str">
        <x:v>호서대학교</x:v>
      </x:c>
      <x:c r="E685" s="111" t="str">
        <x:v>가</x:v>
      </x:c>
      <x:c r="F685" s="111" t="str">
        <x:v>수능(일반전형)</x:v>
      </x:c>
      <x:c r="G685" s="111" t="str">
        <x:v>식품공학과</x:v>
      </x:c>
      <x:c r="H685" s="136"/>
      <x:c r="I685" s="136"/>
      <x:c r="J685" s="136" t="n">
        <x:v>6</x:v>
      </x:c>
      <x:c r="K685" s="137" t="n">
        <x:v>7.7</x:v>
      </x:c>
      <x:c r="L685" s="136" t="n">
        <x:v>8</x:v>
      </x:c>
      <x:c r="M685" s="137"/>
      <x:c r="N685" s="137" t="n">
        <x:v>854.65</x:v>
      </x:c>
      <x:c r="O685" s="137" t="n">
        <x:v>1000</x:v>
      </x:c>
      <x:c r="P685" s="137"/>
      <x:c r="Q685" s="137"/>
      <x:c r="R685" s="137"/>
      <x:c r="S685" s="137"/>
      <x:c r="T685" s="136"/>
      <x:c r="U685" s="136"/>
      <x:c r="V685" s="137" t="n">
        <x:v>69.33</x:v>
      </x:c>
      <x:c r="W685" s="137" t="str">
        <x:f>IF(COUNT(P685:S685)&gt;=3,AVERAGE(P685:S685),"")</x:f>
      </x:c>
      <x:c r="X685" s="137" t="n">
        <x:f>IF(V685&lt;&gt;"",V685,W685)</x:f>
        <x:v>69.33</x:v>
      </x:c>
      <x:c r="Y685" s="111" t="str">
        <x:v>공식 70% 평균백분위</x:v>
      </x:c>
      <x:c r="Z685" s="137" t="n">
        <x:f>'추천_테스트'!$B$8</x:f>
        <x:v>80</x:v>
      </x:c>
      <x:c r="AA685" s="137" t="n">
        <x:f>IF(X685="","",Z685-X685)</x:f>
        <x:v>10.670000000000002</x:v>
      </x:c>
      <x:c r="AB685" s="111" t="str">
        <x:f>IF(X685="","",IF(AA685&gt;='추천_테스트'!$B$10,"안정",IF(AA685&gt;='추천_테스트'!$B$11,"적정",IF(AA685&gt;='추천_테스트'!$B$12,"소신","상향"))))</x:f>
        <x:v>안정</x:v>
      </x:c>
      <x:c r="AC685" s="137"/>
      <x:c r="AD685" s="137"/>
      <x:c r="AE685" s="137"/>
      <x:c r="AF685" s="113" t="str">
        <x:v>v5 지방 사립대 확장: 공식 2025학년도 정시 70% cut 평균(백분위) 제공</x:v>
      </x:c>
      <x:c r="AG685" s="113" t="str">
        <x:v>https://www.adiga.kr/ucp/uvt/uni/univDetailSelection.do?menuId=PCUVTINF2000&amp;searchSyr=2026&amp;unvCd=0000211</x:v>
      </x:c>
    </x:row>
    <x:row r="686" ht="18" customHeight="1">
      <x:c r="A686" s="111" t="n">
        <x:v>2025</x:v>
      </x:c>
      <x:c r="B686" s="111" t="str">
        <x:v>충청남도</x:v>
      </x:c>
      <x:c r="C686" s="111" t="str">
        <x:v>사립</x:v>
      </x:c>
      <x:c r="D686" s="111" t="str">
        <x:v>호서대학교</x:v>
      </x:c>
      <x:c r="E686" s="111" t="str">
        <x:v>가</x:v>
      </x:c>
      <x:c r="F686" s="111" t="str">
        <x:v>수능(일반전형)</x:v>
      </x:c>
      <x:c r="G686" s="111" t="str">
        <x:v>제약공학과</x:v>
      </x:c>
      <x:c r="H686" s="136"/>
      <x:c r="I686" s="136"/>
      <x:c r="J686" s="136" t="n">
        <x:v>3</x:v>
      </x:c>
      <x:c r="K686" s="137" t="n">
        <x:v>4.3</x:v>
      </x:c>
      <x:c r="L686" s="136" t="n">
        <x:v>7</x:v>
      </x:c>
      <x:c r="M686" s="137"/>
      <x:c r="N686" s="137" t="n">
        <x:v>771.25</x:v>
      </x:c>
      <x:c r="O686" s="137" t="n">
        <x:v>1000</x:v>
      </x:c>
      <x:c r="P686" s="137"/>
      <x:c r="Q686" s="137"/>
      <x:c r="R686" s="137"/>
      <x:c r="S686" s="137"/>
      <x:c r="T686" s="136"/>
      <x:c r="U686" s="136"/>
      <x:c r="V686" s="137" t="n">
        <x:v>54</x:v>
      </x:c>
      <x:c r="W686" s="137" t="str">
        <x:f>IF(COUNT(P686:S686)&gt;=3,AVERAGE(P686:S686),"")</x:f>
      </x:c>
      <x:c r="X686" s="137" t="n">
        <x:f>IF(V686&lt;&gt;"",V686,W686)</x:f>
        <x:v>54</x:v>
      </x:c>
      <x:c r="Y686" s="111" t="str">
        <x:v>공식 70% 평균백분위</x:v>
      </x:c>
      <x:c r="Z686" s="137" t="n">
        <x:f>'추천_테스트'!$B$8</x:f>
        <x:v>80</x:v>
      </x:c>
      <x:c r="AA686" s="137" t="n">
        <x:f>IF(X686="","",Z686-X686)</x:f>
        <x:v>26</x:v>
      </x:c>
      <x:c r="AB686" s="111" t="str">
        <x:f>IF(X686="","",IF(AA686&gt;='추천_테스트'!$B$10,"안정",IF(AA686&gt;='추천_테스트'!$B$11,"적정",IF(AA686&gt;='추천_테스트'!$B$12,"소신","상향"))))</x:f>
        <x:v>안정</x:v>
      </x:c>
      <x:c r="AC686" s="137"/>
      <x:c r="AD686" s="137"/>
      <x:c r="AE686" s="137"/>
      <x:c r="AF686" s="113" t="str">
        <x:v>v5 지방 사립대 확장: 공식 2025학년도 정시 70% cut 평균(백분위) 제공</x:v>
      </x:c>
      <x:c r="AG686" s="113" t="str">
        <x:v>https://www.adiga.kr/ucp/uvt/uni/univDetailSelection.do?menuId=PCUVTINF2000&amp;searchSyr=2026&amp;unvCd=0000211</x:v>
      </x:c>
    </x:row>
    <x:row r="687" ht="18" customHeight="1">
      <x:c r="A687" s="111" t="n">
        <x:v>2025</x:v>
      </x:c>
      <x:c r="B687" s="111" t="str">
        <x:v>충청남도</x:v>
      </x:c>
      <x:c r="C687" s="111" t="str">
        <x:v>사립</x:v>
      </x:c>
      <x:c r="D687" s="111" t="str">
        <x:v>호서대학교</x:v>
      </x:c>
      <x:c r="E687" s="111" t="str">
        <x:v>가</x:v>
      </x:c>
      <x:c r="F687" s="111" t="str">
        <x:v>수능(일반전형)</x:v>
      </x:c>
      <x:c r="G687" s="111" t="str">
        <x:v>화장품과학과</x:v>
      </x:c>
      <x:c r="H687" s="136"/>
      <x:c r="I687" s="136"/>
      <x:c r="J687" s="136" t="n">
        <x:v>6</x:v>
      </x:c>
      <x:c r="K687" s="137" t="n">
        <x:v>4.8</x:v>
      </x:c>
      <x:c r="L687" s="136" t="n">
        <x:v>2</x:v>
      </x:c>
      <x:c r="M687" s="137"/>
      <x:c r="N687" s="137" t="n">
        <x:v>854.15</x:v>
      </x:c>
      <x:c r="O687" s="137" t="n">
        <x:v>1000</x:v>
      </x:c>
      <x:c r="P687" s="137"/>
      <x:c r="Q687" s="137"/>
      <x:c r="R687" s="137"/>
      <x:c r="S687" s="137"/>
      <x:c r="T687" s="136"/>
      <x:c r="U687" s="136"/>
      <x:c r="V687" s="137" t="n">
        <x:v>70</x:v>
      </x:c>
      <x:c r="W687" s="137" t="str">
        <x:f>IF(COUNT(P687:S687)&gt;=3,AVERAGE(P687:S687),"")</x:f>
      </x:c>
      <x:c r="X687" s="137" t="n">
        <x:f>IF(V687&lt;&gt;"",V687,W687)</x:f>
        <x:v>70</x:v>
      </x:c>
      <x:c r="Y687" s="111" t="str">
        <x:v>공식 70% 평균백분위</x:v>
      </x:c>
      <x:c r="Z687" s="137" t="n">
        <x:f>'추천_테스트'!$B$8</x:f>
        <x:v>80</x:v>
      </x:c>
      <x:c r="AA687" s="137" t="n">
        <x:f>IF(X687="","",Z687-X687)</x:f>
        <x:v>10</x:v>
      </x:c>
      <x:c r="AB687" s="111" t="str">
        <x:f>IF(X687="","",IF(AA687&gt;='추천_테스트'!$B$10,"안정",IF(AA687&gt;='추천_테스트'!$B$11,"적정",IF(AA687&gt;='추천_테스트'!$B$12,"소신","상향"))))</x:f>
        <x:v>안정</x:v>
      </x:c>
      <x:c r="AC687" s="137"/>
      <x:c r="AD687" s="137"/>
      <x:c r="AE687" s="137"/>
      <x:c r="AF687" s="113" t="str">
        <x:v>v5 지방 사립대 확장: 공식 2025학년도 정시 70% cut 평균(백분위) 제공</x:v>
      </x:c>
      <x:c r="AG687" s="113" t="str">
        <x:v>https://www.adiga.kr/ucp/uvt/uni/univDetailSelection.do?menuId=PCUVTINF2000&amp;searchSyr=2026&amp;unvCd=0000211</x:v>
      </x:c>
    </x:row>
    <x:row r="688" ht="18" customHeight="1">
      <x:c r="A688" s="111" t="n">
        <x:v>2025</x:v>
      </x:c>
      <x:c r="B688" s="111" t="str">
        <x:v>충청남도</x:v>
      </x:c>
      <x:c r="C688" s="111" t="str">
        <x:v>사립</x:v>
      </x:c>
      <x:c r="D688" s="111" t="str">
        <x:v>호서대학교</x:v>
      </x:c>
      <x:c r="E688" s="111" t="str">
        <x:v>가</x:v>
      </x:c>
      <x:c r="F688" s="111" t="str">
        <x:v>수능(일반전형)</x:v>
      </x:c>
      <x:c r="G688" s="111" t="str">
        <x:v>생명공학과</x:v>
      </x:c>
      <x:c r="H688" s="136"/>
      <x:c r="I688" s="136"/>
      <x:c r="J688" s="136" t="n">
        <x:v>6</x:v>
      </x:c>
      <x:c r="K688" s="137" t="n">
        <x:v>6</x:v>
      </x:c>
      <x:c r="L688" s="136" t="n">
        <x:v>14</x:v>
      </x:c>
      <x:c r="M688" s="137"/>
      <x:c r="N688" s="137" t="n">
        <x:v>840</x:v>
      </x:c>
      <x:c r="O688" s="137" t="n">
        <x:v>1000</x:v>
      </x:c>
      <x:c r="P688" s="137"/>
      <x:c r="Q688" s="137"/>
      <x:c r="R688" s="137"/>
      <x:c r="S688" s="137"/>
      <x:c r="T688" s="136"/>
      <x:c r="U688" s="136"/>
      <x:c r="V688" s="137" t="n">
        <x:v>66.67</x:v>
      </x:c>
      <x:c r="W688" s="137" t="str">
        <x:f>IF(COUNT(P688:S688)&gt;=3,AVERAGE(P688:S688),"")</x:f>
      </x:c>
      <x:c r="X688" s="137" t="n">
        <x:f>IF(V688&lt;&gt;"",V688,W688)</x:f>
        <x:v>66.67</x:v>
      </x:c>
      <x:c r="Y688" s="111" t="str">
        <x:v>공식 70% 평균백분위</x:v>
      </x:c>
      <x:c r="Z688" s="137" t="n">
        <x:f>'추천_테스트'!$B$8</x:f>
        <x:v>80</x:v>
      </x:c>
      <x:c r="AA688" s="137" t="n">
        <x:f>IF(X688="","",Z688-X688)</x:f>
        <x:v>13.329999999999998</x:v>
      </x:c>
      <x:c r="AB688" s="111" t="str">
        <x:f>IF(X688="","",IF(AA688&gt;='추천_테스트'!$B$10,"안정",IF(AA688&gt;='추천_테스트'!$B$11,"적정",IF(AA688&gt;='추천_테스트'!$B$12,"소신","상향"))))</x:f>
        <x:v>안정</x:v>
      </x:c>
      <x:c r="AC688" s="137"/>
      <x:c r="AD688" s="137"/>
      <x:c r="AE688" s="137"/>
      <x:c r="AF688" s="113" t="str">
        <x:v>v5 지방 사립대 확장: 공식 2025학년도 정시 70% cut 평균(백분위) 제공</x:v>
      </x:c>
      <x:c r="AG688" s="113" t="str">
        <x:v>https://www.adiga.kr/ucp/uvt/uni/univDetailSelection.do?menuId=PCUVTINF2000&amp;searchSyr=2026&amp;unvCd=0000211</x:v>
      </x:c>
    </x:row>
    <x:row r="689" ht="18" customHeight="1">
      <x:c r="A689" s="111" t="n">
        <x:v>2025</x:v>
      </x:c>
      <x:c r="B689" s="111" t="str">
        <x:v>대구광역시</x:v>
      </x:c>
      <x:c r="C689" s="111" t="str">
        <x:v>사립</x:v>
      </x:c>
      <x:c r="D689" s="111" t="str">
        <x:v>계명대학교</x:v>
      </x:c>
      <x:c r="E689" s="111" t="str">
        <x:v>가</x:v>
      </x:c>
      <x:c r="F689" s="111" t="str">
        <x:v>수능(일반전형)</x:v>
      </x:c>
      <x:c r="G689" s="111" t="str">
        <x:v>한국어교육과</x:v>
      </x:c>
      <x:c r="H689" s="136" t="n">
        <x:v>4</x:v>
      </x:c>
      <x:c r="I689" s="136" t="n">
        <x:v>3</x:v>
      </x:c>
      <x:c r="J689" s="136" t="n">
        <x:v>7</x:v>
      </x:c>
      <x:c r="K689" s="137" t="n">
        <x:v>7.6</x:v>
      </x:c>
      <x:c r="L689" s="136" t="n">
        <x:v>4</x:v>
      </x:c>
      <x:c r="M689" s="137" t="n">
        <x:v>62.5</x:v>
      </x:c>
      <x:c r="N689" s="137" t="n">
        <x:v>62.38</x:v>
      </x:c>
      <x:c r="O689" s="137" t="n">
        <x:v>101.25</x:v>
      </x:c>
      <x:c r="P689" s="137" t="n">
        <x:v>42</x:v>
      </x:c>
      <x:c r="Q689" s="137" t="n">
        <x:v>23</x:v>
      </x:c>
      <x:c r="R689" s="137" t="n">
        <x:v>45</x:v>
      </x:c>
      <x:c r="S689" s="137"/>
      <x:c r="T689" s="136"/>
      <x:c r="U689" s="136"/>
      <x:c r="V689" s="137"/>
      <x:c r="W689" s="137" t="n">
        <x:f>IF(COUNT(P689:S689)&gt;=3,AVERAGE(P689:S689),"")</x:f>
        <x:v>36.666666666666664</x:v>
      </x:c>
      <x:c r="X689" s="137" t="n">
        <x:f>IF(V689&lt;&gt;"",V689,W689)</x:f>
        <x:v>36.666666666666664</x:v>
      </x:c>
      <x:c r="Y689" s="111" t="str">
        <x:v>파생: 공식 과목별 70% 백분위 평균</x:v>
      </x:c>
      <x:c r="Z689" s="137" t="n">
        <x:f>'추천_테스트'!$B$8</x:f>
        <x:v>80</x:v>
      </x:c>
      <x:c r="AA689" s="137" t="n">
        <x:f>IF(X689="","",Z689-X689)</x:f>
        <x:v>43.333333333333336</x:v>
      </x:c>
      <x:c r="AB689" s="111" t="str">
        <x:f>IF(X689="","",IF(AA689&gt;='추천_테스트'!$B$10,"안정",IF(AA689&gt;='추천_테스트'!$B$11,"적정",IF(AA689&gt;='추천_테스트'!$B$12,"소신","상향"))))</x:f>
        <x:v>안정</x:v>
      </x:c>
      <x:c r="AC689" s="137"/>
      <x:c r="AD689" s="137"/>
      <x:c r="AE689" s="137"/>
      <x:c r="AF689" s="113" t="str">
        <x:v>v5 지방 사립대 확장: 공식 2025학년도 과목별 70% 자료. 영어는 원문 표에 등급 대신 변환점수 형태가 표시되어 영어70_등급은 공란 처리.</x:v>
      </x:c>
      <x:c r="AG689" s="113" t="str">
        <x:v>https://www.adiga.kr/ucp/uvt/uni/univDetailSelection.do?menuId=PCUVTINF2000&amp;searchSyr=2026&amp;unvCd=0000068</x:v>
      </x:c>
    </x:row>
    <x:row r="690" ht="18" customHeight="1">
      <x:c r="A690" s="111" t="n">
        <x:v>2025</x:v>
      </x:c>
      <x:c r="B690" s="111" t="str">
        <x:v>대구광역시</x:v>
      </x:c>
      <x:c r="C690" s="111" t="str">
        <x:v>사립</x:v>
      </x:c>
      <x:c r="D690" s="111" t="str">
        <x:v>계명대학교</x:v>
      </x:c>
      <x:c r="E690" s="111" t="str">
        <x:v>가</x:v>
      </x:c>
      <x:c r="F690" s="111" t="str">
        <x:v>수능(일반전형)</x:v>
      </x:c>
      <x:c r="G690" s="111" t="str">
        <x:v>독일유럽학과</x:v>
      </x:c>
      <x:c r="H690" s="136" t="n">
        <x:v>4</x:v>
      </x:c>
      <x:c r="I690" s="136" t="n">
        <x:v>3</x:v>
      </x:c>
      <x:c r="J690" s="136" t="n">
        <x:v>7</x:v>
      </x:c>
      <x:c r="K690" s="137" t="n">
        <x:v>6.3</x:v>
      </x:c>
      <x:c r="L690" s="136" t="n">
        <x:v>11</x:v>
      </x:c>
      <x:c r="M690" s="137" t="n">
        <x:v>64.5</x:v>
      </x:c>
      <x:c r="N690" s="137" t="n">
        <x:v>62.5</x:v>
      </x:c>
      <x:c r="O690" s="137" t="n">
        <x:v>101.25</x:v>
      </x:c>
      <x:c r="P690" s="137" t="n">
        <x:v>40</x:v>
      </x:c>
      <x:c r="Q690" s="137" t="n">
        <x:v>31</x:v>
      </x:c>
      <x:c r="R690" s="137" t="n">
        <x:v>54.5</x:v>
      </x:c>
      <x:c r="S690" s="137"/>
      <x:c r="T690" s="136"/>
      <x:c r="U690" s="136"/>
      <x:c r="V690" s="137"/>
      <x:c r="W690" s="137" t="n">
        <x:f>IF(COUNT(P690:S690)&gt;=3,AVERAGE(P690:S690),"")</x:f>
        <x:v>41.833333333333336</x:v>
      </x:c>
      <x:c r="X690" s="137" t="n">
        <x:f>IF(V690&lt;&gt;"",V690,W690)</x:f>
        <x:v>41.833333333333336</x:v>
      </x:c>
      <x:c r="Y690" s="111" t="str">
        <x:v>파생: 공식 과목별 70% 백분위 평균</x:v>
      </x:c>
      <x:c r="Z690" s="137" t="n">
        <x:f>'추천_테스트'!$B$8</x:f>
        <x:v>80</x:v>
      </x:c>
      <x:c r="AA690" s="137" t="n">
        <x:f>IF(X690="","",Z690-X690)</x:f>
        <x:v>38.166666666666664</x:v>
      </x:c>
      <x:c r="AB690" s="111" t="str">
        <x:f>IF(X690="","",IF(AA690&gt;='추천_테스트'!$B$10,"안정",IF(AA690&gt;='추천_테스트'!$B$11,"적정",IF(AA690&gt;='추천_테스트'!$B$12,"소신","상향"))))</x:f>
        <x:v>안정</x:v>
      </x:c>
      <x:c r="AC690" s="137"/>
      <x:c r="AD690" s="137"/>
      <x:c r="AE690" s="137"/>
      <x:c r="AF690" s="113" t="str">
        <x:v>v5 지방 사립대 확장: 공식 2025학년도 과목별 70% 자료. 영어는 원문 표에 등급 대신 변환점수 형태가 표시되어 영어70_등급은 공란 처리.</x:v>
      </x:c>
      <x:c r="AG690" s="113" t="str">
        <x:v>https://www.adiga.kr/ucp/uvt/uni/univDetailSelection.do?menuId=PCUVTINF2000&amp;searchSyr=2026&amp;unvCd=0000068</x:v>
      </x:c>
    </x:row>
    <x:row r="691" ht="18" customHeight="1">
      <x:c r="A691" s="111" t="n">
        <x:v>2025</x:v>
      </x:c>
      <x:c r="B691" s="111" t="str">
        <x:v>대구광역시</x:v>
      </x:c>
      <x:c r="C691" s="111" t="str">
        <x:v>사립</x:v>
      </x:c>
      <x:c r="D691" s="111" t="str">
        <x:v>계명대학교</x:v>
      </x:c>
      <x:c r="E691" s="111" t="str">
        <x:v>가</x:v>
      </x:c>
      <x:c r="F691" s="111" t="str">
        <x:v>수능(일반전형)</x:v>
      </x:c>
      <x:c r="G691" s="111" t="str">
        <x:v>일본어일본학과</x:v>
      </x:c>
      <x:c r="H691" s="136" t="n">
        <x:v>8</x:v>
      </x:c>
      <x:c r="I691" s="136" t="n">
        <x:v>0</x:v>
      </x:c>
      <x:c r="J691" s="136" t="n">
        <x:v>8</x:v>
      </x:c>
      <x:c r="K691" s="137" t="n">
        <x:v>6.5</x:v>
      </x:c>
      <x:c r="L691" s="136" t="n">
        <x:v>6</x:v>
      </x:c>
      <x:c r="M691" s="137" t="n">
        <x:v>67.38</x:v>
      </x:c>
      <x:c r="N691" s="137" t="n">
        <x:v>66.38</x:v>
      </x:c>
      <x:c r="O691" s="137" t="n">
        <x:v>101.25</x:v>
      </x:c>
      <x:c r="P691" s="137" t="n">
        <x:v>44</x:v>
      </x:c>
      <x:c r="Q691" s="137" t="n">
        <x:v>30</x:v>
      </x:c>
      <x:c r="R691" s="137" t="n">
        <x:v>63.5</x:v>
      </x:c>
      <x:c r="S691" s="137"/>
      <x:c r="T691" s="136"/>
      <x:c r="U691" s="136"/>
      <x:c r="V691" s="137"/>
      <x:c r="W691" s="137" t="n">
        <x:f>IF(COUNT(P691:S691)&gt;=3,AVERAGE(P691:S691),"")</x:f>
        <x:v>45.833333333333336</x:v>
      </x:c>
      <x:c r="X691" s="137" t="n">
        <x:f>IF(V691&lt;&gt;"",V691,W691)</x:f>
        <x:v>45.833333333333336</x:v>
      </x:c>
      <x:c r="Y691" s="111" t="str">
        <x:v>파생: 공식 과목별 70% 백분위 평균</x:v>
      </x:c>
      <x:c r="Z691" s="137" t="n">
        <x:f>'추천_테스트'!$B$8</x:f>
        <x:v>80</x:v>
      </x:c>
      <x:c r="AA691" s="137" t="n">
        <x:f>IF(X691="","",Z691-X691)</x:f>
        <x:v>34.166666666666664</x:v>
      </x:c>
      <x:c r="AB691" s="111" t="str">
        <x:f>IF(X691="","",IF(AA691&gt;='추천_테스트'!$B$10,"안정",IF(AA691&gt;='추천_테스트'!$B$11,"적정",IF(AA691&gt;='추천_테스트'!$B$12,"소신","상향"))))</x:f>
        <x:v>안정</x:v>
      </x:c>
      <x:c r="AC691" s="137"/>
      <x:c r="AD691" s="137"/>
      <x:c r="AE691" s="137"/>
      <x:c r="AF691" s="113" t="str">
        <x:v>v5 지방 사립대 확장: 공식 2025학년도 과목별 70% 자료. 영어는 원문 표에 등급 대신 변환점수 형태가 표시되어 영어70_등급은 공란 처리.</x:v>
      </x:c>
      <x:c r="AG691" s="113" t="str">
        <x:v>https://www.adiga.kr/ucp/uvt/uni/univDetailSelection.do?menuId=PCUVTINF2000&amp;searchSyr=2026&amp;unvCd=0000068</x:v>
      </x:c>
    </x:row>
    <x:row r="692" ht="18" customHeight="1">
      <x:c r="A692" s="111" t="n">
        <x:v>2025</x:v>
      </x:c>
      <x:c r="B692" s="111" t="str">
        <x:v>대구광역시</x:v>
      </x:c>
      <x:c r="C692" s="111" t="str">
        <x:v>사립</x:v>
      </x:c>
      <x:c r="D692" s="111" t="str">
        <x:v>계명대학교</x:v>
      </x:c>
      <x:c r="E692" s="111" t="str">
        <x:v>가</x:v>
      </x:c>
      <x:c r="F692" s="111" t="str">
        <x:v>수능(일반전형)</x:v>
      </x:c>
      <x:c r="G692" s="111" t="str">
        <x:v>스페인어중남미학과</x:v>
      </x:c>
      <x:c r="H692" s="136" t="n">
        <x:v>4</x:v>
      </x:c>
      <x:c r="I692" s="136" t="n">
        <x:v>1</x:v>
      </x:c>
      <x:c r="J692" s="136" t="n">
        <x:v>5</x:v>
      </x:c>
      <x:c r="K692" s="137" t="n">
        <x:v>12</x:v>
      </x:c>
      <x:c r="L692" s="136" t="n">
        <x:v>6</x:v>
      </x:c>
      <x:c r="M692" s="137" t="n">
        <x:v>62.25</x:v>
      </x:c>
      <x:c r="N692" s="137" t="n">
        <x:v>62.25</x:v>
      </x:c>
      <x:c r="O692" s="137" t="n">
        <x:v>101.25</x:v>
      </x:c>
      <x:c r="P692" s="137" t="n">
        <x:v>56</x:v>
      </x:c>
      <x:c r="Q692" s="137" t="n">
        <x:v>39</x:v>
      </x:c>
      <x:c r="R692" s="137" t="n">
        <x:v>58.5</x:v>
      </x:c>
      <x:c r="S692" s="137"/>
      <x:c r="T692" s="136"/>
      <x:c r="U692" s="136"/>
      <x:c r="V692" s="137"/>
      <x:c r="W692" s="137" t="n">
        <x:f>IF(COUNT(P692:S692)&gt;=3,AVERAGE(P692:S692),"")</x:f>
        <x:v>51.166666666666664</x:v>
      </x:c>
      <x:c r="X692" s="137" t="n">
        <x:f>IF(V692&lt;&gt;"",V692,W692)</x:f>
        <x:v>51.166666666666664</x:v>
      </x:c>
      <x:c r="Y692" s="111" t="str">
        <x:v>파생: 공식 과목별 70% 백분위 평균</x:v>
      </x:c>
      <x:c r="Z692" s="137" t="n">
        <x:f>'추천_테스트'!$B$8</x:f>
        <x:v>80</x:v>
      </x:c>
      <x:c r="AA692" s="137" t="n">
        <x:f>IF(X692="","",Z692-X692)</x:f>
        <x:v>28.833333333333336</x:v>
      </x:c>
      <x:c r="AB692" s="111" t="str">
        <x:f>IF(X692="","",IF(AA692&gt;='추천_테스트'!$B$10,"안정",IF(AA692&gt;='추천_테스트'!$B$11,"적정",IF(AA692&gt;='추천_테스트'!$B$12,"소신","상향"))))</x:f>
        <x:v>안정</x:v>
      </x:c>
      <x:c r="AC692" s="137"/>
      <x:c r="AD692" s="137"/>
      <x:c r="AE692" s="137"/>
      <x:c r="AF692" s="113" t="str">
        <x:v>v5 지방 사립대 확장: 공식 2025학년도 과목별 70% 자료. 영어는 원문 표에 등급 대신 변환점수 형태가 표시되어 영어70_등급은 공란 처리.</x:v>
      </x:c>
      <x:c r="AG692" s="113" t="str">
        <x:v>https://www.adiga.kr/ucp/uvt/uni/univDetailSelection.do?menuId=PCUVTINF2000&amp;searchSyr=2026&amp;unvCd=0000068</x:v>
      </x:c>
    </x:row>
    <x:row r="693" ht="18" customHeight="1">
      <x:c r="A693" s="111" t="n">
        <x:v>2025</x:v>
      </x:c>
      <x:c r="B693" s="111" t="str">
        <x:v>대구광역시</x:v>
      </x:c>
      <x:c r="C693" s="111" t="str">
        <x:v>사립</x:v>
      </x:c>
      <x:c r="D693" s="111" t="str">
        <x:v>계명대학교</x:v>
      </x:c>
      <x:c r="E693" s="111" t="str">
        <x:v>가</x:v>
      </x:c>
      <x:c r="F693" s="111" t="str">
        <x:v>수능(일반전형)</x:v>
      </x:c>
      <x:c r="G693" s="111" t="str">
        <x:v>철학과</x:v>
      </x:c>
      <x:c r="H693" s="136" t="n">
        <x:v>3</x:v>
      </x:c>
      <x:c r="I693" s="136" t="n">
        <x:v>4</x:v>
      </x:c>
      <x:c r="J693" s="136" t="n">
        <x:v>7</x:v>
      </x:c>
      <x:c r="K693" s="137" t="n">
        <x:v>6.3</x:v>
      </x:c>
      <x:c r="L693" s="136" t="n">
        <x:v>11</x:v>
      </x:c>
      <x:c r="M693" s="137" t="n">
        <x:v>65.5</x:v>
      </x:c>
      <x:c r="N693" s="137" t="n">
        <x:v>63.13</x:v>
      </x:c>
      <x:c r="O693" s="137" t="n">
        <x:v>101.25</x:v>
      </x:c>
      <x:c r="P693" s="137" t="n">
        <x:v>49</x:v>
      </x:c>
      <x:c r="Q693" s="137" t="n">
        <x:v>23</x:v>
      </x:c>
      <x:c r="R693" s="137" t="n">
        <x:v>63</x:v>
      </x:c>
      <x:c r="S693" s="137"/>
      <x:c r="T693" s="136"/>
      <x:c r="U693" s="136"/>
      <x:c r="V693" s="137"/>
      <x:c r="W693" s="137" t="n">
        <x:f>IF(COUNT(P693:S693)&gt;=3,AVERAGE(P693:S693),"")</x:f>
        <x:v>45</x:v>
      </x:c>
      <x:c r="X693" s="137" t="n">
        <x:f>IF(V693&lt;&gt;"",V693,W693)</x:f>
        <x:v>45</x:v>
      </x:c>
      <x:c r="Y693" s="111" t="str">
        <x:v>파생: 공식 과목별 70% 백분위 평균</x:v>
      </x:c>
      <x:c r="Z693" s="137" t="n">
        <x:f>'추천_테스트'!$B$8</x:f>
        <x:v>80</x:v>
      </x:c>
      <x:c r="AA693" s="137" t="n">
        <x:f>IF(X693="","",Z693-X693)</x:f>
        <x:v>35</x:v>
      </x:c>
      <x:c r="AB693" s="111" t="str">
        <x:f>IF(X693="","",IF(AA693&gt;='추천_테스트'!$B$10,"안정",IF(AA693&gt;='추천_테스트'!$B$11,"적정",IF(AA693&gt;='추천_테스트'!$B$12,"소신","상향"))))</x:f>
        <x:v>안정</x:v>
      </x:c>
      <x:c r="AC693" s="137"/>
      <x:c r="AD693" s="137"/>
      <x:c r="AE693" s="137"/>
      <x:c r="AF693" s="113" t="str">
        <x:v>v5 지방 사립대 확장: 공식 2025학년도 과목별 70% 자료. 영어는 원문 표에 등급 대신 변환점수 형태가 표시되어 영어70_등급은 공란 처리.</x:v>
      </x:c>
      <x:c r="AG693" s="113" t="str">
        <x:v>https://www.adiga.kr/ucp/uvt/uni/univDetailSelection.do?menuId=PCUVTINF2000&amp;searchSyr=2026&amp;unvCd=0000068</x:v>
      </x:c>
    </x:row>
    <x:row r="694" ht="18" customHeight="1">
      <x:c r="A694" s="111" t="n">
        <x:v>2025</x:v>
      </x:c>
      <x:c r="B694" s="111" t="str">
        <x:v>대구광역시</x:v>
      </x:c>
      <x:c r="C694" s="111" t="str">
        <x:v>사립</x:v>
      </x:c>
      <x:c r="D694" s="111" t="str">
        <x:v>계명대학교</x:v>
      </x:c>
      <x:c r="E694" s="111" t="str">
        <x:v>가</x:v>
      </x:c>
      <x:c r="F694" s="111" t="str">
        <x:v>수능(일반전형)</x:v>
      </x:c>
      <x:c r="G694" s="111" t="str">
        <x:v>교육학과</x:v>
      </x:c>
      <x:c r="H694" s="136" t="n">
        <x:v>3</x:v>
      </x:c>
      <x:c r="I694" s="136" t="n">
        <x:v>0</x:v>
      </x:c>
      <x:c r="J694" s="136" t="n">
        <x:v>3</x:v>
      </x:c>
      <x:c r="K694" s="137" t="n">
        <x:v>8.3</x:v>
      </x:c>
      <x:c r="L694" s="136" t="n">
        <x:v>6</x:v>
      </x:c>
      <x:c r="M694" s="137" t="n">
        <x:v>69.75</x:v>
      </x:c>
      <x:c r="N694" s="137" t="n">
        <x:v>68</x:v>
      </x:c>
      <x:c r="O694" s="137" t="n">
        <x:v>101.25</x:v>
      </x:c>
      <x:c r="P694" s="137" t="n">
        <x:v>74</x:v>
      </x:c>
      <x:c r="Q694" s="137" t="n">
        <x:v>38</x:v>
      </x:c>
      <x:c r="R694" s="137" t="n">
        <x:v>66.5</x:v>
      </x:c>
      <x:c r="S694" s="137"/>
      <x:c r="T694" s="136"/>
      <x:c r="U694" s="136"/>
      <x:c r="V694" s="137"/>
      <x:c r="W694" s="137" t="n">
        <x:f>IF(COUNT(P694:S694)&gt;=3,AVERAGE(P694:S694),"")</x:f>
        <x:v>59.5</x:v>
      </x:c>
      <x:c r="X694" s="137" t="n">
        <x:f>IF(V694&lt;&gt;"",V694,W694)</x:f>
        <x:v>59.5</x:v>
      </x:c>
      <x:c r="Y694" s="111" t="str">
        <x:v>파생: 공식 과목별 70% 백분위 평균</x:v>
      </x:c>
      <x:c r="Z694" s="137" t="n">
        <x:f>'추천_테스트'!$B$8</x:f>
        <x:v>80</x:v>
      </x:c>
      <x:c r="AA694" s="137" t="n">
        <x:f>IF(X694="","",Z694-X694)</x:f>
        <x:v>20.5</x:v>
      </x:c>
      <x:c r="AB694" s="111" t="str">
        <x:f>IF(X694="","",IF(AA694&gt;='추천_테스트'!$B$10,"안정",IF(AA694&gt;='추천_테스트'!$B$11,"적정",IF(AA694&gt;='추천_테스트'!$B$12,"소신","상향"))))</x:f>
        <x:v>안정</x:v>
      </x:c>
      <x:c r="AC694" s="137"/>
      <x:c r="AD694" s="137"/>
      <x:c r="AE694" s="137"/>
      <x:c r="AF694" s="113" t="str">
        <x:v>v5 지방 사립대 확장: 공식 2025학년도 과목별 70% 자료. 영어는 원문 표에 등급 대신 변환점수 형태가 표시되어 영어70_등급은 공란 처리.</x:v>
      </x:c>
      <x:c r="AG694" s="113" t="str">
        <x:v>https://www.adiga.kr/ucp/uvt/uni/univDetailSelection.do?menuId=PCUVTINF2000&amp;searchSyr=2026&amp;unvCd=0000068</x:v>
      </x:c>
    </x:row>
    <x:row r="695" ht="18" customHeight="1">
      <x:c r="A695" s="111" t="n">
        <x:v>2025</x:v>
      </x:c>
      <x:c r="B695" s="111" t="str">
        <x:v>대구광역시</x:v>
      </x:c>
      <x:c r="C695" s="111" t="str">
        <x:v>사립</x:v>
      </x:c>
      <x:c r="D695" s="111" t="str">
        <x:v>계명대학교</x:v>
      </x:c>
      <x:c r="E695" s="111" t="str">
        <x:v>가</x:v>
      </x:c>
      <x:c r="F695" s="111" t="str">
        <x:v>수능(일반전형)</x:v>
      </x:c>
      <x:c r="G695" s="111" t="str">
        <x:v>한문교육과</x:v>
      </x:c>
      <x:c r="H695" s="136" t="n">
        <x:v>3</x:v>
      </x:c>
      <x:c r="I695" s="136" t="n">
        <x:v>0</x:v>
      </x:c>
      <x:c r="J695" s="136" t="n">
        <x:v>3</x:v>
      </x:c>
      <x:c r="K695" s="137" t="n">
        <x:v>14</x:v>
      </x:c>
      <x:c r="L695" s="136" t="n">
        <x:v>2</x:v>
      </x:c>
      <x:c r="M695" s="137" t="n">
        <x:v>69.75</x:v>
      </x:c>
      <x:c r="N695" s="137" t="n">
        <x:v>68.38</x:v>
      </x:c>
      <x:c r="O695" s="137" t="n">
        <x:v>101.25</x:v>
      </x:c>
      <x:c r="P695" s="137" t="n">
        <x:v>56</x:v>
      </x:c>
      <x:c r="Q695" s="137" t="n">
        <x:v>59</x:v>
      </x:c>
      <x:c r="R695" s="137" t="n">
        <x:v>53.5</x:v>
      </x:c>
      <x:c r="S695" s="137"/>
      <x:c r="T695" s="136"/>
      <x:c r="U695" s="136"/>
      <x:c r="V695" s="137"/>
      <x:c r="W695" s="137" t="n">
        <x:f>IF(COUNT(P695:S695)&gt;=3,AVERAGE(P695:S695),"")</x:f>
        <x:v>56.166666666666664</x:v>
      </x:c>
      <x:c r="X695" s="137" t="n">
        <x:f>IF(V695&lt;&gt;"",V695,W695)</x:f>
        <x:v>56.166666666666664</x:v>
      </x:c>
      <x:c r="Y695" s="111" t="str">
        <x:v>파생: 공식 과목별 70% 백분위 평균</x:v>
      </x:c>
      <x:c r="Z695" s="137" t="n">
        <x:f>'추천_테스트'!$B$8</x:f>
        <x:v>80</x:v>
      </x:c>
      <x:c r="AA695" s="137" t="n">
        <x:f>IF(X695="","",Z695-X695)</x:f>
        <x:v>23.833333333333336</x:v>
      </x:c>
      <x:c r="AB695" s="111" t="str">
        <x:f>IF(X695="","",IF(AA695&gt;='추천_테스트'!$B$10,"안정",IF(AA695&gt;='추천_테스트'!$B$11,"적정",IF(AA695&gt;='추천_테스트'!$B$12,"소신","상향"))))</x:f>
        <x:v>안정</x:v>
      </x:c>
      <x:c r="AC695" s="137"/>
      <x:c r="AD695" s="137"/>
      <x:c r="AE695" s="137"/>
      <x:c r="AF695" s="113" t="str">
        <x:v>v5 지방 사립대 확장: 공식 2025학년도 과목별 70% 자료. 영어는 원문 표에 등급 대신 변환점수 형태가 표시되어 영어70_등급은 공란 처리.</x:v>
      </x:c>
      <x:c r="AG695" s="113" t="str">
        <x:v>https://www.adiga.kr/ucp/uvt/uni/univDetailSelection.do?menuId=PCUVTINF2000&amp;searchSyr=2026&amp;unvCd=0000068</x:v>
      </x:c>
    </x:row>
    <x:row r="696" ht="18" customHeight="1">
      <x:c r="A696" s="111" t="n">
        <x:v>2025</x:v>
      </x:c>
      <x:c r="B696" s="111" t="str">
        <x:v>대구광역시</x:v>
      </x:c>
      <x:c r="C696" s="111" t="str">
        <x:v>사립</x:v>
      </x:c>
      <x:c r="D696" s="111" t="str">
        <x:v>계명대학교</x:v>
      </x:c>
      <x:c r="E696" s="111" t="str">
        <x:v>가</x:v>
      </x:c>
      <x:c r="F696" s="111" t="str">
        <x:v>수능(일반전형)</x:v>
      </x:c>
      <x:c r="G696" s="111" t="str">
        <x:v>유아교육과</x:v>
      </x:c>
      <x:c r="H696" s="136" t="n">
        <x:v>3</x:v>
      </x:c>
      <x:c r="I696" s="136" t="n">
        <x:v>0</x:v>
      </x:c>
      <x:c r="J696" s="136" t="n">
        <x:v>3</x:v>
      </x:c>
      <x:c r="K696" s="137" t="n">
        <x:v>5.7</x:v>
      </x:c>
      <x:c r="L696" s="136" t="n">
        <x:v>1</x:v>
      </x:c>
      <x:c r="M696" s="137" t="n">
        <x:v>66</x:v>
      </x:c>
      <x:c r="N696" s="137" t="n">
        <x:v>65.63</x:v>
      </x:c>
      <x:c r="O696" s="137" t="n">
        <x:v>101.25</x:v>
      </x:c>
      <x:c r="P696" s="137" t="n">
        <x:v>49</x:v>
      </x:c>
      <x:c r="Q696" s="137" t="n">
        <x:v>34</x:v>
      </x:c>
      <x:c r="R696" s="137" t="n">
        <x:v>76</x:v>
      </x:c>
      <x:c r="S696" s="137"/>
      <x:c r="T696" s="136"/>
      <x:c r="U696" s="136"/>
      <x:c r="V696" s="137"/>
      <x:c r="W696" s="137" t="n">
        <x:f>IF(COUNT(P696:S696)&gt;=3,AVERAGE(P696:S696),"")</x:f>
        <x:v>53</x:v>
      </x:c>
      <x:c r="X696" s="137" t="n">
        <x:f>IF(V696&lt;&gt;"",V696,W696)</x:f>
        <x:v>53</x:v>
      </x:c>
      <x:c r="Y696" s="111" t="str">
        <x:v>파생: 공식 과목별 70% 백분위 평균</x:v>
      </x:c>
      <x:c r="Z696" s="137" t="n">
        <x:f>'추천_테스트'!$B$8</x:f>
        <x:v>80</x:v>
      </x:c>
      <x:c r="AA696" s="137" t="n">
        <x:f>IF(X696="","",Z696-X696)</x:f>
        <x:v>27</x:v>
      </x:c>
      <x:c r="AB696" s="111" t="str">
        <x:f>IF(X696="","",IF(AA696&gt;='추천_테스트'!$B$10,"안정",IF(AA696&gt;='추천_테스트'!$B$11,"적정",IF(AA696&gt;='추천_테스트'!$B$12,"소신","상향"))))</x:f>
        <x:v>안정</x:v>
      </x:c>
      <x:c r="AC696" s="137"/>
      <x:c r="AD696" s="137"/>
      <x:c r="AE696" s="137"/>
      <x:c r="AF696" s="113" t="str">
        <x:v>v5 지방 사립대 확장: 공식 2025학년도 과목별 70% 자료. 영어는 원문 표에 등급 대신 변환점수 형태가 표시되어 영어70_등급은 공란 처리.</x:v>
      </x:c>
      <x:c r="AG696" s="113" t="str">
        <x:v>https://www.adiga.kr/ucp/uvt/uni/univDetailSelection.do?menuId=PCUVTINF2000&amp;searchSyr=2026&amp;unvCd=0000068</x:v>
      </x:c>
    </x:row>
    <x:row r="697" ht="18" customHeight="1">
      <x:c r="A697" s="111" t="n">
        <x:v>2025</x:v>
      </x:c>
      <x:c r="B697" s="111" t="str">
        <x:v>대구광역시</x:v>
      </x:c>
      <x:c r="C697" s="111" t="str">
        <x:v>사립</x:v>
      </x:c>
      <x:c r="D697" s="111" t="str">
        <x:v>계명대학교</x:v>
      </x:c>
      <x:c r="E697" s="111" t="str">
        <x:v>가</x:v>
      </x:c>
      <x:c r="F697" s="111" t="str">
        <x:v>수능(일반전형)</x:v>
      </x:c>
      <x:c r="G697" s="111" t="str">
        <x:v>영어교육과</x:v>
      </x:c>
      <x:c r="H697" s="136" t="n">
        <x:v>3</x:v>
      </x:c>
      <x:c r="I697" s="136" t="n">
        <x:v>0</x:v>
      </x:c>
      <x:c r="J697" s="136" t="n">
        <x:v>3</x:v>
      </x:c>
      <x:c r="K697" s="137" t="n">
        <x:v>5.3</x:v>
      </x:c>
      <x:c r="L697" s="136" t="n">
        <x:v>8</x:v>
      </x:c>
      <x:c r="M697" s="137" t="n">
        <x:v>72.75</x:v>
      </x:c>
      <x:c r="N697" s="137" t="n">
        <x:v>66.88</x:v>
      </x:c>
      <x:c r="O697" s="137" t="n">
        <x:v>101.25</x:v>
      </x:c>
      <x:c r="P697" s="137" t="n">
        <x:v>67</x:v>
      </x:c>
      <x:c r="Q697" s="137" t="n">
        <x:v>54</x:v>
      </x:c>
      <x:c r="R697" s="137" t="n">
        <x:v>51.5</x:v>
      </x:c>
      <x:c r="S697" s="137"/>
      <x:c r="T697" s="136"/>
      <x:c r="U697" s="136"/>
      <x:c r="V697" s="137"/>
      <x:c r="W697" s="137" t="n">
        <x:f>IF(COUNT(P697:S697)&gt;=3,AVERAGE(P697:S697),"")</x:f>
        <x:v>57.5</x:v>
      </x:c>
      <x:c r="X697" s="137" t="n">
        <x:f>IF(V697&lt;&gt;"",V697,W697)</x:f>
        <x:v>57.5</x:v>
      </x:c>
      <x:c r="Y697" s="111" t="str">
        <x:v>파생: 공식 과목별 70% 백분위 평균</x:v>
      </x:c>
      <x:c r="Z697" s="137" t="n">
        <x:f>'추천_테스트'!$B$8</x:f>
        <x:v>80</x:v>
      </x:c>
      <x:c r="AA697" s="137" t="n">
        <x:f>IF(X697="","",Z697-X697)</x:f>
        <x:v>22.5</x:v>
      </x:c>
      <x:c r="AB697" s="111" t="str">
        <x:f>IF(X697="","",IF(AA697&gt;='추천_테스트'!$B$10,"안정",IF(AA697&gt;='추천_테스트'!$B$11,"적정",IF(AA697&gt;='추천_테스트'!$B$12,"소신","상향"))))</x:f>
        <x:v>안정</x:v>
      </x:c>
      <x:c r="AC697" s="137"/>
      <x:c r="AD697" s="137"/>
      <x:c r="AE697" s="137"/>
      <x:c r="AF697" s="113" t="str">
        <x:v>v5 지방 사립대 확장: 공식 2025학년도 과목별 70% 자료. 영어는 원문 표에 등급 대신 변환점수 형태가 표시되어 영어70_등급은 공란 처리.</x:v>
      </x:c>
      <x:c r="AG697" s="113" t="str">
        <x:v>https://www.adiga.kr/ucp/uvt/uni/univDetailSelection.do?menuId=PCUVTINF2000&amp;searchSyr=2026&amp;unvCd=0000068</x:v>
      </x:c>
    </x:row>
    <x:row r="698" ht="18" customHeight="1">
      <x:c r="A698" s="111" t="n">
        <x:v>2025</x:v>
      </x:c>
      <x:c r="B698" s="111" t="str">
        <x:v>대구광역시</x:v>
      </x:c>
      <x:c r="C698" s="111" t="str">
        <x:v>사립</x:v>
      </x:c>
      <x:c r="D698" s="111" t="str">
        <x:v>계명대학교</x:v>
      </x:c>
      <x:c r="E698" s="111" t="str">
        <x:v>가</x:v>
      </x:c>
      <x:c r="F698" s="111" t="str">
        <x:v>수능(일반전형)</x:v>
      </x:c>
      <x:c r="G698" s="111" t="str">
        <x:v>국어교육과</x:v>
      </x:c>
      <x:c r="H698" s="136" t="n">
        <x:v>3</x:v>
      </x:c>
      <x:c r="I698" s="136" t="n">
        <x:v>4</x:v>
      </x:c>
      <x:c r="J698" s="136" t="n">
        <x:v>7</x:v>
      </x:c>
      <x:c r="K698" s="137" t="n">
        <x:v>6.9</x:v>
      </x:c>
      <x:c r="L698" s="136" t="n">
        <x:v>9</x:v>
      </x:c>
      <x:c r="M698" s="137" t="n">
        <x:v>71.75</x:v>
      </x:c>
      <x:c r="N698" s="137" t="n">
        <x:v>71.25</x:v>
      </x:c>
      <x:c r="O698" s="137" t="n">
        <x:v>101.25</x:v>
      </x:c>
      <x:c r="P698" s="137" t="n">
        <x:v>54</x:v>
      </x:c>
      <x:c r="Q698" s="137" t="n">
        <x:v>43</x:v>
      </x:c>
      <x:c r="R698" s="137" t="n">
        <x:v>41.5</x:v>
      </x:c>
      <x:c r="S698" s="137"/>
      <x:c r="T698" s="136"/>
      <x:c r="U698" s="136"/>
      <x:c r="V698" s="137"/>
      <x:c r="W698" s="137" t="n">
        <x:f>IF(COUNT(P698:S698)&gt;=3,AVERAGE(P698:S698),"")</x:f>
        <x:v>46.166666666666664</x:v>
      </x:c>
      <x:c r="X698" s="137" t="n">
        <x:f>IF(V698&lt;&gt;"",V698,W698)</x:f>
        <x:v>46.166666666666664</x:v>
      </x:c>
      <x:c r="Y698" s="111" t="str">
        <x:v>파생: 공식 과목별 70% 백분위 평균</x:v>
      </x:c>
      <x:c r="Z698" s="137" t="n">
        <x:f>'추천_테스트'!$B$8</x:f>
        <x:v>80</x:v>
      </x:c>
      <x:c r="AA698" s="137" t="n">
        <x:f>IF(X698="","",Z698-X698)</x:f>
        <x:v>33.833333333333336</x:v>
      </x:c>
      <x:c r="AB698" s="111" t="str">
        <x:f>IF(X698="","",IF(AA698&gt;='추천_테스트'!$B$10,"안정",IF(AA698&gt;='추천_테스트'!$B$11,"적정",IF(AA698&gt;='추천_테스트'!$B$12,"소신","상향"))))</x:f>
        <x:v>안정</x:v>
      </x:c>
      <x:c r="AC698" s="137"/>
      <x:c r="AD698" s="137"/>
      <x:c r="AE698" s="137"/>
      <x:c r="AF698" s="113" t="str">
        <x:v>v5 지방 사립대 확장: 공식 2025학년도 과목별 70% 자료. 영어는 원문 표에 등급 대신 변환점수 형태가 표시되어 영어70_등급은 공란 처리.</x:v>
      </x:c>
      <x:c r="AG698" s="113" t="str">
        <x:v>https://www.adiga.kr/ucp/uvt/uni/univDetailSelection.do?menuId=PCUVTINF2000&amp;searchSyr=2026&amp;unvCd=0000068</x:v>
      </x:c>
    </x:row>
    <x:row r="699" ht="18" customHeight="1">
      <x:c r="A699" s="111" t="n">
        <x:v>2025</x:v>
      </x:c>
      <x:c r="B699" s="111" t="str">
        <x:v>대구광역시</x:v>
      </x:c>
      <x:c r="C699" s="111" t="str">
        <x:v>사립</x:v>
      </x:c>
      <x:c r="D699" s="111" t="str">
        <x:v>계명대학교</x:v>
      </x:c>
      <x:c r="E699" s="111" t="str">
        <x:v>가</x:v>
      </x:c>
      <x:c r="F699" s="111" t="str">
        <x:v>수능(일반전형)</x:v>
      </x:c>
      <x:c r="G699" s="111" t="str">
        <x:v>관광경영학과</x:v>
      </x:c>
      <x:c r="H699" s="136" t="n">
        <x:v>8</x:v>
      </x:c>
      <x:c r="I699" s="136" t="n">
        <x:v>1</x:v>
      </x:c>
      <x:c r="J699" s="136" t="n">
        <x:v>9</x:v>
      </x:c>
      <x:c r="K699" s="137" t="n">
        <x:v>5.9</x:v>
      </x:c>
      <x:c r="L699" s="136" t="n">
        <x:v>13</x:v>
      </x:c>
      <x:c r="M699" s="137" t="n">
        <x:v>64</x:v>
      </x:c>
      <x:c r="N699" s="137" t="n">
        <x:v>63.5</x:v>
      </x:c>
      <x:c r="O699" s="137" t="n">
        <x:v>101.25</x:v>
      </x:c>
      <x:c r="P699" s="137" t="n">
        <x:v>33</x:v>
      </x:c>
      <x:c r="Q699" s="137" t="n">
        <x:v>19</x:v>
      </x:c>
      <x:c r="R699" s="137" t="n">
        <x:v>53</x:v>
      </x:c>
      <x:c r="S699" s="137"/>
      <x:c r="T699" s="136"/>
      <x:c r="U699" s="136"/>
      <x:c r="V699" s="137"/>
      <x:c r="W699" s="137" t="n">
        <x:f>IF(COUNT(P699:S699)&gt;=3,AVERAGE(P699:S699),"")</x:f>
        <x:v>35</x:v>
      </x:c>
      <x:c r="X699" s="137" t="n">
        <x:f>IF(V699&lt;&gt;"",V699,W699)</x:f>
        <x:v>35</x:v>
      </x:c>
      <x:c r="Y699" s="111" t="str">
        <x:v>파생: 공식 과목별 70% 백분위 평균</x:v>
      </x:c>
      <x:c r="Z699" s="137" t="n">
        <x:f>'추천_테스트'!$B$8</x:f>
        <x:v>80</x:v>
      </x:c>
      <x:c r="AA699" s="137" t="n">
        <x:f>IF(X699="","",Z699-X699)</x:f>
        <x:v>45</x:v>
      </x:c>
      <x:c r="AB699" s="111" t="str">
        <x:f>IF(X699="","",IF(AA699&gt;='추천_테스트'!$B$10,"안정",IF(AA699&gt;='추천_테스트'!$B$11,"적정",IF(AA699&gt;='추천_테스트'!$B$12,"소신","상향"))))</x:f>
        <x:v>안정</x:v>
      </x:c>
      <x:c r="AC699" s="137"/>
      <x:c r="AD699" s="137"/>
      <x:c r="AE699" s="137"/>
      <x:c r="AF699" s="113" t="str">
        <x:v>v5 지방 사립대 확장: 공식 2025학년도 과목별 70% 자료. 영어는 원문 표에 등급 대신 변환점수 형태가 표시되어 영어70_등급은 공란 처리.</x:v>
      </x:c>
      <x:c r="AG699" s="113" t="str">
        <x:v>https://www.adiga.kr/ucp/uvt/uni/univDetailSelection.do?menuId=PCUVTINF2000&amp;searchSyr=2026&amp;unvCd=0000068</x:v>
      </x:c>
    </x:row>
    <x:row r="700" ht="18" customHeight="1">
      <x:c r="A700" s="111" t="n">
        <x:v>2025</x:v>
      </x:c>
      <x:c r="B700" s="111" t="str">
        <x:v>대구광역시</x:v>
      </x:c>
      <x:c r="C700" s="111" t="str">
        <x:v>사립</x:v>
      </x:c>
      <x:c r="D700" s="111" t="str">
        <x:v>계명대학교</x:v>
      </x:c>
      <x:c r="E700" s="111" t="str">
        <x:v>가</x:v>
      </x:c>
      <x:c r="F700" s="111" t="str">
        <x:v>수능(일반전형)</x:v>
      </x:c>
      <x:c r="G700" s="111" t="str">
        <x:v>경영빅데이터학과</x:v>
      </x:c>
      <x:c r="H700" s="136" t="n">
        <x:v>5</x:v>
      </x:c>
      <x:c r="I700" s="136" t="n">
        <x:v>1</x:v>
      </x:c>
      <x:c r="J700" s="136" t="n">
        <x:v>6</x:v>
      </x:c>
      <x:c r="K700" s="137" t="n">
        <x:v>7.7</x:v>
      </x:c>
      <x:c r="L700" s="136" t="n">
        <x:v>5</x:v>
      </x:c>
      <x:c r="M700" s="137" t="n">
        <x:v>67.5</x:v>
      </x:c>
      <x:c r="N700" s="137" t="n">
        <x:v>65.25</x:v>
      </x:c>
      <x:c r="O700" s="137" t="n">
        <x:v>101.25</x:v>
      </x:c>
      <x:c r="P700" s="137" t="n">
        <x:v>39</x:v>
      </x:c>
      <x:c r="Q700" s="137" t="n">
        <x:v>36</x:v>
      </x:c>
      <x:c r="R700" s="137" t="n">
        <x:v>64.5</x:v>
      </x:c>
      <x:c r="S700" s="137"/>
      <x:c r="T700" s="136"/>
      <x:c r="U700" s="136"/>
      <x:c r="V700" s="137"/>
      <x:c r="W700" s="137" t="n">
        <x:f>IF(COUNT(P700:S700)&gt;=3,AVERAGE(P700:S700),"")</x:f>
        <x:v>46.5</x:v>
      </x:c>
      <x:c r="X700" s="137" t="n">
        <x:f>IF(V700&lt;&gt;"",V700,W700)</x:f>
        <x:v>46.5</x:v>
      </x:c>
      <x:c r="Y700" s="111" t="str">
        <x:v>파생: 공식 과목별 70% 백분위 평균</x:v>
      </x:c>
      <x:c r="Z700" s="137" t="n">
        <x:f>'추천_테스트'!$B$8</x:f>
        <x:v>80</x:v>
      </x:c>
      <x:c r="AA700" s="137" t="n">
        <x:f>IF(X700="","",Z700-X700)</x:f>
        <x:v>33.5</x:v>
      </x:c>
      <x:c r="AB700" s="111" t="str">
        <x:f>IF(X700="","",IF(AA700&gt;='추천_테스트'!$B$10,"안정",IF(AA700&gt;='추천_테스트'!$B$11,"적정",IF(AA700&gt;='추천_테스트'!$B$12,"소신","상향"))))</x:f>
        <x:v>안정</x:v>
      </x:c>
      <x:c r="AC700" s="137"/>
      <x:c r="AD700" s="137"/>
      <x:c r="AE700" s="137"/>
      <x:c r="AF700" s="113" t="str">
        <x:v>v5 지방 사립대 확장: 공식 2025학년도 과목별 70% 자료. 영어는 원문 표에 등급 대신 변환점수 형태가 표시되어 영어70_등급은 공란 처리.</x:v>
      </x:c>
      <x:c r="AG700" s="113" t="str">
        <x:v>https://www.adiga.kr/ucp/uvt/uni/univDetailSelection.do?menuId=PCUVTINF2000&amp;searchSyr=2026&amp;unvCd=0000068</x:v>
      </x:c>
    </x:row>
    <x:row r="701" ht="18" customHeight="1">
      <x:c r="A701" s="111" t="n">
        <x:v>2025</x:v>
      </x:c>
      <x:c r="B701" s="111" t="str">
        <x:v>전북특별자치도</x:v>
      </x:c>
      <x:c r="C701" s="111" t="str">
        <x:v>사립</x:v>
      </x:c>
      <x:c r="D701" s="111" t="str">
        <x:v>원광대학교</x:v>
      </x:c>
      <x:c r="E701" s="111" t="str">
        <x:v>가</x:v>
      </x:c>
      <x:c r="F701" s="111" t="str">
        <x:v>수능(일반전형)</x:v>
      </x:c>
      <x:c r="G701" s="111" t="str">
        <x:v>간호학과</x:v>
      </x:c>
      <x:c r="H701" s="136" t="n">
        <x:v>35</x:v>
      </x:c>
      <x:c r="I701" s="136" t="n">
        <x:v>1</x:v>
      </x:c>
      <x:c r="J701" s="136" t="n">
        <x:v>36</x:v>
      </x:c>
      <x:c r="K701" s="137" t="n">
        <x:v>5.06</x:v>
      </x:c>
      <x:c r="L701" s="136" t="n">
        <x:v>48</x:v>
      </x:c>
      <x:c r="M701" s="137" t="n">
        <x:v>440</x:v>
      </x:c>
      <x:c r="N701" s="137" t="n">
        <x:v>438</x:v>
      </x:c>
      <x:c r="O701" s="137" t="n">
        <x:v>700</x:v>
      </x:c>
      <x:c r="P701" s="137" t="n">
        <x:v>67</x:v>
      </x:c>
      <x:c r="Q701" s="137" t="n">
        <x:v>63</x:v>
      </x:c>
      <x:c r="R701" s="137" t="n">
        <x:v>80</x:v>
      </x:c>
      <x:c r="S701" s="137" t="n">
        <x:v>78</x:v>
      </x:c>
      <x:c r="T701" s="136" t="n">
        <x:v>3</x:v>
      </x:c>
      <x:c r="U701" s="136" t="n">
        <x:v>1</x:v>
      </x:c>
      <x:c r="V701" s="137"/>
      <x:c r="W701" s="137" t="n">
        <x:f>IF(COUNT(P701:S701)&gt;=3,AVERAGE(P701:S701),"")</x:f>
        <x:v>72</x:v>
      </x:c>
      <x:c r="X701" s="137" t="n">
        <x:f>IF(V701&lt;&gt;"",V701,W701)</x:f>
        <x:v>72</x:v>
      </x:c>
      <x:c r="Y701" s="111" t="str">
        <x:v>파생: 공식 과목별 70% 백분위 평균</x:v>
      </x:c>
      <x:c r="Z701" s="137" t="n">
        <x:f>'추천_테스트'!$B$8</x:f>
        <x:v>80</x:v>
      </x:c>
      <x:c r="AA701" s="137" t="n">
        <x:f>IF(X701="","",Z701-X701)</x:f>
        <x:v>8</x:v>
      </x:c>
      <x:c r="AB701" s="111" t="str">
        <x:f>IF(X701="","",IF(AA701&gt;='추천_테스트'!$B$10,"안정",IF(AA701&gt;='추천_테스트'!$B$11,"적정",IF(AA701&gt;='추천_테스트'!$B$12,"소신","상향"))))</x:f>
        <x:v>안정</x:v>
      </x:c>
      <x:c r="AC701" s="137" t="n">
        <x:v>88</x:v>
      </x:c>
      <x:c r="AD701" s="137" t="n">
        <x:v>13</x:v>
      </x:c>
      <x:c r="AE701" s="137"/>
      <x:c r="AF701" s="113" t="str">
        <x:v>v5 지방 사립대 확장: 공식 2025학년도 정시 과목별 70% 백분위를 원형 보존</x:v>
      </x:c>
      <x:c r="AG701" s="113" t="str">
        <x:v>https://www.adiga.kr/ucp/uvt/uni/univDetailSelection.do?menuId=PCUVTINF2000&amp;searchSyr=2026&amp;unvCd=0000159</x:v>
      </x:c>
    </x:row>
    <x:row r="702" ht="18" customHeight="1">
      <x:c r="A702" s="111" t="n">
        <x:v>2025</x:v>
      </x:c>
      <x:c r="B702" s="111" t="str">
        <x:v>전북특별자치도</x:v>
      </x:c>
      <x:c r="C702" s="111" t="str">
        <x:v>사립</x:v>
      </x:c>
      <x:c r="D702" s="111" t="str">
        <x:v>원광대학교</x:v>
      </x:c>
      <x:c r="E702" s="111" t="str">
        <x:v>가</x:v>
      </x:c>
      <x:c r="F702" s="111" t="str">
        <x:v>수능(일반전형)</x:v>
      </x:c>
      <x:c r="G702" s="111" t="str">
        <x:v>자율전공학부</x:v>
      </x:c>
      <x:c r="H702" s="136" t="n">
        <x:v>0</x:v>
      </x:c>
      <x:c r="I702" s="136" t="n">
        <x:v>5</x:v>
      </x:c>
      <x:c r="J702" s="136" t="n">
        <x:v>5</x:v>
      </x:c>
      <x:c r="K702" s="137" t="n">
        <x:v>10</x:v>
      </x:c>
      <x:c r="L702" s="136" t="n">
        <x:v>40</x:v>
      </x:c>
      <x:c r="M702" s="137" t="n">
        <x:v>245</x:v>
      </x:c>
      <x:c r="N702" s="137" t="n">
        <x:v>242</x:v>
      </x:c>
      <x:c r="O702" s="137" t="n">
        <x:v>400</x:v>
      </x:c>
      <x:c r="P702" s="137" t="n">
        <x:v>34</x:v>
      </x:c>
      <x:c r="Q702" s="137" t="n">
        <x:v>8</x:v>
      </x:c>
      <x:c r="R702" s="137" t="n">
        <x:v>63</x:v>
      </x:c>
      <x:c r="S702" s="137" t="n">
        <x:v>64</x:v>
      </x:c>
      <x:c r="T702" s="136" t="n">
        <x:v>3</x:v>
      </x:c>
      <x:c r="U702" s="136" t="n">
        <x:v>4</x:v>
      </x:c>
      <x:c r="V702" s="137"/>
      <x:c r="W702" s="137" t="n">
        <x:f>IF(COUNT(P702:S702)&gt;=3,AVERAGE(P702:S702),"")</x:f>
        <x:v>42.25</x:v>
      </x:c>
      <x:c r="X702" s="137" t="n">
        <x:f>IF(V702&lt;&gt;"",V702,W702)</x:f>
        <x:v>42.25</x:v>
      </x:c>
      <x:c r="Y702" s="111" t="str">
        <x:v>파생: 공식 과목별 70% 백분위 평균</x:v>
      </x:c>
      <x:c r="Z702" s="137" t="n">
        <x:f>'추천_테스트'!$B$8</x:f>
        <x:v>80</x:v>
      </x:c>
      <x:c r="AA702" s="137" t="n">
        <x:f>IF(X702="","",Z702-X702)</x:f>
        <x:v>37.75</x:v>
      </x:c>
      <x:c r="AB702" s="111" t="str">
        <x:f>IF(X702="","",IF(AA702&gt;='추천_테스트'!$B$10,"안정",IF(AA702&gt;='추천_테스트'!$B$11,"적정",IF(AA702&gt;='추천_테스트'!$B$12,"소신","상향"))))</x:f>
        <x:v>안정</x:v>
      </x:c>
      <x:c r="AC702" s="137" t="n">
        <x:v>64</x:v>
      </x:c>
      <x:c r="AD702" s="137" t="n">
        <x:v>5</x:v>
      </x:c>
      <x:c r="AE702" s="137" t="n">
        <x:v>5</x:v>
      </x:c>
      <x:c r="AF702" s="113" t="str">
        <x:v>v5 지방 사립대 확장: 공식 2025학년도 정시 과목별 70% 백분위를 원형 보존</x:v>
      </x:c>
      <x:c r="AG702" s="113" t="str">
        <x:v>https://www.adiga.kr/ucp/uvt/uni/univDetailSelection.do?menuId=PCUVTINF2000&amp;searchSyr=2026&amp;unvCd=0000159</x:v>
      </x:c>
    </x:row>
    <x:row r="703" ht="18" customHeight="1">
      <x:c r="A703" s="111" t="n">
        <x:v>2025</x:v>
      </x:c>
      <x:c r="B703" s="111" t="str">
        <x:v>전북특별자치도</x:v>
      </x:c>
      <x:c r="C703" s="111" t="str">
        <x:v>사립</x:v>
      </x:c>
      <x:c r="D703" s="111" t="str">
        <x:v>원광대학교</x:v>
      </x:c>
      <x:c r="E703" s="111" t="str">
        <x:v>나</x:v>
      </x:c>
      <x:c r="F703" s="111" t="str">
        <x:v>수능(일반전형)</x:v>
      </x:c>
      <x:c r="G703" s="111" t="str">
        <x:v>원불교학과</x:v>
      </x:c>
      <x:c r="H703" s="136" t="n">
        <x:v>0</x:v>
      </x:c>
      <x:c r="I703" s="136" t="n">
        <x:v>9</x:v>
      </x:c>
      <x:c r="J703" s="136" t="n">
        <x:v>9</x:v>
      </x:c>
      <x:c r="K703" s="137" t="n">
        <x:v>1.33</x:v>
      </x:c>
      <x:c r="L703" s="136" t="n">
        <x:v>3</x:v>
      </x:c>
      <x:c r="M703" s="137" t="n">
        <x:v>220</x:v>
      </x:c>
      <x:c r="N703" s="137" t="n">
        <x:v>220</x:v>
      </x:c>
      <x:c r="O703" s="137" t="n">
        <x:v>400</x:v>
      </x:c>
      <x:c r="P703" s="137" t="n">
        <x:v>10</x:v>
      </x:c>
      <x:c r="Q703" s="137" t="n">
        <x:v>36</x:v>
      </x:c>
      <x:c r="R703" s="137" t="n">
        <x:v>50</x:v>
      </x:c>
      <x:c r="S703" s="137" t="n">
        <x:v>63</x:v>
      </x:c>
      <x:c r="T703" s="136" t="n">
        <x:v>5</x:v>
      </x:c>
      <x:c r="U703" s="136" t="n">
        <x:v>2</x:v>
      </x:c>
      <x:c r="V703" s="137"/>
      <x:c r="W703" s="137" t="n">
        <x:f>IF(COUNT(P703:S703)&gt;=3,AVERAGE(P703:S703),"")</x:f>
        <x:v>39.75</x:v>
      </x:c>
      <x:c r="X703" s="137" t="n">
        <x:f>IF(V703&lt;&gt;"",V703,W703)</x:f>
        <x:v>39.75</x:v>
      </x:c>
      <x:c r="Y703" s="111" t="str">
        <x:v>파생: 공식 과목별 70% 백분위 평균</x:v>
      </x:c>
      <x:c r="Z703" s="137" t="n">
        <x:f>'추천_테스트'!$B$8</x:f>
        <x:v>80</x:v>
      </x:c>
      <x:c r="AA703" s="137" t="n">
        <x:f>IF(X703="","",Z703-X703)</x:f>
        <x:v>40.25</x:v>
      </x:c>
      <x:c r="AB703" s="111" t="str">
        <x:f>IF(X703="","",IF(AA703&gt;='추천_테스트'!$B$10,"안정",IF(AA703&gt;='추천_테스트'!$B$11,"적정",IF(AA703&gt;='추천_테스트'!$B$12,"소신","상향"))))</x:f>
        <x:v>안정</x:v>
      </x:c>
      <x:c r="AC703" s="137" t="n">
        <x:v>75</x:v>
      </x:c>
      <x:c r="AD703" s="137" t="n">
        <x:v>25</x:v>
      </x:c>
      <x:c r="AE703" s="137"/>
      <x:c r="AF703" s="113" t="str">
        <x:v>v5 지방 사립대 확장: 공식 2025학년도 정시 과목별 70% 백분위를 원형 보존</x:v>
      </x:c>
      <x:c r="AG703" s="113" t="str">
        <x:v>https://www.adiga.kr/ucp/uvt/uni/univDetailSelection.do?menuId=PCUVTINF2000&amp;searchSyr=2026&amp;unvCd=0000159</x:v>
      </x:c>
    </x:row>
    <x:row r="704" ht="18" customHeight="1">
      <x:c r="A704" s="111" t="n">
        <x:v>2025</x:v>
      </x:c>
      <x:c r="B704" s="111" t="str">
        <x:v>전북특별자치도</x:v>
      </x:c>
      <x:c r="C704" s="111" t="str">
        <x:v>사립</x:v>
      </x:c>
      <x:c r="D704" s="111" t="str">
        <x:v>원광대학교</x:v>
      </x:c>
      <x:c r="E704" s="111" t="str">
        <x:v>나</x:v>
      </x:c>
      <x:c r="F704" s="111" t="str">
        <x:v>수능(일반전형)</x:v>
      </x:c>
      <x:c r="G704" s="111" t="str">
        <x:v>창의문화융합계열</x:v>
      </x:c>
      <x:c r="H704" s="136" t="n">
        <x:v>0</x:v>
      </x:c>
      <x:c r="I704" s="136" t="n">
        <x:v>40</x:v>
      </x:c>
      <x:c r="J704" s="136" t="n">
        <x:v>40</x:v>
      </x:c>
      <x:c r="K704" s="137" t="n">
        <x:v>2.38</x:v>
      </x:c>
      <x:c r="L704" s="136" t="n">
        <x:v>27</x:v>
      </x:c>
      <x:c r="M704" s="137" t="n">
        <x:v>232</x:v>
      </x:c>
      <x:c r="N704" s="137" t="n">
        <x:v>223</x:v>
      </x:c>
      <x:c r="O704" s="137" t="n">
        <x:v>400</x:v>
      </x:c>
      <x:c r="P704" s="137" t="n">
        <x:v>63</x:v>
      </x:c>
      <x:c r="Q704" s="137" t="n">
        <x:v>28</x:v>
      </x:c>
      <x:c r="R704" s="137" t="n">
        <x:v>50</x:v>
      </x:c>
      <x:c r="S704" s="137" t="n">
        <x:v>46</x:v>
      </x:c>
      <x:c r="T704" s="136" t="n">
        <x:v>6</x:v>
      </x:c>
      <x:c r="U704" s="136" t="n">
        <x:v>3</x:v>
      </x:c>
      <x:c r="V704" s="137"/>
      <x:c r="W704" s="137" t="n">
        <x:f>IF(COUNT(P704:S704)&gt;=3,AVERAGE(P704:S704),"")</x:f>
        <x:v>46.75</x:v>
      </x:c>
      <x:c r="X704" s="137" t="n">
        <x:f>IF(V704&lt;&gt;"",V704,W704)</x:f>
        <x:v>46.75</x:v>
      </x:c>
      <x:c r="Y704" s="111" t="str">
        <x:v>파생: 공식 과목별 70% 백분위 평균</x:v>
      </x:c>
      <x:c r="Z704" s="137" t="n">
        <x:f>'추천_테스트'!$B$8</x:f>
        <x:v>80</x:v>
      </x:c>
      <x:c r="AA704" s="137" t="n">
        <x:f>IF(X704="","",Z704-X704)</x:f>
        <x:v>33.25</x:v>
      </x:c>
      <x:c r="AB704" s="111" t="str">
        <x:f>IF(X704="","",IF(AA704&gt;='추천_테스트'!$B$10,"안정",IF(AA704&gt;='추천_테스트'!$B$11,"적정",IF(AA704&gt;='추천_테스트'!$B$12,"소신","상향"))))</x:f>
        <x:v>안정</x:v>
      </x:c>
      <x:c r="AC704" s="137" t="n">
        <x:v>87</x:v>
      </x:c>
      <x:c r="AD704" s="137" t="n">
        <x:v>10</x:v>
      </x:c>
      <x:c r="AE704" s="137" t="n">
        <x:v>3</x:v>
      </x:c>
      <x:c r="AF704" s="113" t="str">
        <x:v>v5 지방 사립대 확장: 공식 2025학년도 정시 과목별 70% 백분위를 원형 보존</x:v>
      </x:c>
      <x:c r="AG704" s="113" t="str">
        <x:v>https://www.adiga.kr/ucp/uvt/uni/univDetailSelection.do?menuId=PCUVTINF2000&amp;searchSyr=2026&amp;unvCd=0000159</x:v>
      </x:c>
    </x:row>
    <x:row r="705" ht="18" customHeight="1">
      <x:c r="A705" s="111" t="n">
        <x:v>2025</x:v>
      </x:c>
      <x:c r="B705" s="111" t="str">
        <x:v>전북특별자치도</x:v>
      </x:c>
      <x:c r="C705" s="111" t="str">
        <x:v>사립</x:v>
      </x:c>
      <x:c r="D705" s="111" t="str">
        <x:v>원광대학교</x:v>
      </x:c>
      <x:c r="E705" s="111" t="str">
        <x:v>나</x:v>
      </x:c>
      <x:c r="F705" s="111" t="str">
        <x:v>수능(일반전형)</x:v>
      </x:c>
      <x:c r="G705" s="111" t="str">
        <x:v>경영학과</x:v>
      </x:c>
      <x:c r="H705" s="136" t="n">
        <x:v>0</x:v>
      </x:c>
      <x:c r="I705" s="136" t="n">
        <x:v>16</x:v>
      </x:c>
      <x:c r="J705" s="136" t="n">
        <x:v>16</x:v>
      </x:c>
      <x:c r="K705" s="137" t="n">
        <x:v>5.75</x:v>
      </x:c>
      <x:c r="L705" s="136" t="n">
        <x:v>26</x:v>
      </x:c>
      <x:c r="M705" s="137" t="n">
        <x:v>249</x:v>
      </x:c>
      <x:c r="N705" s="137" t="n">
        <x:v>247</x:v>
      </x:c>
      <x:c r="O705" s="137" t="n">
        <x:v>400</x:v>
      </x:c>
      <x:c r="P705" s="137" t="n">
        <x:v>49</x:v>
      </x:c>
      <x:c r="Q705" s="137" t="n">
        <x:v>50</x:v>
      </x:c>
      <x:c r="R705" s="137" t="n">
        <x:v>63</x:v>
      </x:c>
      <x:c r="S705" s="137" t="n">
        <x:v>74</x:v>
      </x:c>
      <x:c r="T705" s="136" t="n">
        <x:v>4</x:v>
      </x:c>
      <x:c r="U705" s="136" t="n">
        <x:v>4</x:v>
      </x:c>
      <x:c r="V705" s="137"/>
      <x:c r="W705" s="137" t="n">
        <x:f>IF(COUNT(P705:S705)&gt;=3,AVERAGE(P705:S705),"")</x:f>
        <x:v>59</x:v>
      </x:c>
      <x:c r="X705" s="137" t="n">
        <x:f>IF(V705&lt;&gt;"",V705,W705)</x:f>
        <x:v>59</x:v>
      </x:c>
      <x:c r="Y705" s="111" t="str">
        <x:v>파생: 공식 과목별 70% 백분위 평균</x:v>
      </x:c>
      <x:c r="Z705" s="137" t="n">
        <x:f>'추천_테스트'!$B$8</x:f>
        <x:v>80</x:v>
      </x:c>
      <x:c r="AA705" s="137" t="n">
        <x:f>IF(X705="","",Z705-X705)</x:f>
        <x:v>21</x:v>
      </x:c>
      <x:c r="AB705" s="111" t="str">
        <x:f>IF(X705="","",IF(AA705&gt;='추천_테스트'!$B$10,"안정",IF(AA705&gt;='추천_테스트'!$B$11,"적정",IF(AA705&gt;='추천_테스트'!$B$12,"소신","상향"))))</x:f>
        <x:v>안정</x:v>
      </x:c>
      <x:c r="AC705" s="137" t="n">
        <x:v>75</x:v>
      </x:c>
      <x:c r="AD705" s="137" t="n">
        <x:v>25</x:v>
      </x:c>
      <x:c r="AE705" s="137"/>
      <x:c r="AF705" s="113" t="str">
        <x:v>v5 지방 사립대 확장: 공식 2025학년도 정시 과목별 70% 백분위를 원형 보존</x:v>
      </x:c>
      <x:c r="AG705" s="113" t="str">
        <x:v>https://www.adiga.kr/ucp/uvt/uni/univDetailSelection.do?menuId=PCUVTINF2000&amp;searchSyr=2026&amp;unvCd=0000159</x:v>
      </x:c>
    </x:row>
    <x:row r="706" ht="18" customHeight="1">
      <x:c r="A706" s="111" t="n">
        <x:v>2025</x:v>
      </x:c>
      <x:c r="B706" s="111" t="str">
        <x:v>전북특별자치도</x:v>
      </x:c>
      <x:c r="C706" s="111" t="str">
        <x:v>사립</x:v>
      </x:c>
      <x:c r="D706" s="111" t="str">
        <x:v>원광대학교</x:v>
      </x:c>
      <x:c r="E706" s="111" t="str">
        <x:v>나</x:v>
      </x:c>
      <x:c r="F706" s="111" t="str">
        <x:v>수능(일반전형)</x:v>
      </x:c>
      <x:c r="G706" s="111" t="str">
        <x:v>회계세무학과</x:v>
      </x:c>
      <x:c r="H706" s="136" t="n">
        <x:v>0</x:v>
      </x:c>
      <x:c r="I706" s="136" t="n">
        <x:v>8</x:v>
      </x:c>
      <x:c r="J706" s="136" t="n">
        <x:v>8</x:v>
      </x:c>
      <x:c r="K706" s="137" t="n">
        <x:v>4</x:v>
      </x:c>
      <x:c r="L706" s="136" t="n">
        <x:v>7</x:v>
      </x:c>
      <x:c r="M706" s="137" t="n">
        <x:v>253</x:v>
      </x:c>
      <x:c r="N706" s="137" t="n">
        <x:v>249</x:v>
      </x:c>
      <x:c r="O706" s="137" t="n">
        <x:v>400</x:v>
      </x:c>
      <x:c r="P706" s="137" t="n">
        <x:v>49</x:v>
      </x:c>
      <x:c r="Q706" s="137" t="n">
        <x:v>74</x:v>
      </x:c>
      <x:c r="R706" s="137" t="n">
        <x:v>71</x:v>
      </x:c>
      <x:c r="S706" s="137" t="n">
        <x:v>64</x:v>
      </x:c>
      <x:c r="T706" s="136" t="n">
        <x:v>5</x:v>
      </x:c>
      <x:c r="U706" s="136" t="n">
        <x:v>2</x:v>
      </x:c>
      <x:c r="V706" s="137"/>
      <x:c r="W706" s="137" t="n">
        <x:f>IF(COUNT(P706:S706)&gt;=3,AVERAGE(P706:S706),"")</x:f>
        <x:v>64.5</x:v>
      </x:c>
      <x:c r="X706" s="137" t="n">
        <x:f>IF(V706&lt;&gt;"",V706,W706)</x:f>
        <x:v>64.5</x:v>
      </x:c>
      <x:c r="Y706" s="111" t="str">
        <x:v>파생: 공식 과목별 70% 백분위 평균</x:v>
      </x:c>
      <x:c r="Z706" s="137" t="n">
        <x:f>'추천_테스트'!$B$8</x:f>
        <x:v>80</x:v>
      </x:c>
      <x:c r="AA706" s="137" t="n">
        <x:f>IF(X706="","",Z706-X706)</x:f>
        <x:v>15.5</x:v>
      </x:c>
      <x:c r="AB706" s="111" t="str">
        <x:f>IF(X706="","",IF(AA706&gt;='추천_테스트'!$B$10,"안정",IF(AA706&gt;='추천_테스트'!$B$11,"적정",IF(AA706&gt;='추천_테스트'!$B$12,"소신","상향"))))</x:f>
        <x:v>안정</x:v>
      </x:c>
      <x:c r="AC706" s="137" t="n">
        <x:v>44</x:v>
      </x:c>
      <x:c r="AD706" s="137" t="n">
        <x:v>56</x:v>
      </x:c>
      <x:c r="AE706" s="137"/>
      <x:c r="AF706" s="113" t="str">
        <x:v>v5 지방 사립대 확장: 공식 2025학년도 정시 과목별 70% 백분위를 원형 보존</x:v>
      </x:c>
      <x:c r="AG706" s="113" t="str">
        <x:v>https://www.adiga.kr/ucp/uvt/uni/univDetailSelection.do?menuId=PCUVTINF2000&amp;searchSyr=2026&amp;unvCd=0000159</x:v>
      </x:c>
    </x:row>
    <x:row r="707" ht="18" customHeight="1">
      <x:c r="A707" s="111" t="n">
        <x:v>2025</x:v>
      </x:c>
      <x:c r="B707" s="111" t="str">
        <x:v>전북특별자치도</x:v>
      </x:c>
      <x:c r="C707" s="111" t="str">
        <x:v>사립</x:v>
      </x:c>
      <x:c r="D707" s="111" t="str">
        <x:v>원광대학교</x:v>
      </x:c>
      <x:c r="E707" s="111" t="str">
        <x:v>나</x:v>
      </x:c>
      <x:c r="F707" s="111" t="str">
        <x:v>수능(일반전형)</x:v>
      </x:c>
      <x:c r="G707" s="111" t="str">
        <x:v>경제금융학과</x:v>
      </x:c>
      <x:c r="H707" s="136" t="n">
        <x:v>0</x:v>
      </x:c>
      <x:c r="I707" s="136" t="n">
        <x:v>6</x:v>
      </x:c>
      <x:c r="J707" s="136" t="n">
        <x:v>6</x:v>
      </x:c>
      <x:c r="K707" s="137" t="n">
        <x:v>6.33</x:v>
      </x:c>
      <x:c r="L707" s="136" t="n">
        <x:v>4</x:v>
      </x:c>
      <x:c r="M707" s="137" t="n">
        <x:v>253</x:v>
      </x:c>
      <x:c r="N707" s="137" t="n">
        <x:v>253</x:v>
      </x:c>
      <x:c r="O707" s="137" t="n">
        <x:v>400</x:v>
      </x:c>
      <x:c r="P707" s="137" t="n">
        <x:v>52</x:v>
      </x:c>
      <x:c r="Q707" s="137" t="n">
        <x:v>5</x:v>
      </x:c>
      <x:c r="R707" s="137" t="n">
        <x:v>69</x:v>
      </x:c>
      <x:c r="S707" s="137" t="n">
        <x:v>64</x:v>
      </x:c>
      <x:c r="T707" s="136" t="n">
        <x:v>3</x:v>
      </x:c>
      <x:c r="U707" s="136" t="n">
        <x:v>4</x:v>
      </x:c>
      <x:c r="V707" s="137"/>
      <x:c r="W707" s="137" t="n">
        <x:f>IF(COUNT(P707:S707)&gt;=3,AVERAGE(P707:S707),"")</x:f>
        <x:v>47.5</x:v>
      </x:c>
      <x:c r="X707" s="137" t="n">
        <x:f>IF(V707&lt;&gt;"",V707,W707)</x:f>
        <x:v>47.5</x:v>
      </x:c>
      <x:c r="Y707" s="111" t="str">
        <x:v>파생: 공식 과목별 70% 백분위 평균</x:v>
      </x:c>
      <x:c r="Z707" s="137" t="n">
        <x:f>'추천_테스트'!$B$8</x:f>
        <x:v>80</x:v>
      </x:c>
      <x:c r="AA707" s="137" t="n">
        <x:f>IF(X707="","",Z707-X707)</x:f>
        <x:v>32.5</x:v>
      </x:c>
      <x:c r="AB707" s="111" t="str">
        <x:f>IF(X707="","",IF(AA707&gt;='추천_테스트'!$B$10,"안정",IF(AA707&gt;='추천_테스트'!$B$11,"적정",IF(AA707&gt;='추천_테스트'!$B$12,"소신","상향"))))</x:f>
        <x:v>안정</x:v>
      </x:c>
      <x:c r="AC707" s="137" t="n">
        <x:v>83</x:v>
      </x:c>
      <x:c r="AD707" s="137" t="n">
        <x:v>17</x:v>
      </x:c>
      <x:c r="AE707" s="137"/>
      <x:c r="AF707" s="113" t="str">
        <x:v>v5 지방 사립대 확장: 공식 2025학년도 정시 과목별 70% 백분위를 원형 보존</x:v>
      </x:c>
      <x:c r="AG707" s="113" t="str">
        <x:v>https://www.adiga.kr/ucp/uvt/uni/univDetailSelection.do?menuId=PCUVTINF2000&amp;searchSyr=2026&amp;unvCd=0000159</x:v>
      </x:c>
    </x:row>
    <x:row r="708" ht="18" customHeight="1">
      <x:c r="A708" s="111" t="n">
        <x:v>2025</x:v>
      </x:c>
      <x:c r="B708" s="111" t="str">
        <x:v>전북특별자치도</x:v>
      </x:c>
      <x:c r="C708" s="111" t="str">
        <x:v>사립</x:v>
      </x:c>
      <x:c r="D708" s="111" t="str">
        <x:v>원광대학교</x:v>
      </x:c>
      <x:c r="E708" s="111" t="str">
        <x:v>나</x:v>
      </x:c>
      <x:c r="F708" s="111" t="str">
        <x:v>수능(일반전형)</x:v>
      </x:c>
      <x:c r="G708" s="111" t="str">
        <x:v>약학과</x:v>
      </x:c>
      <x:c r="H708" s="136" t="n">
        <x:v>7</x:v>
      </x:c>
      <x:c r="I708" s="136" t="n">
        <x:v>0</x:v>
      </x:c>
      <x:c r="J708" s="136" t="n">
        <x:v>7</x:v>
      </x:c>
      <x:c r="K708" s="137" t="n">
        <x:v>12.71</x:v>
      </x:c>
      <x:c r="L708" s="136" t="n">
        <x:v>3</x:v>
      </x:c>
      <x:c r="M708" s="137" t="n">
        <x:v>500</x:v>
      </x:c>
      <x:c r="N708" s="137" t="n">
        <x:v>500</x:v>
      </x:c>
      <x:c r="O708" s="137" t="n">
        <x:v>700</x:v>
      </x:c>
      <x:c r="P708" s="137" t="n">
        <x:v>98</x:v>
      </x:c>
      <x:c r="Q708" s="137" t="n">
        <x:v>87</x:v>
      </x:c>
      <x:c r="R708" s="137" t="n">
        <x:v>98</x:v>
      </x:c>
      <x:c r="S708" s="137" t="n">
        <x:v>100</x:v>
      </x:c>
      <x:c r="T708" s="136" t="n">
        <x:v>1</x:v>
      </x:c>
      <x:c r="U708" s="136" t="n">
        <x:v>1</x:v>
      </x:c>
      <x:c r="V708" s="137"/>
      <x:c r="W708" s="137" t="n">
        <x:f>IF(COUNT(P708:S708)&gt;=3,AVERAGE(P708:S708),"")</x:f>
        <x:v>95.75</x:v>
      </x:c>
      <x:c r="X708" s="137" t="n">
        <x:f>IF(V708&lt;&gt;"",V708,W708)</x:f>
        <x:v>95.75</x:v>
      </x:c>
      <x:c r="Y708" s="111" t="str">
        <x:v>파생: 공식 과목별 70% 백분위 평균</x:v>
      </x:c>
      <x:c r="Z708" s="137" t="n">
        <x:f>'추천_테스트'!$B$8</x:f>
        <x:v>80</x:v>
      </x:c>
      <x:c r="AA708" s="137" t="n">
        <x:f>IF(X708="","",Z708-X708)</x:f>
        <x:v>-15.75</x:v>
      </x:c>
      <x:c r="AB708" s="111" t="str">
        <x:f>IF(X708="","",IF(AA708&gt;='추천_테스트'!$B$10,"안정",IF(AA708&gt;='추천_테스트'!$B$11,"적정",IF(AA708&gt;='추천_테스트'!$B$12,"소신","상향"))))</x:f>
        <x:v>상향</x:v>
      </x:c>
      <x:c r="AC708" s="137"/>
      <x:c r="AD708" s="137" t="n">
        <x:v>86</x:v>
      </x:c>
      <x:c r="AE708" s="137" t="n">
        <x:v>14</x:v>
      </x:c>
      <x:c r="AF708" s="113" t="str">
        <x:v>v5 지방 사립대 확장: 공식 2025학년도 정시 과목별 70% 백분위를 원형 보존</x:v>
      </x:c>
      <x:c r="AG708" s="113" t="str">
        <x:v>https://www.adiga.kr/ucp/uvt/uni/univDetailSelection.do?menuId=PCUVTINF2000&amp;searchSyr=2026&amp;unvCd=0000159</x:v>
      </x:c>
    </x:row>
    <x:row r="709" ht="18" customHeight="1">
      <x:c r="A709" s="111" t="n">
        <x:v>2025</x:v>
      </x:c>
      <x:c r="B709" s="111" t="str">
        <x:v>전북특별자치도</x:v>
      </x:c>
      <x:c r="C709" s="111" t="str">
        <x:v>사립</x:v>
      </x:c>
      <x:c r="D709" s="111" t="str">
        <x:v>원광대학교</x:v>
      </x:c>
      <x:c r="E709" s="111" t="str">
        <x:v>나</x:v>
      </x:c>
      <x:c r="F709" s="111" t="str">
        <x:v>수능(일반전형)</x:v>
      </x:c>
      <x:c r="G709" s="111" t="str">
        <x:v>한약학과</x:v>
      </x:c>
      <x:c r="H709" s="136" t="n">
        <x:v>12</x:v>
      </x:c>
      <x:c r="I709" s="136" t="n">
        <x:v>0</x:v>
      </x:c>
      <x:c r="J709" s="136" t="n">
        <x:v>12</x:v>
      </x:c>
      <x:c r="K709" s="137" t="n">
        <x:v>8.83</x:v>
      </x:c>
      <x:c r="L709" s="136" t="n">
        <x:v>15</x:v>
      </x:c>
      <x:c r="M709" s="137" t="n">
        <x:v>488</x:v>
      </x:c>
      <x:c r="N709" s="137" t="n">
        <x:v>486</x:v>
      </x:c>
      <x:c r="O709" s="137" t="n">
        <x:v>700</x:v>
      </x:c>
      <x:c r="P709" s="137" t="n">
        <x:v>95</x:v>
      </x:c>
      <x:c r="Q709" s="137" t="n">
        <x:v>78</x:v>
      </x:c>
      <x:c r="R709" s="137" t="n">
        <x:v>96</x:v>
      </x:c>
      <x:c r="S709" s="137" t="n">
        <x:v>97</x:v>
      </x:c>
      <x:c r="T709" s="136" t="n">
        <x:v>1</x:v>
      </x:c>
      <x:c r="U709" s="136" t="n">
        <x:v>1</x:v>
      </x:c>
      <x:c r="V709" s="137"/>
      <x:c r="W709" s="137" t="n">
        <x:f>IF(COUNT(P709:S709)&gt;=3,AVERAGE(P709:S709),"")</x:f>
        <x:v>91.5</x:v>
      </x:c>
      <x:c r="X709" s="137" t="n">
        <x:f>IF(V709&lt;&gt;"",V709,W709)</x:f>
        <x:v>91.5</x:v>
      </x:c>
      <x:c r="Y709" s="111" t="str">
        <x:v>파생: 공식 과목별 70% 백분위 평균</x:v>
      </x:c>
      <x:c r="Z709" s="137" t="n">
        <x:f>'추천_테스트'!$B$8</x:f>
        <x:v>80</x:v>
      </x:c>
      <x:c r="AA709" s="137" t="n">
        <x:f>IF(X709="","",Z709-X709)</x:f>
        <x:v>-11.5</x:v>
      </x:c>
      <x:c r="AB709" s="111" t="str">
        <x:f>IF(X709="","",IF(AA709&gt;='추천_테스트'!$B$10,"안정",IF(AA709&gt;='추천_테스트'!$B$11,"적정",IF(AA709&gt;='추천_테스트'!$B$12,"소신","상향"))))</x:f>
        <x:v>상향</x:v>
      </x:c>
      <x:c r="AC709" s="137" t="n">
        <x:v>46</x:v>
      </x:c>
      <x:c r="AD709" s="137" t="n">
        <x:v>54</x:v>
      </x:c>
      <x:c r="AE709" s="137"/>
      <x:c r="AF709" s="113" t="str">
        <x:v>v5 지방 사립대 확장: 공식 2025학년도 정시 과목별 70% 백분위를 원형 보존</x:v>
      </x:c>
      <x:c r="AG709" s="113" t="str">
        <x:v>https://www.adiga.kr/ucp/uvt/uni/univDetailSelection.do?menuId=PCUVTINF2000&amp;searchSyr=2026&amp;unvCd=0000159</x:v>
      </x:c>
    </x:row>
    <x:row r="710" ht="18" customHeight="1">
      <x:c r="A710" s="111" t="n">
        <x:v>2025</x:v>
      </x:c>
      <x:c r="B710" s="111" t="str">
        <x:v>전북특별자치도</x:v>
      </x:c>
      <x:c r="C710" s="111" t="str">
        <x:v>사립</x:v>
      </x:c>
      <x:c r="D710" s="111" t="str">
        <x:v>원광대학교</x:v>
      </x:c>
      <x:c r="E710" s="111" t="str">
        <x:v>나</x:v>
      </x:c>
      <x:c r="F710" s="111" t="str">
        <x:v>수능(일반전형)</x:v>
      </x:c>
      <x:c r="G710" s="111" t="str">
        <x:v>국어교육과</x:v>
      </x:c>
      <x:c r="H710" s="136" t="n">
        <x:v>0</x:v>
      </x:c>
      <x:c r="I710" s="136" t="n">
        <x:v>1</x:v>
      </x:c>
      <x:c r="J710" s="136" t="n">
        <x:v>1</x:v>
      </x:c>
      <x:c r="K710" s="137" t="n">
        <x:v>7</x:v>
      </x:c>
      <x:c r="L710" s="136" t="n">
        <x:v>3</x:v>
      </x:c>
      <x:c r="M710" s="137" t="n">
        <x:v>262</x:v>
      </x:c>
      <x:c r="N710" s="137" t="n">
        <x:v>262</x:v>
      </x:c>
      <x:c r="O710" s="137" t="n">
        <x:v>400</x:v>
      </x:c>
      <x:c r="P710" s="137" t="n">
        <x:v>79</x:v>
      </x:c>
      <x:c r="Q710" s="137" t="n">
        <x:v>66</x:v>
      </x:c>
      <x:c r="R710" s="137" t="n">
        <x:v>47</x:v>
      </x:c>
      <x:c r="S710" s="137" t="n">
        <x:v>23</x:v>
      </x:c>
      <x:c r="T710" s="136" t="n">
        <x:v>3</x:v>
      </x:c>
      <x:c r="U710" s="136" t="n">
        <x:v>3</x:v>
      </x:c>
      <x:c r="V710" s="137"/>
      <x:c r="W710" s="137" t="n">
        <x:f>IF(COUNT(P710:S710)&gt;=3,AVERAGE(P710:S710),"")</x:f>
        <x:v>53.75</x:v>
      </x:c>
      <x:c r="X710" s="137" t="n">
        <x:f>IF(V710&lt;&gt;"",V710,W710)</x:f>
        <x:v>53.75</x:v>
      </x:c>
      <x:c r="Y710" s="111" t="str">
        <x:v>파생: 공식 과목별 70% 백분위 평균</x:v>
      </x:c>
      <x:c r="Z710" s="137" t="n">
        <x:f>'추천_테스트'!$B$8</x:f>
        <x:v>80</x:v>
      </x:c>
      <x:c r="AA710" s="137" t="n">
        <x:f>IF(X710="","",Z710-X710)</x:f>
        <x:v>26.25</x:v>
      </x:c>
      <x:c r="AB710" s="111" t="str">
        <x:f>IF(X710="","",IF(AA710&gt;='추천_테스트'!$B$10,"안정",IF(AA710&gt;='추천_테스트'!$B$11,"적정",IF(AA710&gt;='추천_테스트'!$B$12,"소신","상향"))))</x:f>
        <x:v>안정</x:v>
      </x:c>
      <x:c r="AC710" s="137"/>
      <x:c r="AD710" s="137" t="n">
        <x:v>100</x:v>
      </x:c>
      <x:c r="AE710" s="137"/>
      <x:c r="AF710" s="113" t="str">
        <x:v>v5 지방 사립대 확장: 공식 2025학년도 정시 과목별 70% 백분위를 원형 보존</x:v>
      </x:c>
      <x:c r="AG710" s="113" t="str">
        <x:v>https://www.adiga.kr/ucp/uvt/uni/univDetailSelection.do?menuId=PCUVTINF2000&amp;searchSyr=2026&amp;unvCd=0000159</x:v>
      </x:c>
    </x:row>
    <x:row r="711" ht="18" customHeight="1">
      <x:c r="A711" s="111" t="n">
        <x:v>2025</x:v>
      </x:c>
      <x:c r="B711" s="111" t="str">
        <x:v>전북특별자치도</x:v>
      </x:c>
      <x:c r="C711" s="111" t="str">
        <x:v>사립</x:v>
      </x:c>
      <x:c r="D711" s="111" t="str">
        <x:v>원광대학교</x:v>
      </x:c>
      <x:c r="E711" s="111" t="str">
        <x:v>나</x:v>
      </x:c>
      <x:c r="F711" s="111" t="str">
        <x:v>수능(일반전형)</x:v>
      </x:c>
      <x:c r="G711" s="111" t="str">
        <x:v>영어교육과</x:v>
      </x:c>
      <x:c r="H711" s="136" t="n">
        <x:v>0</x:v>
      </x:c>
      <x:c r="I711" s="136" t="n">
        <x:v>3</x:v>
      </x:c>
      <x:c r="J711" s="136" t="n">
        <x:v>3</x:v>
      </x:c>
      <x:c r="K711" s="137" t="n">
        <x:v>5</x:v>
      </x:c>
      <x:c r="L711" s="136" t="n">
        <x:v>0</x:v>
      </x:c>
      <x:c r="M711" s="137" t="n">
        <x:v>267</x:v>
      </x:c>
      <x:c r="N711" s="137" t="n">
        <x:v>261</x:v>
      </x:c>
      <x:c r="O711" s="137" t="n">
        <x:v>400</x:v>
      </x:c>
      <x:c r="P711" s="137" t="n">
        <x:v>79</x:v>
      </x:c>
      <x:c r="Q711" s="137" t="n">
        <x:v>59</x:v>
      </x:c>
      <x:c r="R711" s="137" t="n">
        <x:v>25</x:v>
      </x:c>
      <x:c r="S711" s="137" t="n">
        <x:v>31</x:v>
      </x:c>
      <x:c r="T711" s="136" t="n">
        <x:v>2</x:v>
      </x:c>
      <x:c r="U711" s="136" t="n">
        <x:v>3</x:v>
      </x:c>
      <x:c r="V711" s="137"/>
      <x:c r="W711" s="137" t="n">
        <x:f>IF(COUNT(P711:S711)&gt;=3,AVERAGE(P711:S711),"")</x:f>
        <x:v>48.5</x:v>
      </x:c>
      <x:c r="X711" s="137" t="n">
        <x:f>IF(V711&lt;&gt;"",V711,W711)</x:f>
        <x:v>48.5</x:v>
      </x:c>
      <x:c r="Y711" s="111" t="str">
        <x:v>파생: 공식 과목별 70% 백분위 평균</x:v>
      </x:c>
      <x:c r="Z711" s="137" t="n">
        <x:f>'추천_테스트'!$B$8</x:f>
        <x:v>80</x:v>
      </x:c>
      <x:c r="AA711" s="137" t="n">
        <x:f>IF(X711="","",Z711-X711)</x:f>
        <x:v>31.5</x:v>
      </x:c>
      <x:c r="AB711" s="111" t="str">
        <x:f>IF(X711="","",IF(AA711&gt;='추천_테스트'!$B$10,"안정",IF(AA711&gt;='추천_테스트'!$B$11,"적정",IF(AA711&gt;='추천_테스트'!$B$12,"소신","상향"))))</x:f>
        <x:v>안정</x:v>
      </x:c>
      <x:c r="AC711" s="137" t="n">
        <x:v>33</x:v>
      </x:c>
      <x:c r="AD711" s="137" t="n">
        <x:v>67</x:v>
      </x:c>
      <x:c r="AE711" s="137"/>
      <x:c r="AF711" s="113" t="str">
        <x:v>v5 지방 사립대 확장: 공식 2025학년도 정시 과목별 70% 백분위를 원형 보존</x:v>
      </x:c>
      <x:c r="AG711" s="113" t="str">
        <x:v>https://www.adiga.kr/ucp/uvt/uni/univDetailSelection.do?menuId=PCUVTINF2000&amp;searchSyr=2026&amp;unvCd=0000159</x:v>
      </x:c>
    </x:row>
    <x:row r="712" ht="18" customHeight="1">
      <x:c r="A712" s="111" t="n">
        <x:v>2025</x:v>
      </x:c>
      <x:c r="B712" s="111" t="str">
        <x:v>충청남도</x:v>
      </x:c>
      <x:c r="C712" s="111" t="str">
        <x:v>사립</x:v>
      </x:c>
      <x:c r="D712" s="111" t="str">
        <x:v>순천향대학교</x:v>
      </x:c>
      <x:c r="E712" s="111" t="str">
        <x:v>가</x:v>
      </x:c>
      <x:c r="F712" s="111" t="str">
        <x:v>수능(일반학생전형)</x:v>
      </x:c>
      <x:c r="G712" s="111" t="str">
        <x:v>화학과</x:v>
      </x:c>
      <x:c r="H712" s="136" t="n">
        <x:v>9</x:v>
      </x:c>
      <x:c r="I712" s="136" t="n">
        <x:v>1</x:v>
      </x:c>
      <x:c r="J712" s="136" t="n">
        <x:v>10</x:v>
      </x:c>
      <x:c r="K712" s="137" t="n">
        <x:v>8.8</x:v>
      </x:c>
      <x:c r="L712" s="136" t="n">
        <x:v>22</x:v>
      </x:c>
      <x:c r="M712" s="137" t="n">
        <x:v>952.32</x:v>
      </x:c>
      <x:c r="N712" s="137" t="n">
        <x:v>951.12</x:v>
      </x:c>
      <x:c r="O712" s="137" t="n">
        <x:v>1008</x:v>
      </x:c>
      <x:c r="P712" s="137" t="n">
        <x:v>58</x:v>
      </x:c>
      <x:c r="Q712" s="137" t="n">
        <x:v>59</x:v>
      </x:c>
      <x:c r="R712" s="137" t="n">
        <x:v>72</x:v>
      </x:c>
      <x:c r="S712" s="137" t="n">
        <x:v>64</x:v>
      </x:c>
      <x:c r="T712" s="136" t="n">
        <x:v>2</x:v>
      </x:c>
      <x:c r="U712" s="136" t="n">
        <x:v>2</x:v>
      </x:c>
      <x:c r="V712" s="137"/>
      <x:c r="W712" s="137" t="n">
        <x:f>IF(COUNT(P712:S712)&gt;=3,AVERAGE(P712:S712),"")</x:f>
        <x:v>63.25</x:v>
      </x:c>
      <x:c r="X712" s="137" t="n">
        <x:f>IF(V712&lt;&gt;"",V712,W712)</x:f>
        <x:v>63.25</x:v>
      </x:c>
      <x:c r="Y712" s="111" t="str">
        <x:v>파생: 공식 과목별 70% 백분위 평균</x:v>
      </x:c>
      <x:c r="Z712" s="137" t="n">
        <x:f>'추천_테스트'!$B$8</x:f>
        <x:v>80</x:v>
      </x:c>
      <x:c r="AA712" s="137" t="n">
        <x:f>IF(X712="","",Z712-X712)</x:f>
        <x:v>16.75</x:v>
      </x:c>
      <x:c r="AB712" s="111" t="str">
        <x:f>IF(X712="","",IF(AA712&gt;='추천_테스트'!$B$10,"안정",IF(AA712&gt;='추천_테스트'!$B$11,"적정",IF(AA712&gt;='추천_테스트'!$B$12,"소신","상향"))))</x:f>
        <x:v>안정</x:v>
      </x:c>
      <x:c r="AC712" s="137" t="n">
        <x:v>10</x:v>
      </x:c>
      <x:c r="AD712" s="137" t="n">
        <x:v>90</x:v>
      </x:c>
      <x:c r="AE712" s="137" t="n">
        <x:v>0</x:v>
      </x:c>
      <x:c r="AF712" s="113" t="str">
        <x:v>v5 지방 사립대 확장: 공식 2025학년도 정시 과목별 70% 백분위를 원형 보존</x:v>
      </x:c>
      <x:c r="AG712" s="113" t="str">
        <x:v>https://www.adiga.kr/ucp/uvt/uni/univDetailSelection.do?menuId=PCUVTINF2000&amp;searchSyr=2026&amp;unvCd=0000142</x:v>
      </x:c>
    </x:row>
    <x:row r="713" ht="18" customHeight="1">
      <x:c r="A713" s="111" t="n">
        <x:v>2025</x:v>
      </x:c>
      <x:c r="B713" s="111" t="str">
        <x:v>충청남도</x:v>
      </x:c>
      <x:c r="C713" s="111" t="str">
        <x:v>사립</x:v>
      </x:c>
      <x:c r="D713" s="111" t="str">
        <x:v>순천향대학교</x:v>
      </x:c>
      <x:c r="E713" s="111" t="str">
        <x:v>가</x:v>
      </x:c>
      <x:c r="F713" s="111" t="str">
        <x:v>수능(일반학생전형)</x:v>
      </x:c>
      <x:c r="G713" s="111" t="str">
        <x:v>환경보건학과</x:v>
      </x:c>
      <x:c r="H713" s="136" t="n">
        <x:v>11</x:v>
      </x:c>
      <x:c r="I713" s="136" t="n">
        <x:v>2</x:v>
      </x:c>
      <x:c r="J713" s="136" t="n">
        <x:v>13</x:v>
      </x:c>
      <x:c r="K713" s="137" t="n">
        <x:v>7.69</x:v>
      </x:c>
      <x:c r="L713" s="136" t="n">
        <x:v>26</x:v>
      </x:c>
      <x:c r="M713" s="137" t="n">
        <x:v>950.4</x:v>
      </x:c>
      <x:c r="N713" s="137" t="n">
        <x:v>950</x:v>
      </x:c>
      <x:c r="O713" s="137" t="n">
        <x:v>1008</x:v>
      </x:c>
      <x:c r="P713" s="137" t="n">
        <x:v>70</x:v>
      </x:c>
      <x:c r="Q713" s="137" t="n">
        <x:v>59</x:v>
      </x:c>
      <x:c r="R713" s="137" t="n">
        <x:v>56</x:v>
      </x:c>
      <x:c r="S713" s="137" t="n">
        <x:v>59</x:v>
      </x:c>
      <x:c r="T713" s="136" t="n">
        <x:v>3</x:v>
      </x:c>
      <x:c r="U713" s="136" t="n">
        <x:v>1</x:v>
      </x:c>
      <x:c r="V713" s="137"/>
      <x:c r="W713" s="137" t="n">
        <x:f>IF(COUNT(P713:S713)&gt;=3,AVERAGE(P713:S713),"")</x:f>
        <x:v>61</x:v>
      </x:c>
      <x:c r="X713" s="137" t="n">
        <x:f>IF(V713&lt;&gt;"",V713,W713)</x:f>
        <x:v>61</x:v>
      </x:c>
      <x:c r="Y713" s="111" t="str">
        <x:v>파생: 공식 과목별 70% 백분위 평균</x:v>
      </x:c>
      <x:c r="Z713" s="137" t="n">
        <x:f>'추천_테스트'!$B$8</x:f>
        <x:v>80</x:v>
      </x:c>
      <x:c r="AA713" s="137" t="n">
        <x:f>IF(X713="","",Z713-X713)</x:f>
        <x:v>19</x:v>
      </x:c>
      <x:c r="AB713" s="111" t="str">
        <x:f>IF(X713="","",IF(AA713&gt;='추천_테스트'!$B$10,"안정",IF(AA713&gt;='추천_테스트'!$B$11,"적정",IF(AA713&gt;='추천_테스트'!$B$12,"소신","상향"))))</x:f>
        <x:v>안정</x:v>
      </x:c>
      <x:c r="AC713" s="137" t="n">
        <x:v>41.67</x:v>
      </x:c>
      <x:c r="AD713" s="137" t="n">
        <x:v>58.33</x:v>
      </x:c>
      <x:c r="AE713" s="137" t="n">
        <x:v>0</x:v>
      </x:c>
      <x:c r="AF713" s="113" t="str">
        <x:v>v5 지방 사립대 확장: 공식 2025학년도 정시 과목별 70% 백분위를 원형 보존</x:v>
      </x:c>
      <x:c r="AG713" s="113" t="str">
        <x:v>https://www.adiga.kr/ucp/uvt/uni/univDetailSelection.do?menuId=PCUVTINF2000&amp;searchSyr=2026&amp;unvCd=0000142</x:v>
      </x:c>
    </x:row>
    <x:row r="714" ht="18" customHeight="1">
      <x:c r="A714" s="111" t="n">
        <x:v>2025</x:v>
      </x:c>
      <x:c r="B714" s="111" t="str">
        <x:v>충청남도</x:v>
      </x:c>
      <x:c r="C714" s="111" t="str">
        <x:v>사립</x:v>
      </x:c>
      <x:c r="D714" s="111" t="str">
        <x:v>순천향대학교</x:v>
      </x:c>
      <x:c r="E714" s="111" t="str">
        <x:v>가</x:v>
      </x:c>
      <x:c r="F714" s="111" t="str">
        <x:v>수능(일반학생전형)</x:v>
      </x:c>
      <x:c r="G714" s="111" t="str">
        <x:v>경영학과</x:v>
      </x:c>
      <x:c r="H714" s="136" t="n">
        <x:v>10</x:v>
      </x:c>
      <x:c r="I714" s="136" t="n">
        <x:v>2</x:v>
      </x:c>
      <x:c r="J714" s="136" t="n">
        <x:v>12</x:v>
      </x:c>
      <x:c r="K714" s="137" t="n">
        <x:v>8.08</x:v>
      </x:c>
      <x:c r="L714" s="136" t="n">
        <x:v>13</x:v>
      </x:c>
      <x:c r="M714" s="137" t="n">
        <x:v>958.8</x:v>
      </x:c>
      <x:c r="N714" s="137" t="n">
        <x:v>957.2</x:v>
      </x:c>
      <x:c r="O714" s="137" t="n">
        <x:v>1000</x:v>
      </x:c>
      <x:c r="P714" s="137" t="n">
        <x:v>77</x:v>
      </x:c>
      <x:c r="Q714" s="137" t="n">
        <x:v>48</x:v>
      </x:c>
      <x:c r="R714" s="137" t="n">
        <x:v>77</x:v>
      </x:c>
      <x:c r="S714" s="137" t="n">
        <x:v>55</x:v>
      </x:c>
      <x:c r="T714" s="136" t="n">
        <x:v>2</x:v>
      </x:c>
      <x:c r="U714" s="136" t="n">
        <x:v>6</x:v>
      </x:c>
      <x:c r="V714" s="137"/>
      <x:c r="W714" s="137" t="n">
        <x:f>IF(COUNT(P714:S714)&gt;=3,AVERAGE(P714:S714),"")</x:f>
        <x:v>64.25</x:v>
      </x:c>
      <x:c r="X714" s="137" t="n">
        <x:f>IF(V714&lt;&gt;"",V714,W714)</x:f>
        <x:v>64.25</x:v>
      </x:c>
      <x:c r="Y714" s="111" t="str">
        <x:v>파생: 공식 과목별 70% 백분위 평균</x:v>
      </x:c>
      <x:c r="Z714" s="137" t="n">
        <x:f>'추천_테스트'!$B$8</x:f>
        <x:v>80</x:v>
      </x:c>
      <x:c r="AA714" s="137" t="n">
        <x:f>IF(X714="","",Z714-X714)</x:f>
        <x:v>15.75</x:v>
      </x:c>
      <x:c r="AB714" s="111" t="str">
        <x:f>IF(X714="","",IF(AA714&gt;='추천_테스트'!$B$10,"안정",IF(AA714&gt;='추천_테스트'!$B$11,"적정",IF(AA714&gt;='추천_테스트'!$B$12,"소신","상향"))))</x:f>
        <x:v>안정</x:v>
      </x:c>
      <x:c r="AC714" s="137" t="n">
        <x:v>91.67</x:v>
      </x:c>
      <x:c r="AD714" s="137" t="n">
        <x:v>8.33</x:v>
      </x:c>
      <x:c r="AE714" s="137" t="n">
        <x:v>0</x:v>
      </x:c>
      <x:c r="AF714" s="113" t="str">
        <x:v>v5 지방 사립대 확장: 공식 2025학년도 정시 과목별 70% 백분위를 원형 보존</x:v>
      </x:c>
      <x:c r="AG714" s="113" t="str">
        <x:v>https://www.adiga.kr/ucp/uvt/uni/univDetailSelection.do?menuId=PCUVTINF2000&amp;searchSyr=2026&amp;unvCd=0000142</x:v>
      </x:c>
    </x:row>
    <x:row r="715" ht="18" customHeight="1">
      <x:c r="A715" s="111" t="n">
        <x:v>2025</x:v>
      </x:c>
      <x:c r="B715" s="111" t="str">
        <x:v>충청남도</x:v>
      </x:c>
      <x:c r="C715" s="111" t="str">
        <x:v>사립</x:v>
      </x:c>
      <x:c r="D715" s="111" t="str">
        <x:v>순천향대학교</x:v>
      </x:c>
      <x:c r="E715" s="111" t="str">
        <x:v>가</x:v>
      </x:c>
      <x:c r="F715" s="111" t="str">
        <x:v>수능(일반학생전형)</x:v>
      </x:c>
      <x:c r="G715" s="111" t="str">
        <x:v>경제금융학과</x:v>
      </x:c>
      <x:c r="H715" s="136" t="n">
        <x:v>11</x:v>
      </x:c>
      <x:c r="I715" s="136" t="n">
        <x:v>1</x:v>
      </x:c>
      <x:c r="J715" s="136" t="n">
        <x:v>12</x:v>
      </x:c>
      <x:c r="K715" s="137" t="n">
        <x:v>8.5</x:v>
      </x:c>
      <x:c r="L715" s="136" t="n">
        <x:v>21</x:v>
      </x:c>
      <x:c r="M715" s="137" t="n">
        <x:v>954.4</x:v>
      </x:c>
      <x:c r="N715" s="137" t="n">
        <x:v>953.2</x:v>
      </x:c>
      <x:c r="O715" s="137" t="n">
        <x:v>1000</x:v>
      </x:c>
      <x:c r="P715" s="137" t="n">
        <x:v>77</x:v>
      </x:c>
      <x:c r="Q715" s="137" t="n">
        <x:v>48</x:v>
      </x:c>
      <x:c r="R715" s="137" t="n">
        <x:v>28</x:v>
      </x:c>
      <x:c r="S715" s="137" t="n">
        <x:v>55</x:v>
      </x:c>
      <x:c r="T715" s="136" t="n">
        <x:v>3</x:v>
      </x:c>
      <x:c r="U715" s="136" t="n">
        <x:v>4</x:v>
      </x:c>
      <x:c r="V715" s="137"/>
      <x:c r="W715" s="137" t="n">
        <x:f>IF(COUNT(P715:S715)&gt;=3,AVERAGE(P715:S715),"")</x:f>
        <x:v>52</x:v>
      </x:c>
      <x:c r="X715" s="137" t="n">
        <x:f>IF(V715&lt;&gt;"",V715,W715)</x:f>
        <x:v>52</x:v>
      </x:c>
      <x:c r="Y715" s="111" t="str">
        <x:v>파생: 공식 과목별 70% 백분위 평균</x:v>
      </x:c>
      <x:c r="Z715" s="137" t="n">
        <x:f>'추천_테스트'!$B$8</x:f>
        <x:v>80</x:v>
      </x:c>
      <x:c r="AA715" s="137" t="n">
        <x:f>IF(X715="","",Z715-X715)</x:f>
        <x:v>28</x:v>
      </x:c>
      <x:c r="AB715" s="111" t="str">
        <x:f>IF(X715="","",IF(AA715&gt;='추천_테스트'!$B$10,"안정",IF(AA715&gt;='추천_테스트'!$B$11,"적정",IF(AA715&gt;='추천_테스트'!$B$12,"소신","상향"))))</x:f>
        <x:v>안정</x:v>
      </x:c>
      <x:c r="AC715" s="137" t="n">
        <x:v>83.33</x:v>
      </x:c>
      <x:c r="AD715" s="137" t="n">
        <x:v>16.67</x:v>
      </x:c>
      <x:c r="AE715" s="137" t="n">
        <x:v>0</x:v>
      </x:c>
      <x:c r="AF715" s="113" t="str">
        <x:v>v5 지방 사립대 확장: 공식 2025학년도 정시 과목별 70% 백분위를 원형 보존</x:v>
      </x:c>
      <x:c r="AG715" s="113" t="str">
        <x:v>https://www.adiga.kr/ucp/uvt/uni/univDetailSelection.do?menuId=PCUVTINF2000&amp;searchSyr=2026&amp;unvCd=0000142</x:v>
      </x:c>
    </x:row>
    <x:row r="716" ht="18" customHeight="1">
      <x:c r="A716" s="111" t="n">
        <x:v>2025</x:v>
      </x:c>
      <x:c r="B716" s="111" t="str">
        <x:v>충청남도</x:v>
      </x:c>
      <x:c r="C716" s="111" t="str">
        <x:v>사립</x:v>
      </x:c>
      <x:c r="D716" s="111" t="str">
        <x:v>순천향대학교</x:v>
      </x:c>
      <x:c r="E716" s="111" t="str">
        <x:v>가</x:v>
      </x:c>
      <x:c r="F716" s="111" t="str">
        <x:v>수능(일반학생전형)</x:v>
      </x:c>
      <x:c r="G716" s="111" t="str">
        <x:v>글로벌문화산업학과</x:v>
      </x:c>
      <x:c r="H716" s="136" t="n">
        <x:v>7</x:v>
      </x:c>
      <x:c r="I716" s="136" t="n">
        <x:v>0</x:v>
      </x:c>
      <x:c r="J716" s="136" t="n">
        <x:v>7</x:v>
      </x:c>
      <x:c r="K716" s="137" t="n">
        <x:v>9.29</x:v>
      </x:c>
      <x:c r="L716" s="136" t="n">
        <x:v>6</x:v>
      </x:c>
      <x:c r="M716" s="137" t="n">
        <x:v>952.8</x:v>
      </x:c>
      <x:c r="N716" s="137" t="n">
        <x:v>952.4</x:v>
      </x:c>
      <x:c r="O716" s="137" t="n">
        <x:v>1000</x:v>
      </x:c>
      <x:c r="P716" s="137" t="n">
        <x:v>74</x:v>
      </x:c>
      <x:c r="Q716" s="137" t="n">
        <x:v>41</x:v>
      </x:c>
      <x:c r="R716" s="137" t="n">
        <x:v>72</x:v>
      </x:c>
      <x:c r="S716" s="137" t="n">
        <x:v>59</x:v>
      </x:c>
      <x:c r="T716" s="136" t="n">
        <x:v>3</x:v>
      </x:c>
      <x:c r="U716" s="136" t="n">
        <x:v>5</x:v>
      </x:c>
      <x:c r="V716" s="137"/>
      <x:c r="W716" s="137" t="n">
        <x:f>IF(COUNT(P716:S716)&gt;=3,AVERAGE(P716:S716),"")</x:f>
        <x:v>61.5</x:v>
      </x:c>
      <x:c r="X716" s="137" t="n">
        <x:f>IF(V716&lt;&gt;"",V716,W716)</x:f>
        <x:v>61.5</x:v>
      </x:c>
      <x:c r="Y716" s="111" t="str">
        <x:v>파생: 공식 과목별 70% 백분위 평균</x:v>
      </x:c>
      <x:c r="Z716" s="137" t="n">
        <x:f>'추천_테스트'!$B$8</x:f>
        <x:v>80</x:v>
      </x:c>
      <x:c r="AA716" s="137" t="n">
        <x:f>IF(X716="","",Z716-X716)</x:f>
        <x:v>18.5</x:v>
      </x:c>
      <x:c r="AB716" s="111" t="str">
        <x:f>IF(X716="","",IF(AA716&gt;='추천_테스트'!$B$10,"안정",IF(AA716&gt;='추천_테스트'!$B$11,"적정",IF(AA716&gt;='추천_테스트'!$B$12,"소신","상향"))))</x:f>
        <x:v>안정</x:v>
      </x:c>
      <x:c r="AC716" s="137" t="n">
        <x:v>100</x:v>
      </x:c>
      <x:c r="AD716" s="137" t="n">
        <x:v>0</x:v>
      </x:c>
      <x:c r="AE716" s="137" t="n">
        <x:v>0</x:v>
      </x:c>
      <x:c r="AF716" s="113" t="str">
        <x:v>v5 지방 사립대 확장: 공식 2025학년도 정시 과목별 70% 백분위를 원형 보존</x:v>
      </x:c>
      <x:c r="AG716" s="113" t="str">
        <x:v>https://www.adiga.kr/ucp/uvt/uni/univDetailSelection.do?menuId=PCUVTINF2000&amp;searchSyr=2026&amp;unvCd=0000142</x:v>
      </x:c>
    </x:row>
    <x:row r="717" ht="18" customHeight="1">
      <x:c r="A717" s="111" t="n">
        <x:v>2025</x:v>
      </x:c>
      <x:c r="B717" s="111" t="str">
        <x:v>충청남도</x:v>
      </x:c>
      <x:c r="C717" s="111" t="str">
        <x:v>사립</x:v>
      </x:c>
      <x:c r="D717" s="111" t="str">
        <x:v>순천향대학교</x:v>
      </x:c>
      <x:c r="E717" s="111" t="str">
        <x:v>가</x:v>
      </x:c>
      <x:c r="F717" s="111" t="str">
        <x:v>수능(일반학생전형)</x:v>
      </x:c>
      <x:c r="G717" s="111" t="str">
        <x:v>정보통신공학과</x:v>
      </x:c>
      <x:c r="H717" s="136" t="n">
        <x:v>11</x:v>
      </x:c>
      <x:c r="I717" s="136" t="n">
        <x:v>2</x:v>
      </x:c>
      <x:c r="J717" s="136" t="n">
        <x:v>13</x:v>
      </x:c>
      <x:c r="K717" s="137" t="n">
        <x:v>5.77</x:v>
      </x:c>
      <x:c r="L717" s="136" t="n">
        <x:v>17</x:v>
      </x:c>
      <x:c r="M717" s="137" t="n">
        <x:v>955.04</x:v>
      </x:c>
      <x:c r="N717" s="137" t="n">
        <x:v>953.92</x:v>
      </x:c>
      <x:c r="O717" s="137" t="n">
        <x:v>1008</x:v>
      </x:c>
      <x:c r="P717" s="137" t="n">
        <x:v>47</x:v>
      </x:c>
      <x:c r="Q717" s="137" t="n">
        <x:v>74</x:v>
      </x:c>
      <x:c r="R717" s="137" t="n">
        <x:v>68</x:v>
      </x:c>
      <x:c r="S717" s="137" t="n">
        <x:v>35</x:v>
      </x:c>
      <x:c r="T717" s="136" t="n">
        <x:v>3</x:v>
      </x:c>
      <x:c r="U717" s="136" t="n">
        <x:v>1</x:v>
      </x:c>
      <x:c r="V717" s="137"/>
      <x:c r="W717" s="137" t="n">
        <x:f>IF(COUNT(P717:S717)&gt;=3,AVERAGE(P717:S717),"")</x:f>
        <x:v>56</x:v>
      </x:c>
      <x:c r="X717" s="137" t="n">
        <x:f>IF(V717&lt;&gt;"",V717,W717)</x:f>
        <x:v>56</x:v>
      </x:c>
      <x:c r="Y717" s="111" t="str">
        <x:v>파생: 공식 과목별 70% 백분위 평균</x:v>
      </x:c>
      <x:c r="Z717" s="137" t="n">
        <x:f>'추천_테스트'!$B$8</x:f>
        <x:v>80</x:v>
      </x:c>
      <x:c r="AA717" s="137" t="n">
        <x:f>IF(X717="","",Z717-X717)</x:f>
        <x:v>24</x:v>
      </x:c>
      <x:c r="AB717" s="111" t="str">
        <x:f>IF(X717="","",IF(AA717&gt;='추천_테스트'!$B$10,"안정",IF(AA717&gt;='추천_테스트'!$B$11,"적정",IF(AA717&gt;='추천_테스트'!$B$12,"소신","상향"))))</x:f>
        <x:v>안정</x:v>
      </x:c>
      <x:c r="AC717" s="137" t="n">
        <x:v>8.33</x:v>
      </x:c>
      <x:c r="AD717" s="137" t="n">
        <x:v>91.67</x:v>
      </x:c>
      <x:c r="AE717" s="137" t="n">
        <x:v>0</x:v>
      </x:c>
      <x:c r="AF717" s="113" t="str">
        <x:v>v5 지방 사립대 확장: 공식 2025학년도 정시 과목별 70% 백분위를 원형 보존</x:v>
      </x:c>
      <x:c r="AG717" s="113" t="str">
        <x:v>https://www.adiga.kr/ucp/uvt/uni/univDetailSelection.do?menuId=PCUVTINF2000&amp;searchSyr=2026&amp;unvCd=0000142</x:v>
      </x:c>
    </x:row>
    <x:row r="718" ht="18" customHeight="1">
      <x:c r="A718" s="111" t="n">
        <x:v>2025</x:v>
      </x:c>
      <x:c r="B718" s="111" t="str">
        <x:v>충청남도</x:v>
      </x:c>
      <x:c r="C718" s="111" t="str">
        <x:v>사립</x:v>
      </x:c>
      <x:c r="D718" s="111" t="str">
        <x:v>순천향대학교</x:v>
      </x:c>
      <x:c r="E718" s="111" t="str">
        <x:v>가</x:v>
      </x:c>
      <x:c r="F718" s="111" t="str">
        <x:v>수능(일반학생전형)</x:v>
      </x:c>
      <x:c r="G718" s="111" t="str">
        <x:v>전자공학과</x:v>
      </x:c>
      <x:c r="H718" s="136" t="n">
        <x:v>12</x:v>
      </x:c>
      <x:c r="I718" s="136" t="n">
        <x:v>1</x:v>
      </x:c>
      <x:c r="J718" s="136" t="n">
        <x:v>13</x:v>
      </x:c>
      <x:c r="K718" s="137" t="n">
        <x:v>5.46</x:v>
      </x:c>
      <x:c r="L718" s="136" t="n">
        <x:v>23</x:v>
      </x:c>
      <x:c r="M718" s="137" t="n">
        <x:v>957.2</x:v>
      </x:c>
      <x:c r="N718" s="137" t="n">
        <x:v>956.24</x:v>
      </x:c>
      <x:c r="O718" s="137" t="n">
        <x:v>1008</x:v>
      </x:c>
      <x:c r="P718" s="137" t="n">
        <x:v>46</x:v>
      </x:c>
      <x:c r="Q718" s="137" t="n">
        <x:v>68</x:v>
      </x:c>
      <x:c r="R718" s="137" t="n">
        <x:v>50</x:v>
      </x:c>
      <x:c r="S718" s="137" t="n">
        <x:v>71</x:v>
      </x:c>
      <x:c r="T718" s="136" t="n">
        <x:v>3</x:v>
      </x:c>
      <x:c r="U718" s="136" t="n">
        <x:v>4</x:v>
      </x:c>
      <x:c r="V718" s="137"/>
      <x:c r="W718" s="137" t="n">
        <x:f>IF(COUNT(P718:S718)&gt;=3,AVERAGE(P718:S718),"")</x:f>
        <x:v>58.75</x:v>
      </x:c>
      <x:c r="X718" s="137" t="n">
        <x:f>IF(V718&lt;&gt;"",V718,W718)</x:f>
        <x:v>58.75</x:v>
      </x:c>
      <x:c r="Y718" s="111" t="str">
        <x:v>파생: 공식 과목별 70% 백분위 평균</x:v>
      </x:c>
      <x:c r="Z718" s="137" t="n">
        <x:f>'추천_테스트'!$B$8</x:f>
        <x:v>80</x:v>
      </x:c>
      <x:c r="AA718" s="137" t="n">
        <x:f>IF(X718="","",Z718-X718)</x:f>
        <x:v>21.25</x:v>
      </x:c>
      <x:c r="AB718" s="111" t="str">
        <x:f>IF(X718="","",IF(AA718&gt;='추천_테스트'!$B$10,"안정",IF(AA718&gt;='추천_테스트'!$B$11,"적정",IF(AA718&gt;='추천_테스트'!$B$12,"소신","상향"))))</x:f>
        <x:v>안정</x:v>
      </x:c>
      <x:c r="AC718" s="137" t="n">
        <x:v>15.38</x:v>
      </x:c>
      <x:c r="AD718" s="137" t="n">
        <x:v>84.62</x:v>
      </x:c>
      <x:c r="AE718" s="137" t="n">
        <x:v>0</x:v>
      </x:c>
      <x:c r="AF718" s="113" t="str">
        <x:v>v5 지방 사립대 확장: 공식 2025학년도 정시 과목별 70% 백분위를 원형 보존</x:v>
      </x:c>
      <x:c r="AG718" s="113" t="str">
        <x:v>https://www.adiga.kr/ucp/uvt/uni/univDetailSelection.do?menuId=PCUVTINF2000&amp;searchSyr=2026&amp;unvCd=0000142</x:v>
      </x:c>
    </x:row>
    <x:row r="719" ht="18" customHeight="1">
      <x:c r="A719" s="111" t="n">
        <x:v>2025</x:v>
      </x:c>
      <x:c r="B719" s="111" t="str">
        <x:v>충청남도</x:v>
      </x:c>
      <x:c r="C719" s="111" t="str">
        <x:v>사립</x:v>
      </x:c>
      <x:c r="D719" s="111" t="str">
        <x:v>순천향대학교</x:v>
      </x:c>
      <x:c r="E719" s="111" t="str">
        <x:v>가</x:v>
      </x:c>
      <x:c r="F719" s="111" t="str">
        <x:v>수능(일반학생전형)</x:v>
      </x:c>
      <x:c r="G719" s="111" t="str">
        <x:v>미디어커뮤니케이션학과</x:v>
      </x:c>
      <x:c r="H719" s="136" t="n">
        <x:v>12</x:v>
      </x:c>
      <x:c r="I719" s="136" t="n">
        <x:v>1</x:v>
      </x:c>
      <x:c r="J719" s="136" t="n">
        <x:v>13</x:v>
      </x:c>
      <x:c r="K719" s="137" t="n">
        <x:v>6.46</x:v>
      </x:c>
      <x:c r="L719" s="136" t="n">
        <x:v>13</x:v>
      </x:c>
      <x:c r="M719" s="137" t="n">
        <x:v>958</x:v>
      </x:c>
      <x:c r="N719" s="137" t="n">
        <x:v>956.8</x:v>
      </x:c>
      <x:c r="O719" s="137" t="n">
        <x:v>1000</x:v>
      </x:c>
      <x:c r="P719" s="137" t="n">
        <x:v>60</x:v>
      </x:c>
      <x:c r="Q719" s="137" t="n">
        <x:v>47</x:v>
      </x:c>
      <x:c r="R719" s="137" t="n">
        <x:v>66</x:v>
      </x:c>
      <x:c r="S719" s="137" t="n">
        <x:v>64</x:v>
      </x:c>
      <x:c r="T719" s="136" t="n">
        <x:v>1</x:v>
      </x:c>
      <x:c r="U719" s="136" t="n">
        <x:v>2</x:v>
      </x:c>
      <x:c r="V719" s="137"/>
      <x:c r="W719" s="137" t="n">
        <x:f>IF(COUNT(P719:S719)&gt;=3,AVERAGE(P719:S719),"")</x:f>
        <x:v>59.25</x:v>
      </x:c>
      <x:c r="X719" s="137" t="n">
        <x:f>IF(V719&lt;&gt;"",V719,W719)</x:f>
        <x:v>59.25</x:v>
      </x:c>
      <x:c r="Y719" s="111" t="str">
        <x:v>파생: 공식 과목별 70% 백분위 평균</x:v>
      </x:c>
      <x:c r="Z719" s="137" t="n">
        <x:f>'추천_테스트'!$B$8</x:f>
        <x:v>80</x:v>
      </x:c>
      <x:c r="AA719" s="137" t="n">
        <x:f>IF(X719="","",Z719-X719)</x:f>
        <x:v>20.75</x:v>
      </x:c>
      <x:c r="AB719" s="111" t="str">
        <x:f>IF(X719="","",IF(AA719&gt;='추천_테스트'!$B$10,"안정",IF(AA719&gt;='추천_테스트'!$B$11,"적정",IF(AA719&gt;='추천_테스트'!$B$12,"소신","상향"))))</x:f>
        <x:v>안정</x:v>
      </x:c>
      <x:c r="AC719" s="137" t="n">
        <x:v>84.62</x:v>
      </x:c>
      <x:c r="AD719" s="137" t="n">
        <x:v>15.38</x:v>
      </x:c>
      <x:c r="AE719" s="137" t="n">
        <x:v>0</x:v>
      </x:c>
      <x:c r="AF719" s="113" t="str">
        <x:v>v5 지방 사립대 확장: 공식 2025학년도 정시 과목별 70% 백분위를 원형 보존</x:v>
      </x:c>
      <x:c r="AG719" s="113" t="str">
        <x:v>https://www.adiga.kr/ucp/uvt/uni/univDetailSelection.do?menuId=PCUVTINF2000&amp;searchSyr=2026&amp;unvCd=0000142</x:v>
      </x:c>
    </x:row>
    <x:row r="720" ht="18" customHeight="1">
      <x:c r="A720" s="111" t="n">
        <x:v>2025</x:v>
      </x:c>
      <x:c r="B720" s="111" t="str">
        <x:v>충청남도</x:v>
      </x:c>
      <x:c r="C720" s="111" t="str">
        <x:v>사립</x:v>
      </x:c>
      <x:c r="D720" s="111" t="str">
        <x:v>순천향대학교</x:v>
      </x:c>
      <x:c r="E720" s="111" t="str">
        <x:v>가</x:v>
      </x:c>
      <x:c r="F720" s="111" t="str">
        <x:v>수능(일반학생전형)</x:v>
      </x:c>
      <x:c r="G720" s="111" t="str">
        <x:v>스마트자동차학과</x:v>
      </x:c>
      <x:c r="H720" s="136" t="n">
        <x:v>12</x:v>
      </x:c>
      <x:c r="I720" s="136" t="n">
        <x:v>2</x:v>
      </x:c>
      <x:c r="J720" s="136" t="n">
        <x:v>14</x:v>
      </x:c>
      <x:c r="K720" s="137" t="n">
        <x:v>4.5</x:v>
      </x:c>
      <x:c r="L720" s="136" t="n">
        <x:v>25</x:v>
      </x:c>
      <x:c r="M720" s="137" t="n">
        <x:v>950.16</x:v>
      </x:c>
      <x:c r="N720" s="137" t="n">
        <x:v>943.28</x:v>
      </x:c>
      <x:c r="O720" s="137" t="n">
        <x:v>1008</x:v>
      </x:c>
      <x:c r="P720" s="137" t="n">
        <x:v>39</x:v>
      </x:c>
      <x:c r="Q720" s="137" t="n">
        <x:v>76</x:v>
      </x:c>
      <x:c r="R720" s="137" t="n">
        <x:v>38</x:v>
      </x:c>
      <x:c r="S720" s="137" t="n">
        <x:v>31</x:v>
      </x:c>
      <x:c r="T720" s="136" t="n">
        <x:v>4</x:v>
      </x:c>
      <x:c r="U720" s="136" t="n">
        <x:v>1</x:v>
      </x:c>
      <x:c r="V720" s="137"/>
      <x:c r="W720" s="137" t="n">
        <x:f>IF(COUNT(P720:S720)&gt;=3,AVERAGE(P720:S720),"")</x:f>
        <x:v>46</x:v>
      </x:c>
      <x:c r="X720" s="137" t="n">
        <x:f>IF(V720&lt;&gt;"",V720,W720)</x:f>
        <x:v>46</x:v>
      </x:c>
      <x:c r="Y720" s="111" t="str">
        <x:v>파생: 공식 과목별 70% 백분위 평균</x:v>
      </x:c>
      <x:c r="Z720" s="137" t="n">
        <x:f>'추천_테스트'!$B$8</x:f>
        <x:v>80</x:v>
      </x:c>
      <x:c r="AA720" s="137" t="n">
        <x:f>IF(X720="","",Z720-X720)</x:f>
        <x:v>34</x:v>
      </x:c>
      <x:c r="AB720" s="111" t="str">
        <x:f>IF(X720="","",IF(AA720&gt;='추천_테스트'!$B$10,"안정",IF(AA720&gt;='추천_테스트'!$B$11,"적정",IF(AA720&gt;='추천_테스트'!$B$12,"소신","상향"))))</x:f>
        <x:v>안정</x:v>
      </x:c>
      <x:c r="AC720" s="137" t="n">
        <x:v>7.69</x:v>
      </x:c>
      <x:c r="AD720" s="137" t="n">
        <x:v>92.31</x:v>
      </x:c>
      <x:c r="AE720" s="137" t="n">
        <x:v>0</x:v>
      </x:c>
      <x:c r="AF720" s="113" t="str">
        <x:v>v5 지방 사립대 확장: 공식 2025학년도 정시 과목별 70% 백분위를 원형 보존</x:v>
      </x:c>
      <x:c r="AG720" s="113" t="str">
        <x:v>https://www.adiga.kr/ucp/uvt/uni/univDetailSelection.do?menuId=PCUVTINF2000&amp;searchSyr=2026&amp;unvCd=0000142</x:v>
      </x:c>
    </x:row>
    <x:row r="721" ht="18" customHeight="1">
      <x:c r="A721" s="111" t="n">
        <x:v>2025</x:v>
      </x:c>
      <x:c r="B721" s="111" t="str">
        <x:v>충청남도</x:v>
      </x:c>
      <x:c r="C721" s="111" t="str">
        <x:v>사립</x:v>
      </x:c>
      <x:c r="D721" s="111" t="str">
        <x:v>순천향대학교</x:v>
      </x:c>
      <x:c r="E721" s="111" t="str">
        <x:v>나</x:v>
      </x:c>
      <x:c r="F721" s="111" t="str">
        <x:v>수능(일반학생전형)</x:v>
      </x:c>
      <x:c r="G721" s="111" t="str">
        <x:v>생명과학과</x:v>
      </x:c>
      <x:c r="H721" s="136" t="n">
        <x:v>11</x:v>
      </x:c>
      <x:c r="I721" s="136" t="n">
        <x:v>3</x:v>
      </x:c>
      <x:c r="J721" s="136" t="n">
        <x:v>14</x:v>
      </x:c>
      <x:c r="K721" s="137" t="n">
        <x:v>4</x:v>
      </x:c>
      <x:c r="L721" s="136" t="n">
        <x:v>18</x:v>
      </x:c>
      <x:c r="M721" s="137" t="n">
        <x:v>953.92</x:v>
      </x:c>
      <x:c r="N721" s="137" t="n">
        <x:v>953.2</x:v>
      </x:c>
      <x:c r="O721" s="137" t="n">
        <x:v>1008</x:v>
      </x:c>
      <x:c r="P721" s="137" t="n">
        <x:v>72</x:v>
      </x:c>
      <x:c r="Q721" s="137" t="n">
        <x:v>59</x:v>
      </x:c>
      <x:c r="R721" s="137" t="n">
        <x:v>28</x:v>
      </x:c>
      <x:c r="S721" s="137" t="n">
        <x:v>54</x:v>
      </x:c>
      <x:c r="T721" s="136" t="n">
        <x:v>3</x:v>
      </x:c>
      <x:c r="U721" s="136" t="n">
        <x:v>1</x:v>
      </x:c>
      <x:c r="V721" s="137"/>
      <x:c r="W721" s="137" t="n">
        <x:f>IF(COUNT(P721:S721)&gt;=3,AVERAGE(P721:S721),"")</x:f>
        <x:v>53.25</x:v>
      </x:c>
      <x:c r="X721" s="137" t="n">
        <x:f>IF(V721&lt;&gt;"",V721,W721)</x:f>
        <x:v>53.25</x:v>
      </x:c>
      <x:c r="Y721" s="111" t="str">
        <x:v>파생: 공식 과목별 70% 백분위 평균</x:v>
      </x:c>
      <x:c r="Z721" s="137" t="n">
        <x:f>'추천_테스트'!$B$8</x:f>
        <x:v>80</x:v>
      </x:c>
      <x:c r="AA721" s="137" t="n">
        <x:f>IF(X721="","",Z721-X721)</x:f>
        <x:v>26.75</x:v>
      </x:c>
      <x:c r="AB721" s="111" t="str">
        <x:f>IF(X721="","",IF(AA721&gt;='추천_테스트'!$B$10,"안정",IF(AA721&gt;='추천_테스트'!$B$11,"적정",IF(AA721&gt;='추천_테스트'!$B$12,"소신","상향"))))</x:f>
        <x:v>안정</x:v>
      </x:c>
      <x:c r="AC721" s="137" t="n">
        <x:v>0</x:v>
      </x:c>
      <x:c r="AD721" s="137" t="n">
        <x:v>92.31</x:v>
      </x:c>
      <x:c r="AE721" s="137" t="n">
        <x:v>7.69</x:v>
      </x:c>
      <x:c r="AF721" s="113" t="str">
        <x:v>v5 지방 사립대 확장: 공식 2025학년도 정시 과목별 70% 백분위를 원형 보존</x:v>
      </x:c>
      <x:c r="AG721" s="113" t="str">
        <x:v>https://www.adiga.kr/ucp/uvt/uni/univDetailSelection.do?menuId=PCUVTINF2000&amp;searchSyr=2026&amp;unvCd=0000142</x:v>
      </x:c>
    </x:row>
    <x:row r="722" ht="18" customHeight="1">
      <x:c r="A722" s="111" t="n">
        <x:v>2025</x:v>
      </x:c>
      <x:c r="B722" s="111" t="str">
        <x:v>충청남도</x:v>
      </x:c>
      <x:c r="C722" s="111" t="str">
        <x:v>사립</x:v>
      </x:c>
      <x:c r="D722" s="111" t="str">
        <x:v>순천향대학교</x:v>
      </x:c>
      <x:c r="E722" s="111" t="str">
        <x:v>나</x:v>
      </x:c>
      <x:c r="F722" s="111" t="str">
        <x:v>수능(일반학생전형)</x:v>
      </x:c>
      <x:c r="G722" s="111" t="str">
        <x:v>유아교육과</x:v>
      </x:c>
      <x:c r="H722" s="136" t="n">
        <x:v>7</x:v>
      </x:c>
      <x:c r="I722" s="136" t="n">
        <x:v>0</x:v>
      </x:c>
      <x:c r="J722" s="136" t="n">
        <x:v>7</x:v>
      </x:c>
      <x:c r="K722" s="137" t="n">
        <x:v>7.86</x:v>
      </x:c>
      <x:c r="L722" s="136" t="n">
        <x:v>9</x:v>
      </x:c>
      <x:c r="M722" s="137" t="n">
        <x:v>948</x:v>
      </x:c>
      <x:c r="N722" s="137" t="n">
        <x:v>948</x:v>
      </x:c>
      <x:c r="O722" s="137" t="n">
        <x:v>1000</x:v>
      </x:c>
      <x:c r="P722" s="137" t="n">
        <x:v>52</x:v>
      </x:c>
      <x:c r="Q722" s="137" t="n">
        <x:v>63</x:v>
      </x:c>
      <x:c r="R722" s="137" t="n">
        <x:v>66</x:v>
      </x:c>
      <x:c r="S722" s="137" t="n">
        <x:v>19</x:v>
      </x:c>
      <x:c r="T722" s="136" t="n">
        <x:v>3</x:v>
      </x:c>
      <x:c r="U722" s="136" t="n">
        <x:v>2</x:v>
      </x:c>
      <x:c r="V722" s="137"/>
      <x:c r="W722" s="137" t="n">
        <x:f>IF(COUNT(P722:S722)&gt;=3,AVERAGE(P722:S722),"")</x:f>
        <x:v>50</x:v>
      </x:c>
      <x:c r="X722" s="137" t="n">
        <x:f>IF(V722&lt;&gt;"",V722,W722)</x:f>
        <x:v>50</x:v>
      </x:c>
      <x:c r="Y722" s="111" t="str">
        <x:v>파생: 공식 과목별 70% 백분위 평균</x:v>
      </x:c>
      <x:c r="Z722" s="137" t="n">
        <x:f>'추천_테스트'!$B$8</x:f>
        <x:v>80</x:v>
      </x:c>
      <x:c r="AA722" s="137" t="n">
        <x:f>IF(X722="","",Z722-X722)</x:f>
        <x:v>30</x:v>
      </x:c>
      <x:c r="AB722" s="111" t="str">
        <x:f>IF(X722="","",IF(AA722&gt;='추천_테스트'!$B$10,"안정",IF(AA722&gt;='추천_테스트'!$B$11,"적정",IF(AA722&gt;='추천_테스트'!$B$12,"소신","상향"))))</x:f>
        <x:v>안정</x:v>
      </x:c>
      <x:c r="AC722" s="137" t="n">
        <x:v>85.71</x:v>
      </x:c>
      <x:c r="AD722" s="137" t="n">
        <x:v>14.29</x:v>
      </x:c>
      <x:c r="AE722" s="137" t="n">
        <x:v>0</x:v>
      </x:c>
      <x:c r="AF722" s="113" t="str">
        <x:v>v5 지방 사립대 확장: 공식 2025학년도 정시 과목별 70% 백분위를 원형 보존</x:v>
      </x:c>
      <x:c r="AG722" s="113" t="str">
        <x:v>https://www.adiga.kr/ucp/uvt/uni/univDetailSelection.do?menuId=PCUVTINF2000&amp;searchSyr=2026&amp;unvCd=0000142</x:v>
      </x:c>
    </x:row>
    <x:row r="723" ht="18" customHeight="1">
      <x:c r="A723" s="111" t="n">
        <x:v>2025</x:v>
      </x:c>
      <x:c r="B723" s="111" t="str">
        <x:v>충청남도</x:v>
      </x:c>
      <x:c r="C723" s="111" t="str">
        <x:v>사립</x:v>
      </x:c>
      <x:c r="D723" s="111" t="str">
        <x:v>순천향대학교</x:v>
      </x:c>
      <x:c r="E723" s="111" t="str">
        <x:v>나</x:v>
      </x:c>
      <x:c r="F723" s="111" t="str">
        <x:v>수능(일반학생전형)</x:v>
      </x:c>
      <x:c r="G723" s="111" t="str">
        <x:v>행정학과</x:v>
      </x:c>
      <x:c r="H723" s="136" t="n">
        <x:v>9</x:v>
      </x:c>
      <x:c r="I723" s="136" t="n">
        <x:v>1</x:v>
      </x:c>
      <x:c r="J723" s="136" t="n">
        <x:v>10</x:v>
      </x:c>
      <x:c r="K723" s="137" t="n">
        <x:v>5.1</x:v>
      </x:c>
      <x:c r="L723" s="136" t="n">
        <x:v>9</x:v>
      </x:c>
      <x:c r="M723" s="137" t="n">
        <x:v>954</x:v>
      </x:c>
      <x:c r="N723" s="137" t="n">
        <x:v>951.6</x:v>
      </x:c>
      <x:c r="O723" s="137" t="n">
        <x:v>1000</x:v>
      </x:c>
      <x:c r="P723" s="137" t="n">
        <x:v>70</x:v>
      </x:c>
      <x:c r="Q723" s="137" t="n">
        <x:v>1</x:v>
      </x:c>
      <x:c r="R723" s="137" t="n">
        <x:v>53</x:v>
      </x:c>
      <x:c r="S723" s="137" t="n">
        <x:v>69</x:v>
      </x:c>
      <x:c r="T723" s="136" t="n">
        <x:v>3</x:v>
      </x:c>
      <x:c r="U723" s="136" t="n">
        <x:v>1</x:v>
      </x:c>
      <x:c r="V723" s="137"/>
      <x:c r="W723" s="137" t="n">
        <x:f>IF(COUNT(P723:S723)&gt;=3,AVERAGE(P723:S723),"")</x:f>
        <x:v>48.25</x:v>
      </x:c>
      <x:c r="X723" s="137" t="n">
        <x:f>IF(V723&lt;&gt;"",V723,W723)</x:f>
        <x:v>48.25</x:v>
      </x:c>
      <x:c r="Y723" s="111" t="str">
        <x:v>파생: 공식 과목별 70% 백분위 평균</x:v>
      </x:c>
      <x:c r="Z723" s="137" t="n">
        <x:f>'추천_테스트'!$B$8</x:f>
        <x:v>80</x:v>
      </x:c>
      <x:c r="AA723" s="137" t="n">
        <x:f>IF(X723="","",Z723-X723)</x:f>
        <x:v>31.75</x:v>
      </x:c>
      <x:c r="AB723" s="111" t="str">
        <x:f>IF(X723="","",IF(AA723&gt;='추천_테스트'!$B$10,"안정",IF(AA723&gt;='추천_테스트'!$B$11,"적정",IF(AA723&gt;='추천_테스트'!$B$12,"소신","상향"))))</x:f>
        <x:v>안정</x:v>
      </x:c>
      <x:c r="AC723" s="137" t="n">
        <x:v>88.89</x:v>
      </x:c>
      <x:c r="AD723" s="137" t="n">
        <x:v>11.11</x:v>
      </x:c>
      <x:c r="AE723" s="137" t="n">
        <x:v>0</x:v>
      </x:c>
      <x:c r="AF723" s="113" t="str">
        <x:v>v5 지방 사립대 확장: 공식 2025학년도 정시 과목별 70% 백분위를 원형 보존</x:v>
      </x:c>
      <x:c r="AG723" s="113" t="str">
        <x:v>https://www.adiga.kr/ucp/uvt/uni/univDetailSelection.do?menuId=PCUVTINF2000&amp;searchSyr=2026&amp;unvCd=0000142</x:v>
      </x:c>
    </x:row>
    <x:row r="724" ht="18" customHeight="1">
      <x:c r="A724" s="111" t="n">
        <x:v>2025</x:v>
      </x:c>
      <x:c r="B724" s="111" t="str">
        <x:v>충청남도</x:v>
      </x:c>
      <x:c r="C724" s="111" t="str">
        <x:v>사립</x:v>
      </x:c>
      <x:c r="D724" s="111" t="str">
        <x:v>순천향대학교</x:v>
      </x:c>
      <x:c r="E724" s="111" t="str">
        <x:v>나</x:v>
      </x:c>
      <x:c r="F724" s="111" t="str">
        <x:v>수능(일반학생전형)</x:v>
      </x:c>
      <x:c r="G724" s="111" t="str">
        <x:v>경찰행정학과</x:v>
      </x:c>
      <x:c r="H724" s="136" t="n">
        <x:v>11</x:v>
      </x:c>
      <x:c r="I724" s="136" t="n">
        <x:v>0</x:v>
      </x:c>
      <x:c r="J724" s="136" t="n">
        <x:v>11</x:v>
      </x:c>
      <x:c r="K724" s="137" t="n">
        <x:v>6.09</x:v>
      </x:c>
      <x:c r="L724" s="136" t="n">
        <x:v>11</x:v>
      </x:c>
      <x:c r="M724" s="137" t="n">
        <x:v>966.4</x:v>
      </x:c>
      <x:c r="N724" s="137" t="n">
        <x:v>960.8</x:v>
      </x:c>
      <x:c r="O724" s="137" t="n">
        <x:v>1000</x:v>
      </x:c>
      <x:c r="P724" s="137" t="n">
        <x:v>60</x:v>
      </x:c>
      <x:c r="Q724" s="137" t="n">
        <x:v>0</x:v>
      </x:c>
      <x:c r="R724" s="137" t="n">
        <x:v>88</x:v>
      </x:c>
      <x:c r="S724" s="137" t="n">
        <x:v>98</x:v>
      </x:c>
      <x:c r="T724" s="136" t="n">
        <x:v>2</x:v>
      </x:c>
      <x:c r="U724" s="136" t="n">
        <x:v>1</x:v>
      </x:c>
      <x:c r="V724" s="137"/>
      <x:c r="W724" s="137" t="n">
        <x:f>IF(COUNT(P724:S724)&gt;=3,AVERAGE(P724:S724),"")</x:f>
        <x:v>61.5</x:v>
      </x:c>
      <x:c r="X724" s="137" t="n">
        <x:f>IF(V724&lt;&gt;"",V724,W724)</x:f>
        <x:v>61.5</x:v>
      </x:c>
      <x:c r="Y724" s="111" t="str">
        <x:v>파생: 공식 과목별 70% 백분위 평균</x:v>
      </x:c>
      <x:c r="Z724" s="137" t="n">
        <x:f>'추천_테스트'!$B$8</x:f>
        <x:v>80</x:v>
      </x:c>
      <x:c r="AA724" s="137" t="n">
        <x:f>IF(X724="","",Z724-X724)</x:f>
        <x:v>18.5</x:v>
      </x:c>
      <x:c r="AB724" s="111" t="str">
        <x:f>IF(X724="","",IF(AA724&gt;='추천_테스트'!$B$10,"안정",IF(AA724&gt;='추천_테스트'!$B$11,"적정",IF(AA724&gt;='추천_테스트'!$B$12,"소신","상향"))))</x:f>
        <x:v>안정</x:v>
      </x:c>
      <x:c r="AC724" s="137" t="n">
        <x:v>90</x:v>
      </x:c>
      <x:c r="AD724" s="137" t="n">
        <x:v>10</x:v>
      </x:c>
      <x:c r="AE724" s="137" t="n">
        <x:v>0</x:v>
      </x:c>
      <x:c r="AF724" s="113" t="str">
        <x:v>v5 지방 사립대 확장: 공식 2025학년도 정시 과목별 70% 백분위를 원형 보존</x:v>
      </x:c>
      <x:c r="AG724" s="113" t="str">
        <x:v>https://www.adiga.kr/ucp/uvt/uni/univDetailSelection.do?menuId=PCUVTINF2000&amp;searchSyr=2026&amp;unvCd=0000142</x:v>
      </x:c>
    </x:row>
    <x:row r="725" ht="18" customHeight="1">
      <x:c r="A725" s="111" t="n">
        <x:v>2025</x:v>
      </x:c>
      <x:c r="B725" s="111" t="str">
        <x:v>광주광역시</x:v>
      </x:c>
      <x:c r="C725" s="111" t="str">
        <x:v>사립</x:v>
      </x:c>
      <x:c r="D725" s="111" t="str">
        <x:v>조선대학교</x:v>
      </x:c>
      <x:c r="E725" s="111" t="str">
        <x:v>가</x:v>
      </x:c>
      <x:c r="F725" s="111" t="str">
        <x:v>수능(일반전형)</x:v>
      </x:c>
      <x:c r="G725" s="111" t="str">
        <x:v>영어영문학과</x:v>
      </x:c>
      <x:c r="H725" s="136" t="n">
        <x:v>0</x:v>
      </x:c>
      <x:c r="I725" s="136" t="n">
        <x:v>4</x:v>
      </x:c>
      <x:c r="J725" s="136" t="n">
        <x:v>4</x:v>
      </x:c>
      <x:c r="K725" s="137" t="n">
        <x:v>6.5</x:v>
      </x:c>
      <x:c r="L725" s="136" t="n">
        <x:v>9</x:v>
      </x:c>
      <x:c r="M725" s="137" t="n">
        <x:v>555</x:v>
      </x:c>
      <x:c r="N725" s="137" t="n">
        <x:v>555</x:v>
      </x:c>
      <x:c r="O725" s="137" t="n">
        <x:v>800</x:v>
      </x:c>
      <x:c r="P725" s="137" t="n">
        <x:v>79</x:v>
      </x:c>
      <x:c r="Q725" s="137" t="n">
        <x:v>37</x:v>
      </x:c>
      <x:c r="R725" s="137" t="n">
        <x:v>58</x:v>
      </x:c>
      <x:c r="S725" s="137" t="n">
        <x:v>64</x:v>
      </x:c>
      <x:c r="T725" s="136" t="n">
        <x:v>5</x:v>
      </x:c>
      <x:c r="U725" s="136" t="n">
        <x:v>4</x:v>
      </x:c>
      <x:c r="V725" s="137"/>
      <x:c r="W725" s="137" t="n">
        <x:f>IF(COUNT(P725:S725)&gt;=3,AVERAGE(P725:S725),"")</x:f>
        <x:v>59.5</x:v>
      </x:c>
      <x:c r="X725" s="137" t="n">
        <x:f>IF(V725&lt;&gt;"",V725,W725)</x:f>
        <x:v>59.5</x:v>
      </x:c>
      <x:c r="Y725" s="111" t="str">
        <x:v>파생: 공식 과목별 70% 백분위 평균</x:v>
      </x:c>
      <x:c r="Z725" s="137" t="n">
        <x:f>'추천_테스트'!$B$8</x:f>
        <x:v>80</x:v>
      </x:c>
      <x:c r="AA725" s="137" t="n">
        <x:f>IF(X725="","",Z725-X725)</x:f>
        <x:v>20.5</x:v>
      </x:c>
      <x:c r="AB725" s="111" t="str">
        <x:f>IF(X725="","",IF(AA725&gt;='추천_테스트'!$B$10,"안정",IF(AA725&gt;='추천_테스트'!$B$11,"적정",IF(AA725&gt;='추천_테스트'!$B$12,"소신","상향"))))</x:f>
        <x:v>안정</x:v>
      </x:c>
      <x:c r="AC725" s="137" t="n">
        <x:v>75</x:v>
      </x:c>
      <x:c r="AD725" s="137" t="n">
        <x:v>25</x:v>
      </x:c>
      <x:c r="AE725" s="137"/>
      <x:c r="AF725" s="113" t="str">
        <x:v>v5 지방 사립대 확장: 공식 2025학년도 정시 과목별 70% 백분위를 원형 보존</x:v>
      </x:c>
      <x:c r="AG725" s="113" t="str">
        <x:v>https://www.adiga.kr/ucp/uvt/uni/univDetailSelection.do?menuId=PCUVTINF2000&amp;searchSyr=2026&amp;unvCd=0000172</x:v>
      </x:c>
    </x:row>
    <x:row r="726" ht="18" customHeight="1">
      <x:c r="A726" s="111" t="n">
        <x:v>2025</x:v>
      </x:c>
      <x:c r="B726" s="111" t="str">
        <x:v>광주광역시</x:v>
      </x:c>
      <x:c r="C726" s="111" t="str">
        <x:v>사립</x:v>
      </x:c>
      <x:c r="D726" s="111" t="str">
        <x:v>조선대학교</x:v>
      </x:c>
      <x:c r="E726" s="111" t="str">
        <x:v>가</x:v>
      </x:c>
      <x:c r="F726" s="111" t="str">
        <x:v>수능(일반전형)</x:v>
      </x:c>
      <x:c r="G726" s="111" t="str">
        <x:v>경제학과</x:v>
      </x:c>
      <x:c r="H726" s="136" t="n">
        <x:v>0</x:v>
      </x:c>
      <x:c r="I726" s="136" t="n">
        <x:v>5</x:v>
      </x:c>
      <x:c r="J726" s="136" t="n">
        <x:v>5</x:v>
      </x:c>
      <x:c r="K726" s="137" t="n">
        <x:v>5.4</x:v>
      </x:c>
      <x:c r="L726" s="136" t="n">
        <x:v>6</x:v>
      </x:c>
      <x:c r="M726" s="137" t="n">
        <x:v>578.4</x:v>
      </x:c>
      <x:c r="N726" s="137" t="n">
        <x:v>563.6</x:v>
      </x:c>
      <x:c r="O726" s="137" t="n">
        <x:v>800</x:v>
      </x:c>
      <x:c r="P726" s="137" t="n">
        <x:v>65</x:v>
      </x:c>
      <x:c r="Q726" s="137" t="n">
        <x:v>50</x:v>
      </x:c>
      <x:c r="R726" s="137" t="n">
        <x:v>71</x:v>
      </x:c>
      <x:c r="S726" s="137" t="n">
        <x:v>49</x:v>
      </x:c>
      <x:c r="T726" s="136" t="n">
        <x:v>4</x:v>
      </x:c>
      <x:c r="U726" s="136" t="n">
        <x:v>4</x:v>
      </x:c>
      <x:c r="V726" s="137"/>
      <x:c r="W726" s="137" t="n">
        <x:f>IF(COUNT(P726:S726)&gt;=3,AVERAGE(P726:S726),"")</x:f>
        <x:v>58.75</x:v>
      </x:c>
      <x:c r="X726" s="137" t="n">
        <x:f>IF(V726&lt;&gt;"",V726,W726)</x:f>
        <x:v>58.75</x:v>
      </x:c>
      <x:c r="Y726" s="111" t="str">
        <x:v>파생: 공식 과목별 70% 백분위 평균</x:v>
      </x:c>
      <x:c r="Z726" s="137" t="n">
        <x:f>'추천_테스트'!$B$8</x:f>
        <x:v>80</x:v>
      </x:c>
      <x:c r="AA726" s="137" t="n">
        <x:f>IF(X726="","",Z726-X726)</x:f>
        <x:v>21.25</x:v>
      </x:c>
      <x:c r="AB726" s="111" t="str">
        <x:f>IF(X726="","",IF(AA726&gt;='추천_테스트'!$B$10,"안정",IF(AA726&gt;='추천_테스트'!$B$11,"적정",IF(AA726&gt;='추천_테스트'!$B$12,"소신","상향"))))</x:f>
        <x:v>안정</x:v>
      </x:c>
      <x:c r="AC726" s="137" t="n">
        <x:v>60</x:v>
      </x:c>
      <x:c r="AD726" s="137" t="n">
        <x:v>40</x:v>
      </x:c>
      <x:c r="AE726" s="137"/>
      <x:c r="AF726" s="113" t="str">
        <x:v>v5 지방 사립대 확장: 공식 2025학년도 정시 과목별 70% 백분위를 원형 보존</x:v>
      </x:c>
      <x:c r="AG726" s="113" t="str">
        <x:v>https://www.adiga.kr/ucp/uvt/uni/univDetailSelection.do?menuId=PCUVTINF2000&amp;searchSyr=2026&amp;unvCd=0000172</x:v>
      </x:c>
    </x:row>
    <x:row r="727" ht="18" customHeight="1">
      <x:c r="A727" s="111" t="n">
        <x:v>2025</x:v>
      </x:c>
      <x:c r="B727" s="111" t="str">
        <x:v>광주광역시</x:v>
      </x:c>
      <x:c r="C727" s="111" t="str">
        <x:v>사립</x:v>
      </x:c>
      <x:c r="D727" s="111" t="str">
        <x:v>조선대학교</x:v>
      </x:c>
      <x:c r="E727" s="111" t="str">
        <x:v>가</x:v>
      </x:c>
      <x:c r="F727" s="111" t="str">
        <x:v>수능(일반전형)</x:v>
      </x:c>
      <x:c r="G727" s="111" t="str">
        <x:v>건축학과(5년제)</x:v>
      </x:c>
      <x:c r="H727" s="136" t="n">
        <x:v>6</x:v>
      </x:c>
      <x:c r="I727" s="136" t="n">
        <x:v>0</x:v>
      </x:c>
      <x:c r="J727" s="136" t="n">
        <x:v>6</x:v>
      </x:c>
      <x:c r="K727" s="137" t="n">
        <x:v>5.33</x:v>
      </x:c>
      <x:c r="L727" s="136" t="n">
        <x:v>6</x:v>
      </x:c>
      <x:c r="M727" s="137" t="n">
        <x:v>614.8</x:v>
      </x:c>
      <x:c r="N727" s="137" t="n">
        <x:v>611.2</x:v>
      </x:c>
      <x:c r="O727" s="137" t="n">
        <x:v>800</x:v>
      </x:c>
      <x:c r="P727" s="137" t="n">
        <x:v>47</x:v>
      </x:c>
      <x:c r="Q727" s="137" t="n">
        <x:v>78</x:v>
      </x:c>
      <x:c r="R727" s="137" t="n">
        <x:v>53</x:v>
      </x:c>
      <x:c r="S727" s="137" t="n">
        <x:v>85</x:v>
      </x:c>
      <x:c r="T727" s="136" t="n">
        <x:v>4</x:v>
      </x:c>
      <x:c r="U727" s="136" t="n">
        <x:v>4</x:v>
      </x:c>
      <x:c r="V727" s="137"/>
      <x:c r="W727" s="137" t="n">
        <x:f>IF(COUNT(P727:S727)&gt;=3,AVERAGE(P727:S727),"")</x:f>
        <x:v>65.75</x:v>
      </x:c>
      <x:c r="X727" s="137" t="n">
        <x:f>IF(V727&lt;&gt;"",V727,W727)</x:f>
        <x:v>65.75</x:v>
      </x:c>
      <x:c r="Y727" s="111" t="str">
        <x:v>파생: 공식 과목별 70% 백분위 평균</x:v>
      </x:c>
      <x:c r="Z727" s="137" t="n">
        <x:f>'추천_테스트'!$B$8</x:f>
        <x:v>80</x:v>
      </x:c>
      <x:c r="AA727" s="137" t="n">
        <x:f>IF(X727="","",Z727-X727)</x:f>
        <x:v>14.25</x:v>
      </x:c>
      <x:c r="AB727" s="111" t="str">
        <x:f>IF(X727="","",IF(AA727&gt;='추천_테스트'!$B$10,"안정",IF(AA727&gt;='추천_테스트'!$B$11,"적정",IF(AA727&gt;='추천_테스트'!$B$12,"소신","상향"))))</x:f>
        <x:v>안정</x:v>
      </x:c>
      <x:c r="AC727" s="137" t="n">
        <x:v>16.67</x:v>
      </x:c>
      <x:c r="AD727" s="137" t="n">
        <x:v>50</x:v>
      </x:c>
      <x:c r="AE727" s="137" t="n">
        <x:v>33.33</x:v>
      </x:c>
      <x:c r="AF727" s="113" t="str">
        <x:v>v5 지방 사립대 확장: 공식 2025학년도 정시 과목별 70% 백분위를 원형 보존</x:v>
      </x:c>
      <x:c r="AG727" s="113" t="str">
        <x:v>https://www.adiga.kr/ucp/uvt/uni/univDetailSelection.do?menuId=PCUVTINF2000&amp;searchSyr=2026&amp;unvCd=0000172</x:v>
      </x:c>
    </x:row>
    <x:row r="728" ht="18" customHeight="1">
      <x:c r="A728" s="111" t="n">
        <x:v>2025</x:v>
      </x:c>
      <x:c r="B728" s="111" t="str">
        <x:v>광주광역시</x:v>
      </x:c>
      <x:c r="C728" s="111" t="str">
        <x:v>사립</x:v>
      </x:c>
      <x:c r="D728" s="111" t="str">
        <x:v>조선대학교</x:v>
      </x:c>
      <x:c r="E728" s="111" t="str">
        <x:v>가</x:v>
      </x:c>
      <x:c r="F728" s="111" t="str">
        <x:v>수능(일반전형)</x:v>
      </x:c>
      <x:c r="G728" s="111" t="str">
        <x:v>항공우주공학과</x:v>
      </x:c>
      <x:c r="H728" s="136" t="n">
        <x:v>0</x:v>
      </x:c>
      <x:c r="I728" s="136" t="n">
        <x:v>19</x:v>
      </x:c>
      <x:c r="J728" s="136" t="n">
        <x:v>19</x:v>
      </x:c>
      <x:c r="K728" s="137" t="n">
        <x:v>6.16</x:v>
      </x:c>
      <x:c r="L728" s="136" t="n">
        <x:v>17</x:v>
      </x:c>
      <x:c r="M728" s="137" t="n">
        <x:v>547.8</x:v>
      </x:c>
      <x:c r="N728" s="137" t="n">
        <x:v>540.6</x:v>
      </x:c>
      <x:c r="O728" s="137" t="n">
        <x:v>800</x:v>
      </x:c>
      <x:c r="P728" s="137" t="n">
        <x:v>42</x:v>
      </x:c>
      <x:c r="Q728" s="137" t="n">
        <x:v>54</x:v>
      </x:c>
      <x:c r="R728" s="137" t="n">
        <x:v>90</x:v>
      </x:c>
      <x:c r="S728" s="137" t="n">
        <x:v>47</x:v>
      </x:c>
      <x:c r="T728" s="136" t="n">
        <x:v>6</x:v>
      </x:c>
      <x:c r="U728" s="136" t="n">
        <x:v>8</x:v>
      </x:c>
      <x:c r="V728" s="137"/>
      <x:c r="W728" s="137" t="n">
        <x:f>IF(COUNT(P728:S728)&gt;=3,AVERAGE(P728:S728),"")</x:f>
        <x:v>58.25</x:v>
      </x:c>
      <x:c r="X728" s="137" t="n">
        <x:f>IF(V728&lt;&gt;"",V728,W728)</x:f>
        <x:v>58.25</x:v>
      </x:c>
      <x:c r="Y728" s="111" t="str">
        <x:v>파생: 공식 과목별 70% 백분위 평균</x:v>
      </x:c>
      <x:c r="Z728" s="137" t="n">
        <x:f>'추천_테스트'!$B$8</x:f>
        <x:v>80</x:v>
      </x:c>
      <x:c r="AA728" s="137" t="n">
        <x:f>IF(X728="","",Z728-X728)</x:f>
        <x:v>21.75</x:v>
      </x:c>
      <x:c r="AB728" s="111" t="str">
        <x:f>IF(X728="","",IF(AA728&gt;='추천_테스트'!$B$10,"안정",IF(AA728&gt;='추천_테스트'!$B$11,"적정",IF(AA728&gt;='추천_테스트'!$B$12,"소신","상향"))))</x:f>
        <x:v>안정</x:v>
      </x:c>
      <x:c r="AC728" s="137" t="n">
        <x:v>11.76</x:v>
      </x:c>
      <x:c r="AD728" s="137" t="n">
        <x:v>76.47</x:v>
      </x:c>
      <x:c r="AE728" s="137" t="n">
        <x:v>11.76</x:v>
      </x:c>
      <x:c r="AF728" s="113" t="str">
        <x:v>v5 지방 사립대 확장: 공식 2025학년도 정시 과목별 70% 백분위를 원형 보존</x:v>
      </x:c>
      <x:c r="AG728" s="113" t="str">
        <x:v>https://www.adiga.kr/ucp/uvt/uni/univDetailSelection.do?menuId=PCUVTINF2000&amp;searchSyr=2026&amp;unvCd=0000172</x:v>
      </x:c>
    </x:row>
    <x:row r="729" ht="18" customHeight="1">
      <x:c r="A729" s="111" t="n">
        <x:v>2025</x:v>
      </x:c>
      <x:c r="B729" s="111" t="str">
        <x:v>광주광역시</x:v>
      </x:c>
      <x:c r="C729" s="111" t="str">
        <x:v>사립</x:v>
      </x:c>
      <x:c r="D729" s="111" t="str">
        <x:v>조선대학교</x:v>
      </x:c>
      <x:c r="E729" s="111" t="str">
        <x:v>가</x:v>
      </x:c>
      <x:c r="F729" s="111" t="str">
        <x:v>수능(일반전형)</x:v>
      </x:c>
      <x:c r="G729" s="111" t="str">
        <x:v>선박해양공학과</x:v>
      </x:c>
      <x:c r="H729" s="136" t="n">
        <x:v>0</x:v>
      </x:c>
      <x:c r="I729" s="136" t="n">
        <x:v>10</x:v>
      </x:c>
      <x:c r="J729" s="136" t="n">
        <x:v>10</x:v>
      </x:c>
      <x:c r="K729" s="137" t="n">
        <x:v>5.8</x:v>
      </x:c>
      <x:c r="L729" s="136" t="n">
        <x:v>7</x:v>
      </x:c>
      <x:c r="M729" s="137" t="n">
        <x:v>519.6</x:v>
      </x:c>
      <x:c r="N729" s="137" t="n">
        <x:v>512.2</x:v>
      </x:c>
      <x:c r="O729" s="137" t="n">
        <x:v>800</x:v>
      </x:c>
      <x:c r="P729" s="137" t="n">
        <x:v>44</x:v>
      </x:c>
      <x:c r="Q729" s="137" t="n">
        <x:v>59</x:v>
      </x:c>
      <x:c r="R729" s="137" t="n">
        <x:v>43</x:v>
      </x:c>
      <x:c r="S729" s="137" t="n">
        <x:v>56</x:v>
      </x:c>
      <x:c r="T729" s="136" t="n">
        <x:v>4</x:v>
      </x:c>
      <x:c r="U729" s="136" t="n">
        <x:v>7</x:v>
      </x:c>
      <x:c r="V729" s="137"/>
      <x:c r="W729" s="137" t="n">
        <x:f>IF(COUNT(P729:S729)&gt;=3,AVERAGE(P729:S729),"")</x:f>
        <x:v>50.5</x:v>
      </x:c>
      <x:c r="X729" s="137" t="n">
        <x:f>IF(V729&lt;&gt;"",V729,W729)</x:f>
        <x:v>50.5</x:v>
      </x:c>
      <x:c r="Y729" s="111" t="str">
        <x:v>파생: 공식 과목별 70% 백분위 평균</x:v>
      </x:c>
      <x:c r="Z729" s="137" t="n">
        <x:f>'추천_테스트'!$B$8</x:f>
        <x:v>80</x:v>
      </x:c>
      <x:c r="AA729" s="137" t="n">
        <x:f>IF(X729="","",Z729-X729)</x:f>
        <x:v>29.5</x:v>
      </x:c>
      <x:c r="AB729" s="111" t="str">
        <x:f>IF(X729="","",IF(AA729&gt;='추천_테스트'!$B$10,"안정",IF(AA729&gt;='추천_테스트'!$B$11,"적정",IF(AA729&gt;='추천_테스트'!$B$12,"소신","상향"))))</x:f>
        <x:v>안정</x:v>
      </x:c>
      <x:c r="AC729" s="137" t="n">
        <x:v>10</x:v>
      </x:c>
      <x:c r="AD729" s="137" t="n">
        <x:v>80</x:v>
      </x:c>
      <x:c r="AE729" s="137" t="n">
        <x:v>10</x:v>
      </x:c>
      <x:c r="AF729" s="113" t="str">
        <x:v>v5 지방 사립대 확장: 공식 2025학년도 정시 과목별 70% 백분위를 원형 보존</x:v>
      </x:c>
      <x:c r="AG729" s="113" t="str">
        <x:v>https://www.adiga.kr/ucp/uvt/uni/univDetailSelection.do?menuId=PCUVTINF2000&amp;searchSyr=2026&amp;unvCd=0000172</x:v>
      </x:c>
    </x:row>
    <x:row r="730" ht="18" customHeight="1">
      <x:c r="A730" s="111" t="n">
        <x:v>2025</x:v>
      </x:c>
      <x:c r="B730" s="111" t="str">
        <x:v>광주광역시</x:v>
      </x:c>
      <x:c r="C730" s="111" t="str">
        <x:v>사립</x:v>
      </x:c>
      <x:c r="D730" s="111" t="str">
        <x:v>조선대학교</x:v>
      </x:c>
      <x:c r="E730" s="111" t="str">
        <x:v>가</x:v>
      </x:c>
      <x:c r="F730" s="111" t="str">
        <x:v>수능(일반전형)</x:v>
      </x:c>
      <x:c r="G730" s="111" t="str">
        <x:v>생명화학공학과</x:v>
      </x:c>
      <x:c r="H730" s="136" t="n">
        <x:v>0</x:v>
      </x:c>
      <x:c r="I730" s="136" t="n">
        <x:v>6</x:v>
      </x:c>
      <x:c r="J730" s="136" t="n">
        <x:v>6</x:v>
      </x:c>
      <x:c r="K730" s="137" t="n">
        <x:v>3.67</x:v>
      </x:c>
      <x:c r="L730" s="136" t="n">
        <x:v>6</x:v>
      </x:c>
      <x:c r="M730" s="137" t="n">
        <x:v>584.2</x:v>
      </x:c>
      <x:c r="N730" s="137" t="n">
        <x:v>581.8</x:v>
      </x:c>
      <x:c r="O730" s="137" t="n">
        <x:v>800</x:v>
      </x:c>
      <x:c r="P730" s="137" t="n">
        <x:v>75</x:v>
      </x:c>
      <x:c r="Q730" s="137" t="n">
        <x:v>66</x:v>
      </x:c>
      <x:c r="R730" s="137" t="n">
        <x:v>59</x:v>
      </x:c>
      <x:c r="S730" s="137" t="n">
        <x:v>45</x:v>
      </x:c>
      <x:c r="T730" s="136" t="n">
        <x:v>7</x:v>
      </x:c>
      <x:c r="U730" s="136" t="n">
        <x:v>5</x:v>
      </x:c>
      <x:c r="V730" s="137"/>
      <x:c r="W730" s="137" t="n">
        <x:f>IF(COUNT(P730:S730)&gt;=3,AVERAGE(P730:S730),"")</x:f>
        <x:v>61.25</x:v>
      </x:c>
      <x:c r="X730" s="137" t="n">
        <x:f>IF(V730&lt;&gt;"",V730,W730)</x:f>
        <x:v>61.25</x:v>
      </x:c>
      <x:c r="Y730" s="111" t="str">
        <x:v>파생: 공식 과목별 70% 백분위 평균</x:v>
      </x:c>
      <x:c r="Z730" s="137" t="n">
        <x:f>'추천_테스트'!$B$8</x:f>
        <x:v>80</x:v>
      </x:c>
      <x:c r="AA730" s="137" t="n">
        <x:f>IF(X730="","",Z730-X730)</x:f>
        <x:v>18.75</x:v>
      </x:c>
      <x:c r="AB730" s="111" t="str">
        <x:f>IF(X730="","",IF(AA730&gt;='추천_테스트'!$B$10,"안정",IF(AA730&gt;='추천_테스트'!$B$11,"적정",IF(AA730&gt;='추천_테스트'!$B$12,"소신","상향"))))</x:f>
        <x:v>안정</x:v>
      </x:c>
      <x:c r="AC730" s="137" t="n">
        <x:v>0</x:v>
      </x:c>
      <x:c r="AD730" s="137" t="n">
        <x:v>100</x:v>
      </x:c>
      <x:c r="AE730" s="137" t="n">
        <x:v>0</x:v>
      </x:c>
      <x:c r="AF730" s="113" t="str">
        <x:v>v5 지방 사립대 확장: 공식 2025학년도 정시 과목별 70% 백분위를 원형 보존</x:v>
      </x:c>
      <x:c r="AG730" s="113" t="str">
        <x:v>https://www.adiga.kr/ucp/uvt/uni/univDetailSelection.do?menuId=PCUVTINF2000&amp;searchSyr=2026&amp;unvCd=0000172</x:v>
      </x:c>
    </x:row>
    <x:row r="731" ht="18" customHeight="1">
      <x:c r="A731" s="111" t="n">
        <x:v>2025</x:v>
      </x:c>
      <x:c r="B731" s="111" t="str">
        <x:v>광주광역시</x:v>
      </x:c>
      <x:c r="C731" s="111" t="str">
        <x:v>사립</x:v>
      </x:c>
      <x:c r="D731" s="111" t="str">
        <x:v>조선대학교</x:v>
      </x:c>
      <x:c r="E731" s="111" t="str">
        <x:v>가</x:v>
      </x:c>
      <x:c r="F731" s="111" t="str">
        <x:v>수능(일반전형)</x:v>
      </x:c>
      <x:c r="G731" s="111" t="str">
        <x:v>산업공학과</x:v>
      </x:c>
      <x:c r="H731" s="136" t="n">
        <x:v>0</x:v>
      </x:c>
      <x:c r="I731" s="136" t="n">
        <x:v>5</x:v>
      </x:c>
      <x:c r="J731" s="136" t="n">
        <x:v>5</x:v>
      </x:c>
      <x:c r="K731" s="137" t="n">
        <x:v>1.2</x:v>
      </x:c>
      <x:c r="L731" s="136" t="n">
        <x:v>5</x:v>
      </x:c>
      <x:c r="M731" s="137" t="n">
        <x:v>535.2</x:v>
      </x:c>
      <x:c r="N731" s="137" t="n">
        <x:v>535.2</x:v>
      </x:c>
      <x:c r="O731" s="137" t="n">
        <x:v>800</x:v>
      </x:c>
      <x:c r="P731" s="137" t="n">
        <x:v>49</x:v>
      </x:c>
      <x:c r="Q731" s="137" t="n">
        <x:v>54</x:v>
      </x:c>
      <x:c r="R731" s="137" t="n">
        <x:v>71</x:v>
      </x:c>
      <x:c r="S731" s="137" t="n">
        <x:v>55</x:v>
      </x:c>
      <x:c r="T731" s="136" t="n">
        <x:v>4</x:v>
      </x:c>
      <x:c r="U731" s="136" t="n">
        <x:v>5</x:v>
      </x:c>
      <x:c r="V731" s="137"/>
      <x:c r="W731" s="137" t="n">
        <x:f>IF(COUNT(P731:S731)&gt;=3,AVERAGE(P731:S731),"")</x:f>
        <x:v>57.25</x:v>
      </x:c>
      <x:c r="X731" s="137" t="n">
        <x:f>IF(V731&lt;&gt;"",V731,W731)</x:f>
        <x:v>57.25</x:v>
      </x:c>
      <x:c r="Y731" s="111" t="str">
        <x:v>파생: 공식 과목별 70% 백분위 평균</x:v>
      </x:c>
      <x:c r="Z731" s="137" t="n">
        <x:f>'추천_테스트'!$B$8</x:f>
        <x:v>80</x:v>
      </x:c>
      <x:c r="AA731" s="137" t="n">
        <x:f>IF(X731="","",Z731-X731)</x:f>
        <x:v>22.75</x:v>
      </x:c>
      <x:c r="AB731" s="111" t="str">
        <x:f>IF(X731="","",IF(AA731&gt;='추천_테스트'!$B$10,"안정",IF(AA731&gt;='추천_테스트'!$B$11,"적정",IF(AA731&gt;='추천_테스트'!$B$12,"소신","상향"))))</x:f>
        <x:v>안정</x:v>
      </x:c>
      <x:c r="AC731" s="137" t="n">
        <x:v>25</x:v>
      </x:c>
      <x:c r="AD731" s="137" t="n">
        <x:v>75</x:v>
      </x:c>
      <x:c r="AE731" s="137" t="n">
        <x:v>0</x:v>
      </x:c>
      <x:c r="AF731" s="113" t="str">
        <x:v>v5 지방 사립대 확장: 공식 2025학년도 정시 과목별 70% 백분위를 원형 보존</x:v>
      </x:c>
      <x:c r="AG731" s="113" t="str">
        <x:v>https://www.adiga.kr/ucp/uvt/uni/univDetailSelection.do?menuId=PCUVTINF2000&amp;searchSyr=2026&amp;unvCd=0000172</x:v>
      </x:c>
    </x:row>
    <x:row r="732" ht="18" customHeight="1">
      <x:c r="A732" s="111" t="n">
        <x:v>2025</x:v>
      </x:c>
      <x:c r="B732" s="111" t="str">
        <x:v>광주광역시</x:v>
      </x:c>
      <x:c r="C732" s="111" t="str">
        <x:v>사립</x:v>
      </x:c>
      <x:c r="D732" s="111" t="str">
        <x:v>조선대학교</x:v>
      </x:c>
      <x:c r="E732" s="111" t="str">
        <x:v>가</x:v>
      </x:c>
      <x:c r="F732" s="111" t="str">
        <x:v>수능(일반전형)</x:v>
      </x:c>
      <x:c r="G732" s="111" t="str">
        <x:v>광기술공학과</x:v>
      </x:c>
      <x:c r="H732" s="136" t="n">
        <x:v>0</x:v>
      </x:c>
      <x:c r="I732" s="136" t="n">
        <x:v>5</x:v>
      </x:c>
      <x:c r="J732" s="136" t="n">
        <x:v>5</x:v>
      </x:c>
      <x:c r="K732" s="137" t="n">
        <x:v>14.8</x:v>
      </x:c>
      <x:c r="L732" s="136" t="n">
        <x:v>0</x:v>
      </x:c>
      <x:c r="M732" s="137" t="n">
        <x:v>542.4</x:v>
      </x:c>
      <x:c r="N732" s="137" t="n">
        <x:v>540.8</x:v>
      </x:c>
      <x:c r="O732" s="137" t="n">
        <x:v>800</x:v>
      </x:c>
      <x:c r="P732" s="137" t="n">
        <x:v>51</x:v>
      </x:c>
      <x:c r="Q732" s="137" t="n">
        <x:v>66</x:v>
      </x:c>
      <x:c r="R732" s="137" t="n">
        <x:v>46</x:v>
      </x:c>
      <x:c r="S732" s="137" t="n">
        <x:v>54</x:v>
      </x:c>
      <x:c r="T732" s="136" t="n">
        <x:v>4</x:v>
      </x:c>
      <x:c r="U732" s="136" t="n">
        <x:v>4</x:v>
      </x:c>
      <x:c r="V732" s="137"/>
      <x:c r="W732" s="137" t="n">
        <x:f>IF(COUNT(P732:S732)&gt;=3,AVERAGE(P732:S732),"")</x:f>
        <x:v>54.25</x:v>
      </x:c>
      <x:c r="X732" s="137" t="n">
        <x:f>IF(V732&lt;&gt;"",V732,W732)</x:f>
        <x:v>54.25</x:v>
      </x:c>
      <x:c r="Y732" s="111" t="str">
        <x:v>파생: 공식 과목별 70% 백분위 평균</x:v>
      </x:c>
      <x:c r="Z732" s="137" t="n">
        <x:f>'추천_테스트'!$B$8</x:f>
        <x:v>80</x:v>
      </x:c>
      <x:c r="AA732" s="137" t="n">
        <x:f>IF(X732="","",Z732-X732)</x:f>
        <x:v>25.75</x:v>
      </x:c>
      <x:c r="AB732" s="111" t="str">
        <x:f>IF(X732="","",IF(AA732&gt;='추천_테스트'!$B$10,"안정",IF(AA732&gt;='추천_테스트'!$B$11,"적정",IF(AA732&gt;='추천_테스트'!$B$12,"소신","상향"))))</x:f>
        <x:v>안정</x:v>
      </x:c>
      <x:c r="AC732" s="137" t="n">
        <x:v>20</x:v>
      </x:c>
      <x:c r="AD732" s="137" t="n">
        <x:v>80</x:v>
      </x:c>
      <x:c r="AE732" s="137" t="n">
        <x:v>0</x:v>
      </x:c>
      <x:c r="AF732" s="113" t="str">
        <x:v>v5 지방 사립대 확장: 공식 2025학년도 정시 과목별 70% 백분위를 원형 보존</x:v>
      </x:c>
      <x:c r="AG732" s="113" t="str">
        <x:v>https://www.adiga.kr/ucp/uvt/uni/univDetailSelection.do?menuId=PCUVTINF2000&amp;searchSyr=2026&amp;unvCd=0000172</x:v>
      </x:c>
    </x:row>
    <x:row r="733" ht="18" customHeight="1">
      <x:c r="A733" s="111" t="n">
        <x:v>2025</x:v>
      </x:c>
      <x:c r="B733" s="111" t="str">
        <x:v>광주광역시</x:v>
      </x:c>
      <x:c r="C733" s="111" t="str">
        <x:v>사립</x:v>
      </x:c>
      <x:c r="D733" s="111" t="str">
        <x:v>조선대학교</x:v>
      </x:c>
      <x:c r="E733" s="111" t="str">
        <x:v>가</x:v>
      </x:c>
      <x:c r="F733" s="111" t="str">
        <x:v>수능(일반전형)</x:v>
      </x:c>
      <x:c r="G733" s="111" t="str">
        <x:v>원자력공학과</x:v>
      </x:c>
      <x:c r="H733" s="136" t="n">
        <x:v>0</x:v>
      </x:c>
      <x:c r="I733" s="136" t="n">
        <x:v>6</x:v>
      </x:c>
      <x:c r="J733" s="136" t="n">
        <x:v>6</x:v>
      </x:c>
      <x:c r="K733" s="137" t="n">
        <x:v>9.5</x:v>
      </x:c>
      <x:c r="L733" s="136" t="n">
        <x:v>2</x:v>
      </x:c>
      <x:c r="M733" s="137" t="n">
        <x:v>579.4</x:v>
      </x:c>
      <x:c r="N733" s="137" t="n">
        <x:v>572.6</x:v>
      </x:c>
      <x:c r="O733" s="137" t="n">
        <x:v>800</x:v>
      </x:c>
      <x:c r="P733" s="137" t="n">
        <x:v>63</x:v>
      </x:c>
      <x:c r="Q733" s="137" t="n">
        <x:v>68</x:v>
      </x:c>
      <x:c r="R733" s="137" t="n">
        <x:v>59</x:v>
      </x:c>
      <x:c r="S733" s="137" t="n">
        <x:v>34</x:v>
      </x:c>
      <x:c r="T733" s="136" t="n">
        <x:v>5</x:v>
      </x:c>
      <x:c r="U733" s="136" t="n">
        <x:v>5</x:v>
      </x:c>
      <x:c r="V733" s="137"/>
      <x:c r="W733" s="137" t="n">
        <x:f>IF(COUNT(P733:S733)&gt;=3,AVERAGE(P733:S733),"")</x:f>
        <x:v>56</x:v>
      </x:c>
      <x:c r="X733" s="137" t="n">
        <x:f>IF(V733&lt;&gt;"",V733,W733)</x:f>
        <x:v>56</x:v>
      </x:c>
      <x:c r="Y733" s="111" t="str">
        <x:v>파생: 공식 과목별 70% 백분위 평균</x:v>
      </x:c>
      <x:c r="Z733" s="137" t="n">
        <x:f>'추천_테스트'!$B$8</x:f>
        <x:v>80</x:v>
      </x:c>
      <x:c r="AA733" s="137" t="n">
        <x:f>IF(X733="","",Z733-X733)</x:f>
        <x:v>24</x:v>
      </x:c>
      <x:c r="AB733" s="111" t="str">
        <x:f>IF(X733="","",IF(AA733&gt;='추천_테스트'!$B$10,"안정",IF(AA733&gt;='추천_테스트'!$B$11,"적정",IF(AA733&gt;='추천_테스트'!$B$12,"소신","상향"))))</x:f>
        <x:v>안정</x:v>
      </x:c>
      <x:c r="AC733" s="137" t="n">
        <x:v>0</x:v>
      </x:c>
      <x:c r="AD733" s="137" t="n">
        <x:v>100</x:v>
      </x:c>
      <x:c r="AE733" s="137" t="n">
        <x:v>0</x:v>
      </x:c>
      <x:c r="AF733" s="113" t="str">
        <x:v>v5 지방 사립대 확장: 공식 2025학년도 정시 과목별 70% 백분위를 원형 보존</x:v>
      </x:c>
      <x:c r="AG733" s="113" t="str">
        <x:v>https://www.adiga.kr/ucp/uvt/uni/univDetailSelection.do?menuId=PCUVTINF2000&amp;searchSyr=2026&amp;unvCd=0000172</x:v>
      </x:c>
    </x:row>
    <x:row r="734" ht="18" customHeight="1">
      <x:c r="A734" s="111" t="n">
        <x:v>2025</x:v>
      </x:c>
      <x:c r="B734" s="111" t="str">
        <x:v>광주광역시</x:v>
      </x:c>
      <x:c r="C734" s="111" t="str">
        <x:v>사립</x:v>
      </x:c>
      <x:c r="D734" s="111" t="str">
        <x:v>조선대학교</x:v>
      </x:c>
      <x:c r="E734" s="111" t="str">
        <x:v>가</x:v>
      </x:c>
      <x:c r="F734" s="111" t="str">
        <x:v>수능(일반전형)</x:v>
      </x:c>
      <x:c r="G734" s="111" t="str">
        <x:v>전자공학과</x:v>
      </x:c>
      <x:c r="H734" s="136" t="n">
        <x:v>0</x:v>
      </x:c>
      <x:c r="I734" s="136" t="n">
        <x:v>10</x:v>
      </x:c>
      <x:c r="J734" s="136" t="n">
        <x:v>10</x:v>
      </x:c>
      <x:c r="K734" s="137" t="n">
        <x:v>4.3</x:v>
      </x:c>
      <x:c r="L734" s="136" t="n">
        <x:v>12</x:v>
      </x:c>
      <x:c r="M734" s="137" t="n">
        <x:v>596.6</x:v>
      </x:c>
      <x:c r="N734" s="137" t="n">
        <x:v>591.8</x:v>
      </x:c>
      <x:c r="O734" s="137" t="n">
        <x:v>800</x:v>
      </x:c>
      <x:c r="P734" s="137" t="n">
        <x:v>54</x:v>
      </x:c>
      <x:c r="Q734" s="137" t="n">
        <x:v>81</x:v>
      </x:c>
      <x:c r="R734" s="137" t="n">
        <x:v>59</x:v>
      </x:c>
      <x:c r="S734" s="137" t="n">
        <x:v>55</x:v>
      </x:c>
      <x:c r="T734" s="136" t="n">
        <x:v>4</x:v>
      </x:c>
      <x:c r="U734" s="136" t="n">
        <x:v>2</x:v>
      </x:c>
      <x:c r="V734" s="137"/>
      <x:c r="W734" s="137" t="n">
        <x:f>IF(COUNT(P734:S734)&gt;=3,AVERAGE(P734:S734),"")</x:f>
        <x:v>62.25</x:v>
      </x:c>
      <x:c r="X734" s="137" t="n">
        <x:f>IF(V734&lt;&gt;"",V734,W734)</x:f>
        <x:v>62.25</x:v>
      </x:c>
      <x:c r="Y734" s="111" t="str">
        <x:v>파생: 공식 과목별 70% 백분위 평균</x:v>
      </x:c>
      <x:c r="Z734" s="137" t="n">
        <x:f>'추천_테스트'!$B$8</x:f>
        <x:v>80</x:v>
      </x:c>
      <x:c r="AA734" s="137" t="n">
        <x:f>IF(X734="","",Z734-X734)</x:f>
        <x:v>17.75</x:v>
      </x:c>
      <x:c r="AB734" s="111" t="str">
        <x:f>IF(X734="","",IF(AA734&gt;='추천_테스트'!$B$10,"안정",IF(AA734&gt;='추천_테스트'!$B$11,"적정",IF(AA734&gt;='추천_테스트'!$B$12,"소신","상향"))))</x:f>
        <x:v>안정</x:v>
      </x:c>
      <x:c r="AC734" s="137" t="n">
        <x:v>20</x:v>
      </x:c>
      <x:c r="AD734" s="137" t="n">
        <x:v>80</x:v>
      </x:c>
      <x:c r="AE734" s="137" t="n">
        <x:v>0</x:v>
      </x:c>
      <x:c r="AF734" s="113" t="str">
        <x:v>v5 지방 사립대 확장: 공식 2025학년도 정시 과목별 70% 백분위를 원형 보존</x:v>
      </x:c>
      <x:c r="AG734" s="113" t="str">
        <x:v>https://www.adiga.kr/ucp/uvt/uni/univDetailSelection.do?menuId=PCUVTINF2000&amp;searchSyr=2026&amp;unvCd=0000172</x:v>
      </x:c>
    </x:row>
    <x:row r="735" ht="18" customHeight="1">
      <x:c r="A735" s="111" t="n">
        <x:v>2025</x:v>
      </x:c>
      <x:c r="B735" s="111" t="str">
        <x:v>광주광역시</x:v>
      </x:c>
      <x:c r="C735" s="111" t="str">
        <x:v>사립</x:v>
      </x:c>
      <x:c r="D735" s="111" t="str">
        <x:v>조선대학교</x:v>
      </x:c>
      <x:c r="E735" s="111" t="str">
        <x:v>가</x:v>
      </x:c>
      <x:c r="F735" s="111" t="str">
        <x:v>수능(일반전형)</x:v>
      </x:c>
      <x:c r="G735" s="111" t="str">
        <x:v>화학교육과</x:v>
      </x:c>
      <x:c r="H735" s="136" t="n">
        <x:v>0</x:v>
      </x:c>
      <x:c r="I735" s="136" t="n">
        <x:v>5</x:v>
      </x:c>
      <x:c r="J735" s="136" t="n">
        <x:v>5</x:v>
      </x:c>
      <x:c r="K735" s="137" t="n">
        <x:v>6.2</x:v>
      </x:c>
      <x:c r="L735" s="136" t="n">
        <x:v>3</x:v>
      </x:c>
      <x:c r="M735" s="137" t="n">
        <x:v>608.4</x:v>
      </x:c>
      <x:c r="N735" s="137" t="n">
        <x:v>596.8</x:v>
      </x:c>
      <x:c r="O735" s="137" t="n">
        <x:v>800</x:v>
      </x:c>
      <x:c r="P735" s="137" t="n">
        <x:v>72</x:v>
      </x:c>
      <x:c r="Q735" s="137" t="n">
        <x:v>66</x:v>
      </x:c>
      <x:c r="R735" s="137" t="n">
        <x:v>59</x:v>
      </x:c>
      <x:c r="S735" s="137" t="n">
        <x:v>55</x:v>
      </x:c>
      <x:c r="T735" s="136" t="n">
        <x:v>3</x:v>
      </x:c>
      <x:c r="U735" s="136" t="n">
        <x:v>2</x:v>
      </x:c>
      <x:c r="V735" s="137"/>
      <x:c r="W735" s="137" t="n">
        <x:f>IF(COUNT(P735:S735)&gt;=3,AVERAGE(P735:S735),"")</x:f>
        <x:v>63</x:v>
      </x:c>
      <x:c r="X735" s="137" t="n">
        <x:f>IF(V735&lt;&gt;"",V735,W735)</x:f>
        <x:v>63</x:v>
      </x:c>
      <x:c r="Y735" s="111" t="str">
        <x:v>파생: 공식 과목별 70% 백분위 평균</x:v>
      </x:c>
      <x:c r="Z735" s="137" t="n">
        <x:f>'추천_테스트'!$B$8</x:f>
        <x:v>80</x:v>
      </x:c>
      <x:c r="AA735" s="137" t="n">
        <x:f>IF(X735="","",Z735-X735)</x:f>
        <x:v>17</x:v>
      </x:c>
      <x:c r="AB735" s="111" t="str">
        <x:f>IF(X735="","",IF(AA735&gt;='추천_테스트'!$B$10,"안정",IF(AA735&gt;='추천_테스트'!$B$11,"적정",IF(AA735&gt;='추천_테스트'!$B$12,"소신","상향"))))</x:f>
        <x:v>안정</x:v>
      </x:c>
      <x:c r="AC735" s="137" t="n">
        <x:v>40</x:v>
      </x:c>
      <x:c r="AD735" s="137" t="n">
        <x:v>60</x:v>
      </x:c>
      <x:c r="AE735" s="137" t="n">
        <x:v>0</x:v>
      </x:c>
      <x:c r="AF735" s="113" t="str">
        <x:v>v5 지방 사립대 확장: 공식 2025학년도 정시 과목별 70% 백분위를 원형 보존</x:v>
      </x:c>
      <x:c r="AG735" s="113" t="str">
        <x:v>https://www.adiga.kr/ucp/uvt/uni/univDetailSelection.do?menuId=PCUVTINF2000&amp;searchSyr=2026&amp;unvCd=0000172</x:v>
      </x:c>
    </x:row>
    <x:row r="736" ht="18" customHeight="1">
      <x:c r="A736" s="111" t="n">
        <x:v>2025</x:v>
      </x:c>
      <x:c r="B736" s="111" t="str">
        <x:v>광주광역시</x:v>
      </x:c>
      <x:c r="C736" s="111" t="str">
        <x:v>사립</x:v>
      </x:c>
      <x:c r="D736" s="111" t="str">
        <x:v>조선대학교</x:v>
      </x:c>
      <x:c r="E736" s="111" t="str">
        <x:v>가</x:v>
      </x:c>
      <x:c r="F736" s="111" t="str">
        <x:v>수능(일반전형)</x:v>
      </x:c>
      <x:c r="G736" s="111" t="str">
        <x:v>치의예과</x:v>
      </x:c>
      <x:c r="H736" s="136" t="n">
        <x:v>0</x:v>
      </x:c>
      <x:c r="I736" s="136" t="n">
        <x:v>15</x:v>
      </x:c>
      <x:c r="J736" s="136" t="n">
        <x:v>15</x:v>
      </x:c>
      <x:c r="K736" s="137" t="n">
        <x:v>8.47</x:v>
      </x:c>
      <x:c r="L736" s="136" t="n">
        <x:v>33</x:v>
      </x:c>
      <x:c r="M736" s="137" t="n">
        <x:v>799.2</x:v>
      </x:c>
      <x:c r="N736" s="137" t="n">
        <x:v>798</x:v>
      </x:c>
      <x:c r="O736" s="137" t="n">
        <x:v>800</x:v>
      </x:c>
      <x:c r="P736" s="137" t="n">
        <x:v>96</x:v>
      </x:c>
      <x:c r="Q736" s="137" t="n">
        <x:v>99</x:v>
      </x:c>
      <x:c r="R736" s="137" t="n">
        <x:v>75</x:v>
      </x:c>
      <x:c r="S736" s="137" t="n">
        <x:v>99</x:v>
      </x:c>
      <x:c r="T736" s="136" t="n">
        <x:v>1</x:v>
      </x:c>
      <x:c r="U736" s="136" t="n">
        <x:v>1</x:v>
      </x:c>
      <x:c r="V736" s="137"/>
      <x:c r="W736" s="137" t="n">
        <x:f>IF(COUNT(P736:S736)&gt;=3,AVERAGE(P736:S736),"")</x:f>
        <x:v>92.25</x:v>
      </x:c>
      <x:c r="X736" s="137" t="n">
        <x:f>IF(V736&lt;&gt;"",V736,W736)</x:f>
        <x:v>92.25</x:v>
      </x:c>
      <x:c r="Y736" s="111" t="str">
        <x:v>파생: 공식 과목별 70% 백분위 평균</x:v>
      </x:c>
      <x:c r="Z736" s="137" t="n">
        <x:f>'추천_테스트'!$B$8</x:f>
        <x:v>80</x:v>
      </x:c>
      <x:c r="AA736" s="137" t="n">
        <x:f>IF(X736="","",Z736-X736)</x:f>
        <x:v>-12.25</x:v>
      </x:c>
      <x:c r="AB736" s="111" t="str">
        <x:f>IF(X736="","",IF(AA736&gt;='추천_테스트'!$B$10,"안정",IF(AA736&gt;='추천_테스트'!$B$11,"적정",IF(AA736&gt;='추천_테스트'!$B$12,"소신","상향"))))</x:f>
        <x:v>상향</x:v>
      </x:c>
      <x:c r="AC736" s="137" t="n">
        <x:v>0</x:v>
      </x:c>
      <x:c r="AD736" s="137" t="n">
        <x:v>84.62</x:v>
      </x:c>
      <x:c r="AE736" s="137" t="n">
        <x:v>15.38</x:v>
      </x:c>
      <x:c r="AF736" s="113" t="str">
        <x:v>v5 지방 사립대 확장: 공식 2025학년도 정시 과목별 70% 백분위를 원형 보존</x:v>
      </x:c>
      <x:c r="AG736" s="113" t="str">
        <x:v>https://www.adiga.kr/ucp/uvt/uni/univDetailSelection.do?menuId=PCUVTINF2000&amp;searchSyr=2026&amp;unvCd=0000172</x:v>
      </x:c>
    </x:row>
    <x:row r="737" ht="18" customHeight="1">
      <x:c r="A737" s="111" t="n">
        <x:v>2025</x:v>
      </x:c>
      <x:c r="B737" s="111" t="str">
        <x:v>광주광역시</x:v>
      </x:c>
      <x:c r="C737" s="111" t="str">
        <x:v>사립</x:v>
      </x:c>
      <x:c r="D737" s="111" t="str">
        <x:v>조선대학교</x:v>
      </x:c>
      <x:c r="E737" s="111" t="str">
        <x:v>가</x:v>
      </x:c>
      <x:c r="F737" s="111" t="str">
        <x:v>수능(일반전형)</x:v>
      </x:c>
      <x:c r="G737" s="111" t="str">
        <x:v>약학과</x:v>
      </x:c>
      <x:c r="H737" s="136" t="n">
        <x:v>0</x:v>
      </x:c>
      <x:c r="I737" s="136" t="n">
        <x:v>10</x:v>
      </x:c>
      <x:c r="J737" s="136" t="n">
        <x:v>10</x:v>
      </x:c>
      <x:c r="K737" s="137" t="n">
        <x:v>10.5</x:v>
      </x:c>
      <x:c r="L737" s="136" t="n">
        <x:v>12</x:v>
      </x:c>
      <x:c r="M737" s="137" t="n">
        <x:v>796.8</x:v>
      </x:c>
      <x:c r="N737" s="137" t="n">
        <x:v>796</x:v>
      </x:c>
      <x:c r="O737" s="137" t="n">
        <x:v>800</x:v>
      </x:c>
      <x:c r="P737" s="137" t="n">
        <x:v>97</x:v>
      </x:c>
      <x:c r="Q737" s="137" t="n">
        <x:v>98</x:v>
      </x:c>
      <x:c r="R737" s="137" t="n">
        <x:v>98</x:v>
      </x:c>
      <x:c r="S737" s="137" t="n">
        <x:v>80</x:v>
      </x:c>
      <x:c r="T737" s="136" t="n">
        <x:v>1</x:v>
      </x:c>
      <x:c r="U737" s="136" t="n">
        <x:v>1</x:v>
      </x:c>
      <x:c r="V737" s="137"/>
      <x:c r="W737" s="137" t="n">
        <x:f>IF(COUNT(P737:S737)&gt;=3,AVERAGE(P737:S737),"")</x:f>
        <x:v>93.25</x:v>
      </x:c>
      <x:c r="X737" s="137" t="n">
        <x:f>IF(V737&lt;&gt;"",V737,W737)</x:f>
        <x:v>93.25</x:v>
      </x:c>
      <x:c r="Y737" s="111" t="str">
        <x:v>파생: 공식 과목별 70% 백분위 평균</x:v>
      </x:c>
      <x:c r="Z737" s="137" t="n">
        <x:f>'추천_테스트'!$B$8</x:f>
        <x:v>80</x:v>
      </x:c>
      <x:c r="AA737" s="137" t="n">
        <x:f>IF(X737="","",Z737-X737)</x:f>
        <x:v>-13.25</x:v>
      </x:c>
      <x:c r="AB737" s="111" t="str">
        <x:f>IF(X737="","",IF(AA737&gt;='추천_테스트'!$B$10,"안정",IF(AA737&gt;='추천_테스트'!$B$11,"적정",IF(AA737&gt;='추천_테스트'!$B$12,"소신","상향"))))</x:f>
        <x:v>상향</x:v>
      </x:c>
      <x:c r="AC737" s="137" t="n">
        <x:v>0</x:v>
      </x:c>
      <x:c r="AD737" s="137" t="n">
        <x:v>90</x:v>
      </x:c>
      <x:c r="AE737" s="137" t="n">
        <x:v>10</x:v>
      </x:c>
      <x:c r="AF737" s="113" t="str">
        <x:v>v5 지방 사립대 확장: 공식 2025학년도 정시 과목별 70% 백분위를 원형 보존</x:v>
      </x:c>
      <x:c r="AG737" s="113" t="str">
        <x:v>https://www.adiga.kr/ucp/uvt/uni/univDetailSelection.do?menuId=PCUVTINF2000&amp;searchSyr=2026&amp;unvCd=0000172</x:v>
      </x:c>
    </x:row>
    <x:row r="738" ht="18" customHeight="1">
      <x:c r="A738" s="111" t="n">
        <x:v>2025</x:v>
      </x:c>
      <x:c r="B738" s="111" t="str">
        <x:v>부산광역시</x:v>
      </x:c>
      <x:c r="C738" s="111" t="str">
        <x:v>사립</x:v>
      </x:c>
      <x:c r="D738" s="111" t="str">
        <x:v>경성대학교</x:v>
      </x:c>
      <x:c r="E738" s="111" t="str">
        <x:v>가</x:v>
      </x:c>
      <x:c r="F738" s="111" t="str">
        <x:v>수능(일반전형)</x:v>
      </x:c>
      <x:c r="G738" s="111" t="str">
        <x:v>인문문화학부</x:v>
      </x:c>
      <x:c r="H738" s="136" t="n">
        <x:v>5</x:v>
      </x:c>
      <x:c r="I738" s="136" t="n">
        <x:v>11</x:v>
      </x:c>
      <x:c r="J738" s="136" t="n">
        <x:v>16</x:v>
      </x:c>
      <x:c r="K738" s="137" t="n">
        <x:v>3.75</x:v>
      </x:c>
      <x:c r="L738" s="136" t="n">
        <x:v>33</x:v>
      </x:c>
      <x:c r="M738" s="137" t="n">
        <x:v>491</x:v>
      </x:c>
      <x:c r="N738" s="137" t="n">
        <x:v>488</x:v>
      </x:c>
      <x:c r="O738" s="137" t="n">
        <x:v>800</x:v>
      </x:c>
      <x:c r="P738" s="137" t="n">
        <x:v>40</x:v>
      </x:c>
      <x:c r="Q738" s="137" t="n">
        <x:v>33</x:v>
      </x:c>
      <x:c r="R738" s="137" t="n">
        <x:v>32</x:v>
      </x:c>
      <x:c r="S738" s="137" t="n">
        <x:v>21</x:v>
      </x:c>
      <x:c r="T738" s="136" t="n">
        <x:v>2</x:v>
      </x:c>
      <x:c r="U738" s="136"/>
      <x:c r="V738" s="137"/>
      <x:c r="W738" s="137" t="n">
        <x:f>IF(COUNT(P738:S738)&gt;=3,AVERAGE(P738:S738),"")</x:f>
        <x:v>31.5</x:v>
      </x:c>
      <x:c r="X738" s="137" t="n">
        <x:f>IF(V738&lt;&gt;"",V738,W738)</x:f>
        <x:v>31.5</x:v>
      </x:c>
      <x:c r="Y738" s="111" t="str">
        <x:v>파생: 공식 과목별 70% 백분위 평균</x:v>
      </x:c>
      <x:c r="Z738" s="137" t="n">
        <x:f>'추천_테스트'!$B$8</x:f>
        <x:v>80</x:v>
      </x:c>
      <x:c r="AA738" s="137" t="n">
        <x:f>IF(X738="","",Z738-X738)</x:f>
        <x:v>48.5</x:v>
      </x:c>
      <x:c r="AB738" s="111" t="str">
        <x:f>IF(X738="","",IF(AA738&gt;='추천_테스트'!$B$10,"안정",IF(AA738&gt;='추천_테스트'!$B$11,"적정",IF(AA738&gt;='추천_테스트'!$B$12,"소신","상향"))))</x:f>
        <x:v>안정</x:v>
      </x:c>
      <x:c r="AC738" s="137" t="n">
        <x:v>79</x:v>
      </x:c>
      <x:c r="AD738" s="137" t="n">
        <x:v>21</x:v>
      </x:c>
      <x:c r="AE738" s="137" t="n">
        <x:v>0</x:v>
      </x:c>
      <x:c r="AF738" s="113" t="str">
        <x:v>v5 지방 사립대 확장: 공식 2025학년도 과목별 70% 백분위. 한국사 70% 등급이 공개 표에서 비어 있는 행은 공란 유지.</x:v>
      </x:c>
      <x:c r="AG738" s="113" t="str">
        <x:v>https://www.adiga.kr/ucp/uvt/uni/univDetailSelection.do?menuId=PCUVTINF2000&amp;searchSyr=2026&amp;unvCd=0000062</x:v>
      </x:c>
    </x:row>
    <x:row r="739" ht="18" customHeight="1">
      <x:c r="A739" s="111" t="n">
        <x:v>2025</x:v>
      </x:c>
      <x:c r="B739" s="111" t="str">
        <x:v>부산광역시</x:v>
      </x:c>
      <x:c r="C739" s="111" t="str">
        <x:v>사립</x:v>
      </x:c>
      <x:c r="D739" s="111" t="str">
        <x:v>경성대학교</x:v>
      </x:c>
      <x:c r="E739" s="111" t="str">
        <x:v>가</x:v>
      </x:c>
      <x:c r="F739" s="111" t="str">
        <x:v>수능(일반전형)</x:v>
      </x:c>
      <x:c r="G739" s="111" t="str">
        <x:v>유아교육과</x:v>
      </x:c>
      <x:c r="H739" s="136" t="n">
        <x:v>3</x:v>
      </x:c>
      <x:c r="I739" s="136" t="n">
        <x:v>0</x:v>
      </x:c>
      <x:c r="J739" s="136" t="n">
        <x:v>3</x:v>
      </x:c>
      <x:c r="K739" s="137" t="n">
        <x:v>3</x:v>
      </x:c>
      <x:c r="L739" s="136" t="n">
        <x:v>5</x:v>
      </x:c>
      <x:c r="M739" s="137" t="n">
        <x:v>464</x:v>
      </x:c>
      <x:c r="N739" s="137" t="n">
        <x:v>459</x:v>
      </x:c>
      <x:c r="O739" s="137" t="n">
        <x:v>800</x:v>
      </x:c>
      <x:c r="P739" s="137" t="n">
        <x:v>27</x:v>
      </x:c>
      <x:c r="Q739" s="137" t="n">
        <x:v>5</x:v>
      </x:c>
      <x:c r="R739" s="137" t="n">
        <x:v>39</x:v>
      </x:c>
      <x:c r="S739" s="137" t="n">
        <x:v>55</x:v>
      </x:c>
      <x:c r="T739" s="136" t="n">
        <x:v>5</x:v>
      </x:c>
      <x:c r="U739" s="136"/>
      <x:c r="V739" s="137"/>
      <x:c r="W739" s="137" t="n">
        <x:f>IF(COUNT(P739:S739)&gt;=3,AVERAGE(P739:S739),"")</x:f>
        <x:v>31.5</x:v>
      </x:c>
      <x:c r="X739" s="137" t="n">
        <x:f>IF(V739&lt;&gt;"",V739,W739)</x:f>
        <x:v>31.5</x:v>
      </x:c>
      <x:c r="Y739" s="111" t="str">
        <x:v>파생: 공식 과목별 70% 백분위 평균</x:v>
      </x:c>
      <x:c r="Z739" s="137" t="n">
        <x:f>'추천_테스트'!$B$8</x:f>
        <x:v>80</x:v>
      </x:c>
      <x:c r="AA739" s="137" t="n">
        <x:f>IF(X739="","",Z739-X739)</x:f>
        <x:v>48.5</x:v>
      </x:c>
      <x:c r="AB739" s="111" t="str">
        <x:f>IF(X739="","",IF(AA739&gt;='추천_테스트'!$B$10,"안정",IF(AA739&gt;='추천_테스트'!$B$11,"적정",IF(AA739&gt;='추천_테스트'!$B$12,"소신","상향"))))</x:f>
        <x:v>안정</x:v>
      </x:c>
      <x:c r="AC739" s="137" t="n">
        <x:v>100</x:v>
      </x:c>
      <x:c r="AD739" s="137" t="n">
        <x:v>0</x:v>
      </x:c>
      <x:c r="AE739" s="137" t="n">
        <x:v>0</x:v>
      </x:c>
      <x:c r="AF739" s="113" t="str">
        <x:v>v5 지방 사립대 확장: 공식 2025학년도 과목별 70% 백분위. 한국사 70% 등급이 공개 표에서 비어 있는 행은 공란 유지.</x:v>
      </x:c>
      <x:c r="AG739" s="113" t="str">
        <x:v>https://www.adiga.kr/ucp/uvt/uni/univDetailSelection.do?menuId=PCUVTINF2000&amp;searchSyr=2026&amp;unvCd=0000062</x:v>
      </x:c>
    </x:row>
    <x:row r="740" ht="18" customHeight="1">
      <x:c r="A740" s="111" t="n">
        <x:v>2025</x:v>
      </x:c>
      <x:c r="B740" s="111" t="str">
        <x:v>부산광역시</x:v>
      </x:c>
      <x:c r="C740" s="111" t="str">
        <x:v>사립</x:v>
      </x:c>
      <x:c r="D740" s="111" t="str">
        <x:v>경성대학교</x:v>
      </x:c>
      <x:c r="E740" s="111" t="str">
        <x:v>가</x:v>
      </x:c>
      <x:c r="F740" s="111" t="str">
        <x:v>수능(일반전형)</x:v>
      </x:c>
      <x:c r="G740" s="111" t="str">
        <x:v>윤리교육과</x:v>
      </x:c>
      <x:c r="H740" s="136" t="n">
        <x:v>1</x:v>
      </x:c>
      <x:c r="I740" s="136" t="n">
        <x:v>1</x:v>
      </x:c>
      <x:c r="J740" s="136" t="n">
        <x:v>2</x:v>
      </x:c>
      <x:c r="K740" s="137" t="n">
        <x:v>4.5</x:v>
      </x:c>
      <x:c r="L740" s="136" t="n">
        <x:v>1</x:v>
      </x:c>
      <x:c r="M740" s="137" t="n">
        <x:v>543</x:v>
      </x:c>
      <x:c r="N740" s="137" t="n">
        <x:v>543</x:v>
      </x:c>
      <x:c r="O740" s="137" t="n">
        <x:v>800</x:v>
      </x:c>
      <x:c r="P740" s="137" t="n">
        <x:v>72</x:v>
      </x:c>
      <x:c r="Q740" s="137" t="n">
        <x:v>46</x:v>
      </x:c>
      <x:c r="R740" s="137" t="n">
        <x:v>80</x:v>
      </x:c>
      <x:c r="S740" s="137" t="n">
        <x:v>100</x:v>
      </x:c>
      <x:c r="T740" s="136" t="n">
        <x:v>4</x:v>
      </x:c>
      <x:c r="U740" s="136"/>
      <x:c r="V740" s="137"/>
      <x:c r="W740" s="137" t="n">
        <x:f>IF(COUNT(P740:S740)&gt;=3,AVERAGE(P740:S740),"")</x:f>
        <x:v>74.5</x:v>
      </x:c>
      <x:c r="X740" s="137" t="n">
        <x:f>IF(V740&lt;&gt;"",V740,W740)</x:f>
        <x:v>74.5</x:v>
      </x:c>
      <x:c r="Y740" s="111" t="str">
        <x:v>파생: 공식 과목별 70% 백분위 평균</x:v>
      </x:c>
      <x:c r="Z740" s="137" t="n">
        <x:f>'추천_테스트'!$B$8</x:f>
        <x:v>80</x:v>
      </x:c>
      <x:c r="AA740" s="137" t="n">
        <x:f>IF(X740="","",Z740-X740)</x:f>
        <x:v>5.5</x:v>
      </x:c>
      <x:c r="AB740" s="111" t="str">
        <x:f>IF(X740="","",IF(AA740&gt;='추천_테스트'!$B$10,"안정",IF(AA740&gt;='추천_테스트'!$B$11,"적정",IF(AA740&gt;='추천_테스트'!$B$12,"소신","상향"))))</x:f>
        <x:v>안정</x:v>
      </x:c>
      <x:c r="AC740" s="137" t="n">
        <x:v>100</x:v>
      </x:c>
      <x:c r="AD740" s="137" t="n">
        <x:v>0</x:v>
      </x:c>
      <x:c r="AE740" s="137" t="n">
        <x:v>0</x:v>
      </x:c>
      <x:c r="AF740" s="113" t="str">
        <x:v>v5 지방 사립대 확장: 공식 2025학년도 과목별 70% 백분위. 한국사 70% 등급이 공개 표에서 비어 있는 행은 공란 유지.</x:v>
      </x:c>
      <x:c r="AG740" s="113" t="str">
        <x:v>https://www.adiga.kr/ucp/uvt/uni/univDetailSelection.do?menuId=PCUVTINF2000&amp;searchSyr=2026&amp;unvCd=0000062</x:v>
      </x:c>
    </x:row>
    <x:row r="741" ht="18" customHeight="1">
      <x:c r="A741" s="111" t="n">
        <x:v>2025</x:v>
      </x:c>
      <x:c r="B741" s="111" t="str">
        <x:v>부산광역시</x:v>
      </x:c>
      <x:c r="C741" s="111" t="str">
        <x:v>사립</x:v>
      </x:c>
      <x:c r="D741" s="111" t="str">
        <x:v>경성대학교</x:v>
      </x:c>
      <x:c r="E741" s="111" t="str">
        <x:v>가</x:v>
      </x:c>
      <x:c r="F741" s="111" t="str">
        <x:v>수능(일반전형)</x:v>
      </x:c>
      <x:c r="G741" s="111" t="str">
        <x:v>심리학과</x:v>
      </x:c>
      <x:c r="H741" s="136" t="n">
        <x:v>3</x:v>
      </x:c>
      <x:c r="I741" s="136" t="n">
        <x:v>1</x:v>
      </x:c>
      <x:c r="J741" s="136" t="n">
        <x:v>4</x:v>
      </x:c>
      <x:c r="K741" s="137" t="n">
        <x:v>5</x:v>
      </x:c>
      <x:c r="L741" s="136" t="n">
        <x:v>1</x:v>
      </x:c>
      <x:c r="M741" s="137" t="n">
        <x:v>525</x:v>
      </x:c>
      <x:c r="N741" s="137" t="n">
        <x:v>525</x:v>
      </x:c>
      <x:c r="O741" s="137" t="n">
        <x:v>800</x:v>
      </x:c>
      <x:c r="P741" s="137" t="n">
        <x:v>77</x:v>
      </x:c>
      <x:c r="Q741" s="137" t="n">
        <x:v>47</x:v>
      </x:c>
      <x:c r="R741" s="137" t="n">
        <x:v>53</x:v>
      </x:c>
      <x:c r="S741" s="137" t="n">
        <x:v>59</x:v>
      </x:c>
      <x:c r="T741" s="136" t="n">
        <x:v>3</x:v>
      </x:c>
      <x:c r="U741" s="136"/>
      <x:c r="V741" s="137"/>
      <x:c r="W741" s="137" t="n">
        <x:f>IF(COUNT(P741:S741)&gt;=3,AVERAGE(P741:S741),"")</x:f>
        <x:v>59</x:v>
      </x:c>
      <x:c r="X741" s="137" t="n">
        <x:f>IF(V741&lt;&gt;"",V741,W741)</x:f>
        <x:v>59</x:v>
      </x:c>
      <x:c r="Y741" s="111" t="str">
        <x:v>파생: 공식 과목별 70% 백분위 평균</x:v>
      </x:c>
      <x:c r="Z741" s="137" t="n">
        <x:f>'추천_테스트'!$B$8</x:f>
        <x:v>80</x:v>
      </x:c>
      <x:c r="AA741" s="137" t="n">
        <x:f>IF(X741="","",Z741-X741)</x:f>
        <x:v>21</x:v>
      </x:c>
      <x:c r="AB741" s="111" t="str">
        <x:f>IF(X741="","",IF(AA741&gt;='추천_테스트'!$B$10,"안정",IF(AA741&gt;='추천_테스트'!$B$11,"적정",IF(AA741&gt;='추천_테스트'!$B$12,"소신","상향"))))</x:f>
        <x:v>안정</x:v>
      </x:c>
      <x:c r="AC741" s="137" t="n">
        <x:v>100</x:v>
      </x:c>
      <x:c r="AD741" s="137" t="n">
        <x:v>0</x:v>
      </x:c>
      <x:c r="AE741" s="137" t="n">
        <x:v>0</x:v>
      </x:c>
      <x:c r="AF741" s="113" t="str">
        <x:v>v5 지방 사립대 확장: 공식 2025학년도 과목별 70% 백분위. 한국사 70% 등급이 공개 표에서 비어 있는 행은 공란 유지.</x:v>
      </x:c>
      <x:c r="AG741" s="113" t="str">
        <x:v>https://www.adiga.kr/ucp/uvt/uni/univDetailSelection.do?menuId=PCUVTINF2000&amp;searchSyr=2026&amp;unvCd=0000062</x:v>
      </x:c>
    </x:row>
    <x:row r="742" ht="18" customHeight="1">
      <x:c r="A742" s="111" t="n">
        <x:v>2025</x:v>
      </x:c>
      <x:c r="B742" s="111" t="str">
        <x:v>부산광역시</x:v>
      </x:c>
      <x:c r="C742" s="111" t="str">
        <x:v>사립</x:v>
      </x:c>
      <x:c r="D742" s="111" t="str">
        <x:v>경성대학교</x:v>
      </x:c>
      <x:c r="E742" s="111" t="str">
        <x:v>가</x:v>
      </x:c>
      <x:c r="F742" s="111" t="str">
        <x:v>수능(일반전형)</x:v>
      </x:c>
      <x:c r="G742" s="111" t="str">
        <x:v>법학과</x:v>
      </x:c>
      <x:c r="H742" s="136" t="n">
        <x:v>2</x:v>
      </x:c>
      <x:c r="I742" s="136" t="n">
        <x:v>5</x:v>
      </x:c>
      <x:c r="J742" s="136" t="n">
        <x:v>7</x:v>
      </x:c>
      <x:c r="K742" s="137" t="n">
        <x:v>4</x:v>
      </x:c>
      <x:c r="L742" s="136" t="n">
        <x:v>8</x:v>
      </x:c>
      <x:c r="M742" s="137" t="n">
        <x:v>509</x:v>
      </x:c>
      <x:c r="N742" s="137" t="n">
        <x:v>501</x:v>
      </x:c>
      <x:c r="O742" s="137" t="n">
        <x:v>800</x:v>
      </x:c>
      <x:c r="P742" s="137" t="n">
        <x:v>44</x:v>
      </x:c>
      <x:c r="Q742" s="137" t="n">
        <x:v>34</x:v>
      </x:c>
      <x:c r="R742" s="137" t="n">
        <x:v>30</x:v>
      </x:c>
      <x:c r="S742" s="137" t="n">
        <x:v>35</x:v>
      </x:c>
      <x:c r="T742" s="136" t="n">
        <x:v>6</x:v>
      </x:c>
      <x:c r="U742" s="136"/>
      <x:c r="V742" s="137"/>
      <x:c r="W742" s="137" t="n">
        <x:f>IF(COUNT(P742:S742)&gt;=3,AVERAGE(P742:S742),"")</x:f>
        <x:v>35.75</x:v>
      </x:c>
      <x:c r="X742" s="137" t="n">
        <x:f>IF(V742&lt;&gt;"",V742,W742)</x:f>
        <x:v>35.75</x:v>
      </x:c>
      <x:c r="Y742" s="111" t="str">
        <x:v>파생: 공식 과목별 70% 백분위 평균</x:v>
      </x:c>
      <x:c r="Z742" s="137" t="n">
        <x:f>'추천_테스트'!$B$8</x:f>
        <x:v>80</x:v>
      </x:c>
      <x:c r="AA742" s="137" t="n">
        <x:f>IF(X742="","",Z742-X742)</x:f>
        <x:v>44.25</x:v>
      </x:c>
      <x:c r="AB742" s="111" t="str">
        <x:f>IF(X742="","",IF(AA742&gt;='추천_테스트'!$B$10,"안정",IF(AA742&gt;='추천_테스트'!$B$11,"적정",IF(AA742&gt;='추천_테스트'!$B$12,"소신","상향"))))</x:f>
        <x:v>안정</x:v>
      </x:c>
      <x:c r="AC742" s="137" t="n">
        <x:v>75</x:v>
      </x:c>
      <x:c r="AD742" s="137" t="n">
        <x:v>25</x:v>
      </x:c>
      <x:c r="AE742" s="137" t="n">
        <x:v>0</x:v>
      </x:c>
      <x:c r="AF742" s="113" t="str">
        <x:v>v5 지방 사립대 확장: 공식 2025학년도 과목별 70% 백분위. 한국사 70% 등급이 공개 표에서 비어 있는 행은 공란 유지.</x:v>
      </x:c>
      <x:c r="AG742" s="113" t="str">
        <x:v>https://www.adiga.kr/ucp/uvt/uni/univDetailSelection.do?menuId=PCUVTINF2000&amp;searchSyr=2026&amp;unvCd=0000062</x:v>
      </x:c>
    </x:row>
    <x:row r="743" ht="18" customHeight="1">
      <x:c r="A743" s="111" t="n">
        <x:v>2025</x:v>
      </x:c>
      <x:c r="B743" s="111" t="str">
        <x:v>부산광역시</x:v>
      </x:c>
      <x:c r="C743" s="111" t="str">
        <x:v>사립</x:v>
      </x:c>
      <x:c r="D743" s="111" t="str">
        <x:v>경성대학교</x:v>
      </x:c>
      <x:c r="E743" s="111" t="str">
        <x:v>가</x:v>
      </x:c>
      <x:c r="F743" s="111" t="str">
        <x:v>수능(일반전형)</x:v>
      </x:c>
      <x:c r="G743" s="111" t="str">
        <x:v>미디어커뮤니케이션학과</x:v>
      </x:c>
      <x:c r="H743" s="136" t="n">
        <x:v>2</x:v>
      </x:c>
      <x:c r="I743" s="136" t="n">
        <x:v>2</x:v>
      </x:c>
      <x:c r="J743" s="136" t="n">
        <x:v>4</x:v>
      </x:c>
      <x:c r="K743" s="137" t="n">
        <x:v>4.5</x:v>
      </x:c>
      <x:c r="L743" s="136" t="n">
        <x:v>6</x:v>
      </x:c>
      <x:c r="M743" s="137" t="n">
        <x:v>525</x:v>
      </x:c>
      <x:c r="N743" s="137" t="n">
        <x:v>525</x:v>
      </x:c>
      <x:c r="O743" s="137" t="n">
        <x:v>800</x:v>
      </x:c>
      <x:c r="P743" s="137" t="n">
        <x:v>51</x:v>
      </x:c>
      <x:c r="Q743" s="137" t="n">
        <x:v>48</x:v>
      </x:c>
      <x:c r="R743" s="137" t="n">
        <x:v>80</x:v>
      </x:c>
      <x:c r="S743" s="137" t="n">
        <x:v>63</x:v>
      </x:c>
      <x:c r="T743" s="136" t="n">
        <x:v>3</x:v>
      </x:c>
      <x:c r="U743" s="136"/>
      <x:c r="V743" s="137"/>
      <x:c r="W743" s="137" t="n">
        <x:f>IF(COUNT(P743:S743)&gt;=3,AVERAGE(P743:S743),"")</x:f>
        <x:v>60.5</x:v>
      </x:c>
      <x:c r="X743" s="137" t="n">
        <x:f>IF(V743&lt;&gt;"",V743,W743)</x:f>
        <x:v>60.5</x:v>
      </x:c>
      <x:c r="Y743" s="111" t="str">
        <x:v>파생: 공식 과목별 70% 백분위 평균</x:v>
      </x:c>
      <x:c r="Z743" s="137" t="n">
        <x:f>'추천_테스트'!$B$8</x:f>
        <x:v>80</x:v>
      </x:c>
      <x:c r="AA743" s="137" t="n">
        <x:f>IF(X743="","",Z743-X743)</x:f>
        <x:v>19.5</x:v>
      </x:c>
      <x:c r="AB743" s="111" t="str">
        <x:f>IF(X743="","",IF(AA743&gt;='추천_테스트'!$B$10,"안정",IF(AA743&gt;='추천_테스트'!$B$11,"적정",IF(AA743&gt;='추천_테스트'!$B$12,"소신","상향"))))</x:f>
        <x:v>안정</x:v>
      </x:c>
      <x:c r="AC743" s="137" t="n">
        <x:v>100</x:v>
      </x:c>
      <x:c r="AD743" s="137" t="n">
        <x:v>0</x:v>
      </x:c>
      <x:c r="AE743" s="137" t="n">
        <x:v>0</x:v>
      </x:c>
      <x:c r="AF743" s="113" t="str">
        <x:v>v5 지방 사립대 확장: 공식 2025학년도 과목별 70% 백분위. 한국사 70% 등급이 공개 표에서 비어 있는 행은 공란 유지.</x:v>
      </x:c>
      <x:c r="AG743" s="113" t="str">
        <x:v>https://www.adiga.kr/ucp/uvt/uni/univDetailSelection.do?menuId=PCUVTINF2000&amp;searchSyr=2026&amp;unvCd=0000062</x:v>
      </x:c>
    </x:row>
    <x:row r="744" ht="18" customHeight="1">
      <x:c r="A744" s="111" t="n">
        <x:v>2025</x:v>
      </x:c>
      <x:c r="B744" s="111" t="str">
        <x:v>부산광역시</x:v>
      </x:c>
      <x:c r="C744" s="111" t="str">
        <x:v>사립</x:v>
      </x:c>
      <x:c r="D744" s="111" t="str">
        <x:v>경성대학교</x:v>
      </x:c>
      <x:c r="E744" s="111" t="str">
        <x:v>가</x:v>
      </x:c>
      <x:c r="F744" s="111" t="str">
        <x:v>수능(일반전형)</x:v>
      </x:c>
      <x:c r="G744" s="111" t="str">
        <x:v>사회복지학과</x:v>
      </x:c>
      <x:c r="H744" s="136" t="n">
        <x:v>3</x:v>
      </x:c>
      <x:c r="I744" s="136" t="n">
        <x:v>1</x:v>
      </x:c>
      <x:c r="J744" s="136" t="n">
        <x:v>4</x:v>
      </x:c>
      <x:c r="K744" s="137" t="n">
        <x:v>5.75</x:v>
      </x:c>
      <x:c r="L744" s="136" t="n">
        <x:v>7</x:v>
      </x:c>
      <x:c r="M744" s="137" t="n">
        <x:v>499</x:v>
      </x:c>
      <x:c r="N744" s="137" t="n">
        <x:v>499</x:v>
      </x:c>
      <x:c r="O744" s="137" t="n">
        <x:v>800</x:v>
      </x:c>
      <x:c r="P744" s="137" t="n">
        <x:v>44</x:v>
      </x:c>
      <x:c r="Q744" s="137" t="n">
        <x:v>54</x:v>
      </x:c>
      <x:c r="R744" s="137" t="n">
        <x:v>59</x:v>
      </x:c>
      <x:c r="S744" s="137" t="n">
        <x:v>37</x:v>
      </x:c>
      <x:c r="T744" s="136" t="n">
        <x:v>4</x:v>
      </x:c>
      <x:c r="U744" s="136"/>
      <x:c r="V744" s="137"/>
      <x:c r="W744" s="137" t="n">
        <x:f>IF(COUNT(P744:S744)&gt;=3,AVERAGE(P744:S744),"")</x:f>
        <x:v>48.5</x:v>
      </x:c>
      <x:c r="X744" s="137" t="n">
        <x:f>IF(V744&lt;&gt;"",V744,W744)</x:f>
        <x:v>48.5</x:v>
      </x:c>
      <x:c r="Y744" s="111" t="str">
        <x:v>파생: 공식 과목별 70% 백분위 평균</x:v>
      </x:c>
      <x:c r="Z744" s="137" t="n">
        <x:f>'추천_테스트'!$B$8</x:f>
        <x:v>80</x:v>
      </x:c>
      <x:c r="AA744" s="137" t="n">
        <x:f>IF(X744="","",Z744-X744)</x:f>
        <x:v>31.5</x:v>
      </x:c>
      <x:c r="AB744" s="111" t="str">
        <x:f>IF(X744="","",IF(AA744&gt;='추천_테스트'!$B$10,"안정",IF(AA744&gt;='추천_테스트'!$B$11,"적정",IF(AA744&gt;='추천_테스트'!$B$12,"소신","상향"))))</x:f>
        <x:v>안정</x:v>
      </x:c>
      <x:c r="AC744" s="137" t="n">
        <x:v>100</x:v>
      </x:c>
      <x:c r="AD744" s="137" t="n">
        <x:v>0</x:v>
      </x:c>
      <x:c r="AE744" s="137" t="n">
        <x:v>0</x:v>
      </x:c>
      <x:c r="AF744" s="113" t="str">
        <x:v>v5 지방 사립대 확장: 공식 2025학년도 과목별 70% 백분위. 한국사 70% 등급이 공개 표에서 비어 있는 행은 공란 유지.</x:v>
      </x:c>
      <x:c r="AG744" s="113" t="str">
        <x:v>https://www.adiga.kr/ucp/uvt/uni/univDetailSelection.do?menuId=PCUVTINF2000&amp;searchSyr=2026&amp;unvCd=0000062</x:v>
      </x:c>
    </x:row>
    <x:row r="745" ht="18" customHeight="1">
      <x:c r="A745" s="111" t="n">
        <x:v>2025</x:v>
      </x:c>
      <x:c r="B745" s="111" t="str">
        <x:v>부산광역시</x:v>
      </x:c>
      <x:c r="C745" s="111" t="str">
        <x:v>사립</x:v>
      </x:c>
      <x:c r="D745" s="111" t="str">
        <x:v>동의대학교</x:v>
      </x:c>
      <x:c r="E745" s="111" t="str">
        <x:v>가</x:v>
      </x:c>
      <x:c r="F745" s="111" t="str">
        <x:v>수능(일반전형)</x:v>
      </x:c>
      <x:c r="G745" s="111" t="str">
        <x:v>국어국문학과</x:v>
      </x:c>
      <x:c r="H745" s="136" t="n">
        <x:v>0</x:v>
      </x:c>
      <x:c r="I745" s="136" t="n">
        <x:v>10</x:v>
      </x:c>
      <x:c r="J745" s="136" t="n">
        <x:v>10</x:v>
      </x:c>
      <x:c r="K745" s="137" t="n">
        <x:v>2.4</x:v>
      </x:c>
      <x:c r="L745" s="136" t="n">
        <x:v>9</x:v>
      </x:c>
      <x:c r="M745" s="137" t="n">
        <x:v>402</x:v>
      </x:c>
      <x:c r="N745" s="137" t="n">
        <x:v>396</x:v>
      </x:c>
      <x:c r="O745" s="137" t="n">
        <x:v>800</x:v>
      </x:c>
      <x:c r="P745" s="137" t="n">
        <x:v>37</x:v>
      </x:c>
      <x:c r="Q745" s="137" t="n">
        <x:v>51</x:v>
      </x:c>
      <x:c r="R745" s="137" t="n">
        <x:v>35</x:v>
      </x:c>
      <x:c r="S745" s="137" t="n">
        <x:v>37</x:v>
      </x:c>
      <x:c r="T745" s="136" t="n">
        <x:v>5</x:v>
      </x:c>
      <x:c r="U745" s="136" t="n">
        <x:v>2</x:v>
      </x:c>
      <x:c r="V745" s="137"/>
      <x:c r="W745" s="137" t="n">
        <x:f>IF(COUNT(P745:S745)&gt;=3,AVERAGE(P745:S745),"")</x:f>
        <x:v>40</x:v>
      </x:c>
      <x:c r="X745" s="137" t="n">
        <x:f>IF(V745&lt;&gt;"",V745,W745)</x:f>
        <x:v>40</x:v>
      </x:c>
      <x:c r="Y745" s="111" t="str">
        <x:v>파생: 공식 과목별 70% 백분위 평균</x:v>
      </x:c>
      <x:c r="Z745" s="137" t="n">
        <x:f>'추천_테스트'!$B$8</x:f>
        <x:v>80</x:v>
      </x:c>
      <x:c r="AA745" s="137" t="n">
        <x:f>IF(X745="","",Z745-X745)</x:f>
        <x:v>40</x:v>
      </x:c>
      <x:c r="AB745" s="111" t="str">
        <x:f>IF(X745="","",IF(AA745&gt;='추천_테스트'!$B$10,"안정",IF(AA745&gt;='추천_테스트'!$B$11,"적정",IF(AA745&gt;='추천_테스트'!$B$12,"소신","상향"))))</x:f>
        <x:v>안정</x:v>
      </x:c>
      <x:c r="AC745" s="137" t="n">
        <x:v>90</x:v>
      </x:c>
      <x:c r="AD745" s="137" t="n">
        <x:v>10</x:v>
      </x:c>
      <x:c r="AE745" s="137" t="n">
        <x:v>0</x:v>
      </x:c>
      <x:c r="AF745" s="113" t="str">
        <x:v>v5 지방 사립대 확장: 공식 2025학년도 정시 과목별 70% 백분위를 원형 보존</x:v>
      </x:c>
      <x:c r="AG745" s="113" t="str">
        <x:v>https://www.adiga.kr/ucp/uvt/uni/univDetailSelection.do?menuId=PCUVTINF2000&amp;searchSyr=2026&amp;unvCd=0000107</x:v>
      </x:c>
    </x:row>
    <x:row r="746" ht="18" customHeight="1">
      <x:c r="A746" s="111" t="n">
        <x:v>2025</x:v>
      </x:c>
      <x:c r="B746" s="111" t="str">
        <x:v>부산광역시</x:v>
      </x:c>
      <x:c r="C746" s="111" t="str">
        <x:v>사립</x:v>
      </x:c>
      <x:c r="D746" s="111" t="str">
        <x:v>동의대학교</x:v>
      </x:c>
      <x:c r="E746" s="111" t="str">
        <x:v>가</x:v>
      </x:c>
      <x:c r="F746" s="111" t="str">
        <x:v>수능(일반전형)</x:v>
      </x:c>
      <x:c r="G746" s="111" t="str">
        <x:v>중어중국학과</x:v>
      </x:c>
      <x:c r="H746" s="136" t="n">
        <x:v>0</x:v>
      </x:c>
      <x:c r="I746" s="136" t="n">
        <x:v>14</x:v>
      </x:c>
      <x:c r="J746" s="136" t="n">
        <x:v>14</x:v>
      </x:c>
      <x:c r="K746" s="137" t="n">
        <x:v>2.64</x:v>
      </x:c>
      <x:c r="L746" s="136" t="n">
        <x:v>10</x:v>
      </x:c>
      <x:c r="M746" s="137" t="n">
        <x:v>400</x:v>
      </x:c>
      <x:c r="N746" s="137" t="n">
        <x:v>398</x:v>
      </x:c>
      <x:c r="O746" s="137" t="n">
        <x:v>800</x:v>
      </x:c>
      <x:c r="P746" s="137" t="n">
        <x:v>49</x:v>
      </x:c>
      <x:c r="Q746" s="137" t="n">
        <x:v>30</x:v>
      </x:c>
      <x:c r="R746" s="137" t="n">
        <x:v>46</x:v>
      </x:c>
      <x:c r="S746" s="137" t="n">
        <x:v>23</x:v>
      </x:c>
      <x:c r="T746" s="136" t="n">
        <x:v>3</x:v>
      </x:c>
      <x:c r="U746" s="136" t="n">
        <x:v>3</x:v>
      </x:c>
      <x:c r="V746" s="137"/>
      <x:c r="W746" s="137" t="n">
        <x:f>IF(COUNT(P746:S746)&gt;=3,AVERAGE(P746:S746),"")</x:f>
        <x:v>37</x:v>
      </x:c>
      <x:c r="X746" s="137" t="n">
        <x:f>IF(V746&lt;&gt;"",V746,W746)</x:f>
        <x:v>37</x:v>
      </x:c>
      <x:c r="Y746" s="111" t="str">
        <x:v>파생: 공식 과목별 70% 백분위 평균</x:v>
      </x:c>
      <x:c r="Z746" s="137" t="n">
        <x:f>'추천_테스트'!$B$8</x:f>
        <x:v>80</x:v>
      </x:c>
      <x:c r="AA746" s="137" t="n">
        <x:f>IF(X746="","",Z746-X746)</x:f>
        <x:v>43</x:v>
      </x:c>
      <x:c r="AB746" s="111" t="str">
        <x:f>IF(X746="","",IF(AA746&gt;='추천_테스트'!$B$10,"안정",IF(AA746&gt;='추천_테스트'!$B$11,"적정",IF(AA746&gt;='추천_테스트'!$B$12,"소신","상향"))))</x:f>
        <x:v>안정</x:v>
      </x:c>
      <x:c r="AC746" s="137" t="n">
        <x:v>92.86</x:v>
      </x:c>
      <x:c r="AD746" s="137" t="n">
        <x:v>7.14</x:v>
      </x:c>
      <x:c r="AE746" s="137" t="n">
        <x:v>0</x:v>
      </x:c>
      <x:c r="AF746" s="113" t="str">
        <x:v>v5 지방 사립대 확장: 공식 2025학년도 정시 과목별 70% 백분위를 원형 보존</x:v>
      </x:c>
      <x:c r="AG746" s="113" t="str">
        <x:v>https://www.adiga.kr/ucp/uvt/uni/univDetailSelection.do?menuId=PCUVTINF2000&amp;searchSyr=2026&amp;unvCd=0000107</x:v>
      </x:c>
    </x:row>
    <x:row r="747" ht="18" customHeight="1">
      <x:c r="A747" s="111" t="n">
        <x:v>2025</x:v>
      </x:c>
      <x:c r="B747" s="111" t="str">
        <x:v>부산광역시</x:v>
      </x:c>
      <x:c r="C747" s="111" t="str">
        <x:v>사립</x:v>
      </x:c>
      <x:c r="D747" s="111" t="str">
        <x:v>동의대학교</x:v>
      </x:c>
      <x:c r="E747" s="111" t="str">
        <x:v>가</x:v>
      </x:c>
      <x:c r="F747" s="111" t="str">
        <x:v>수능(일반전형)</x:v>
      </x:c>
      <x:c r="G747" s="111" t="str">
        <x:v>문헌정보학과</x:v>
      </x:c>
      <x:c r="H747" s="136" t="n">
        <x:v>0</x:v>
      </x:c>
      <x:c r="I747" s="136" t="n">
        <x:v>11</x:v>
      </x:c>
      <x:c r="J747" s="136" t="n">
        <x:v>11</x:v>
      </x:c>
      <x:c r="K747" s="137" t="n">
        <x:v>2.45</x:v>
      </x:c>
      <x:c r="L747" s="136" t="n">
        <x:v>7</x:v>
      </x:c>
      <x:c r="M747" s="137" t="n">
        <x:v>397</x:v>
      </x:c>
      <x:c r="N747" s="137" t="n">
        <x:v>392</x:v>
      </x:c>
      <x:c r="O747" s="137" t="n">
        <x:v>800</x:v>
      </x:c>
      <x:c r="P747" s="137" t="n">
        <x:v>56</x:v>
      </x:c>
      <x:c r="Q747" s="137" t="n">
        <x:v>33</x:v>
      </x:c>
      <x:c r="R747" s="137" t="n">
        <x:v>38</x:v>
      </x:c>
      <x:c r="S747" s="137" t="n">
        <x:v>20</x:v>
      </x:c>
      <x:c r="T747" s="136" t="n">
        <x:v>4</x:v>
      </x:c>
      <x:c r="U747" s="136" t="n">
        <x:v>4</x:v>
      </x:c>
      <x:c r="V747" s="137"/>
      <x:c r="W747" s="137" t="n">
        <x:f>IF(COUNT(P747:S747)&gt;=3,AVERAGE(P747:S747),"")</x:f>
        <x:v>36.75</x:v>
      </x:c>
      <x:c r="X747" s="137" t="n">
        <x:f>IF(V747&lt;&gt;"",V747,W747)</x:f>
        <x:v>36.75</x:v>
      </x:c>
      <x:c r="Y747" s="111" t="str">
        <x:v>파생: 공식 과목별 70% 백분위 평균</x:v>
      </x:c>
      <x:c r="Z747" s="137" t="n">
        <x:f>'추천_테스트'!$B$8</x:f>
        <x:v>80</x:v>
      </x:c>
      <x:c r="AA747" s="137" t="n">
        <x:f>IF(X747="","",Z747-X747)</x:f>
        <x:v>43.25</x:v>
      </x:c>
      <x:c r="AB747" s="111" t="str">
        <x:f>IF(X747="","",IF(AA747&gt;='추천_테스트'!$B$10,"안정",IF(AA747&gt;='추천_테스트'!$B$11,"적정",IF(AA747&gt;='추천_테스트'!$B$12,"소신","상향"))))</x:f>
        <x:v>안정</x:v>
      </x:c>
      <x:c r="AC747" s="137" t="n">
        <x:v>81.82</x:v>
      </x:c>
      <x:c r="AD747" s="137" t="n">
        <x:v>18.18</x:v>
      </x:c>
      <x:c r="AE747" s="137" t="n">
        <x:v>0</x:v>
      </x:c>
      <x:c r="AF747" s="113" t="str">
        <x:v>v5 지방 사립대 확장: 공식 2025학년도 정시 과목별 70% 백분위를 원형 보존</x:v>
      </x:c>
      <x:c r="AG747" s="113" t="str">
        <x:v>https://www.adiga.kr/ucp/uvt/uni/univDetailSelection.do?menuId=PCUVTINF2000&amp;searchSyr=2026&amp;unvCd=0000107</x:v>
      </x:c>
    </x:row>
    <x:row r="748" ht="18" customHeight="1">
      <x:c r="A748" s="111" t="n">
        <x:v>2025</x:v>
      </x:c>
      <x:c r="B748" s="111" t="str">
        <x:v>부산광역시</x:v>
      </x:c>
      <x:c r="C748" s="111" t="str">
        <x:v>사립</x:v>
      </x:c>
      <x:c r="D748" s="111" t="str">
        <x:v>동의대학교</x:v>
      </x:c>
      <x:c r="E748" s="111" t="str">
        <x:v>가</x:v>
      </x:c>
      <x:c r="F748" s="111" t="str">
        <x:v>수능(일반전형)</x:v>
      </x:c>
      <x:c r="G748" s="111" t="str">
        <x:v>평생교육·청소년상담학과</x:v>
      </x:c>
      <x:c r="H748" s="136" t="n">
        <x:v>0</x:v>
      </x:c>
      <x:c r="I748" s="136" t="n">
        <x:v>22</x:v>
      </x:c>
      <x:c r="J748" s="136" t="n">
        <x:v>22</x:v>
      </x:c>
      <x:c r="K748" s="137" t="n">
        <x:v>1.77</x:v>
      </x:c>
      <x:c r="L748" s="136" t="n">
        <x:v>18</x:v>
      </x:c>
      <x:c r="M748" s="137" t="n">
        <x:v>364</x:v>
      </x:c>
      <x:c r="N748" s="137" t="n">
        <x:v>350</x:v>
      </x:c>
      <x:c r="O748" s="137" t="n">
        <x:v>800</x:v>
      </x:c>
      <x:c r="P748" s="137" t="n">
        <x:v>33</x:v>
      </x:c>
      <x:c r="Q748" s="137" t="n">
        <x:v>23</x:v>
      </x:c>
      <x:c r="R748" s="137" t="n">
        <x:v>32</x:v>
      </x:c>
      <x:c r="S748" s="137" t="n">
        <x:v>16</x:v>
      </x:c>
      <x:c r="T748" s="136" t="n">
        <x:v>6</x:v>
      </x:c>
      <x:c r="U748" s="136" t="n">
        <x:v>4</x:v>
      </x:c>
      <x:c r="V748" s="137"/>
      <x:c r="W748" s="137" t="n">
        <x:f>IF(COUNT(P748:S748)&gt;=3,AVERAGE(P748:S748),"")</x:f>
        <x:v>26</x:v>
      </x:c>
      <x:c r="X748" s="137" t="n">
        <x:f>IF(V748&lt;&gt;"",V748,W748)</x:f>
        <x:v>26</x:v>
      </x:c>
      <x:c r="Y748" s="111" t="str">
        <x:v>파생: 공식 과목별 70% 백분위 평균</x:v>
      </x:c>
      <x:c r="Z748" s="137" t="n">
        <x:f>'추천_테스트'!$B$8</x:f>
        <x:v>80</x:v>
      </x:c>
      <x:c r="AA748" s="137" t="n">
        <x:f>IF(X748="","",Z748-X748)</x:f>
        <x:v>54</x:v>
      </x:c>
      <x:c r="AB748" s="111" t="str">
        <x:f>IF(X748="","",IF(AA748&gt;='추천_테스트'!$B$10,"안정",IF(AA748&gt;='추천_테스트'!$B$11,"적정",IF(AA748&gt;='추천_테스트'!$B$12,"소신","상향"))))</x:f>
        <x:v>안정</x:v>
      </x:c>
      <x:c r="AC748" s="137" t="n">
        <x:v>72.73</x:v>
      </x:c>
      <x:c r="AD748" s="137" t="n">
        <x:v>22.73</x:v>
      </x:c>
      <x:c r="AE748" s="137" t="n">
        <x:v>4.55</x:v>
      </x:c>
      <x:c r="AF748" s="113" t="str">
        <x:v>v5 지방 사립대 확장: 공식 2025학년도 정시 과목별 70% 백분위를 원형 보존</x:v>
      </x:c>
      <x:c r="AG748" s="113" t="str">
        <x:v>https://www.adiga.kr/ucp/uvt/uni/univDetailSelection.do?menuId=PCUVTINF2000&amp;searchSyr=2026&amp;unvCd=0000107</x:v>
      </x:c>
    </x:row>
    <x:row r="749" ht="18" customHeight="1">
      <x:c r="A749" s="111" t="n">
        <x:v>2025</x:v>
      </x:c>
      <x:c r="B749" s="111" t="str">
        <x:v>부산광역시</x:v>
      </x:c>
      <x:c r="C749" s="111" t="str">
        <x:v>사립</x:v>
      </x:c>
      <x:c r="D749" s="111" t="str">
        <x:v>동의대학교</x:v>
      </x:c>
      <x:c r="E749" s="111" t="str">
        <x:v>가</x:v>
      </x:c>
      <x:c r="F749" s="111" t="str">
        <x:v>수능(일반전형)</x:v>
      </x:c>
      <x:c r="G749" s="111" t="str">
        <x:v>광고홍보학과</x:v>
      </x:c>
      <x:c r="H749" s="136" t="n">
        <x:v>0</x:v>
      </x:c>
      <x:c r="I749" s="136" t="n">
        <x:v>4</x:v>
      </x:c>
      <x:c r="J749" s="136" t="n">
        <x:v>4</x:v>
      </x:c>
      <x:c r="K749" s="137" t="n">
        <x:v>4</x:v>
      </x:c>
      <x:c r="L749" s="136" t="n">
        <x:v>9</x:v>
      </x:c>
      <x:c r="M749" s="137" t="n">
        <x:v>410</x:v>
      </x:c>
      <x:c r="N749" s="137" t="n">
        <x:v>410</x:v>
      </x:c>
      <x:c r="O749" s="137" t="n">
        <x:v>800</x:v>
      </x:c>
      <x:c r="P749" s="137" t="n">
        <x:v>31</x:v>
      </x:c>
      <x:c r="Q749" s="137" t="n">
        <x:v>50</x:v>
      </x:c>
      <x:c r="R749" s="137" t="n">
        <x:v>74</x:v>
      </x:c>
      <x:c r="S749" s="137" t="n">
        <x:v>49</x:v>
      </x:c>
      <x:c r="T749" s="136" t="n">
        <x:v>5</x:v>
      </x:c>
      <x:c r="U749" s="136" t="n">
        <x:v>4</x:v>
      </x:c>
      <x:c r="V749" s="137"/>
      <x:c r="W749" s="137" t="n">
        <x:f>IF(COUNT(P749:S749)&gt;=3,AVERAGE(P749:S749),"")</x:f>
        <x:v>51</x:v>
      </x:c>
      <x:c r="X749" s="137" t="n">
        <x:f>IF(V749&lt;&gt;"",V749,W749)</x:f>
        <x:v>51</x:v>
      </x:c>
      <x:c r="Y749" s="111" t="str">
        <x:v>파생: 공식 과목별 70% 백분위 평균</x:v>
      </x:c>
      <x:c r="Z749" s="137" t="n">
        <x:f>'추천_테스트'!$B$8</x:f>
        <x:v>80</x:v>
      </x:c>
      <x:c r="AA749" s="137" t="n">
        <x:f>IF(X749="","",Z749-X749)</x:f>
        <x:v>29</x:v>
      </x:c>
      <x:c r="AB749" s="111" t="str">
        <x:f>IF(X749="","",IF(AA749&gt;='추천_테스트'!$B$10,"안정",IF(AA749&gt;='추천_테스트'!$B$11,"적정",IF(AA749&gt;='추천_테스트'!$B$12,"소신","상향"))))</x:f>
        <x:v>안정</x:v>
      </x:c>
      <x:c r="AC749" s="137" t="n">
        <x:v>75</x:v>
      </x:c>
      <x:c r="AD749" s="137" t="n">
        <x:v>0</x:v>
      </x:c>
      <x:c r="AE749" s="137" t="n">
        <x:v>25</x:v>
      </x:c>
      <x:c r="AF749" s="113" t="str">
        <x:v>v5 지방 사립대 확장: 공식 2025학년도 정시 과목별 70% 백분위를 원형 보존</x:v>
      </x:c>
      <x:c r="AG749" s="113" t="str">
        <x:v>https://www.adiga.kr/ucp/uvt/uni/univDetailSelection.do?menuId=PCUVTINF2000&amp;searchSyr=2026&amp;unvCd=0000107</x:v>
      </x:c>
    </x:row>
    <x:row r="750" ht="18" customHeight="1">
      <x:c r="A750" s="111" t="n">
        <x:v>2025</x:v>
      </x:c>
      <x:c r="B750" s="111" t="str">
        <x:v>부산광역시</x:v>
      </x:c>
      <x:c r="C750" s="111" t="str">
        <x:v>사립</x:v>
      </x:c>
      <x:c r="D750" s="111" t="str">
        <x:v>동의대학교</x:v>
      </x:c>
      <x:c r="E750" s="111" t="str">
        <x:v>가</x:v>
      </x:c>
      <x:c r="F750" s="111" t="str">
        <x:v>수능(일반전형)</x:v>
      </x:c>
      <x:c r="G750" s="111" t="str">
        <x:v>행정학과</x:v>
      </x:c>
      <x:c r="H750" s="136" t="n">
        <x:v>0</x:v>
      </x:c>
      <x:c r="I750" s="136" t="n">
        <x:v>2</x:v>
      </x:c>
      <x:c r="J750" s="136" t="n">
        <x:v>2</x:v>
      </x:c>
      <x:c r="K750" s="137" t="n">
        <x:v>5</x:v>
      </x:c>
      <x:c r="L750" s="136" t="n">
        <x:v>1</x:v>
      </x:c>
      <x:c r="M750" s="137" t="n">
        <x:v>425</x:v>
      </x:c>
      <x:c r="N750" s="137" t="n">
        <x:v>425</x:v>
      </x:c>
      <x:c r="O750" s="137" t="n">
        <x:v>800</x:v>
      </x:c>
      <x:c r="P750" s="137" t="n">
        <x:v>56</x:v>
      </x:c>
      <x:c r="Q750" s="137" t="n">
        <x:v>30</x:v>
      </x:c>
      <x:c r="R750" s="137" t="n">
        <x:v>61</x:v>
      </x:c>
      <x:c r="S750" s="137" t="n">
        <x:v>78</x:v>
      </x:c>
      <x:c r="T750" s="136" t="n">
        <x:v>3</x:v>
      </x:c>
      <x:c r="U750" s="136" t="n">
        <x:v>3</x:v>
      </x:c>
      <x:c r="V750" s="137"/>
      <x:c r="W750" s="137" t="n">
        <x:f>IF(COUNT(P750:S750)&gt;=3,AVERAGE(P750:S750),"")</x:f>
        <x:v>56.25</x:v>
      </x:c>
      <x:c r="X750" s="137" t="n">
        <x:f>IF(V750&lt;&gt;"",V750,W750)</x:f>
        <x:v>56.25</x:v>
      </x:c>
      <x:c r="Y750" s="111" t="str">
        <x:v>파생: 공식 과목별 70% 백분위 평균</x:v>
      </x:c>
      <x:c r="Z750" s="137" t="n">
        <x:f>'추천_테스트'!$B$8</x:f>
        <x:v>80</x:v>
      </x:c>
      <x:c r="AA750" s="137" t="n">
        <x:f>IF(X750="","",Z750-X750)</x:f>
        <x:v>23.75</x:v>
      </x:c>
      <x:c r="AB750" s="111" t="str">
        <x:f>IF(X750="","",IF(AA750&gt;='추천_테스트'!$B$10,"안정",IF(AA750&gt;='추천_테스트'!$B$11,"적정",IF(AA750&gt;='추천_테스트'!$B$12,"소신","상향"))))</x:f>
        <x:v>안정</x:v>
      </x:c>
      <x:c r="AC750" s="137" t="n">
        <x:v>100</x:v>
      </x:c>
      <x:c r="AD750" s="137" t="n">
        <x:v>0</x:v>
      </x:c>
      <x:c r="AE750" s="137" t="n">
        <x:v>0</x:v>
      </x:c>
      <x:c r="AF750" s="113" t="str">
        <x:v>v5 지방 사립대 확장: 공식 2025학년도 정시 과목별 70% 백분위를 원형 보존</x:v>
      </x:c>
      <x:c r="AG750" s="113" t="str">
        <x:v>https://www.adiga.kr/ucp/uvt/uni/univDetailSelection.do?menuId=PCUVTINF2000&amp;searchSyr=2026&amp;unvCd=0000107</x:v>
      </x:c>
    </x:row>
    <x:row r="751" ht="18" customHeight="1">
      <x:c r="A751" s="111" t="n">
        <x:v>2025</x:v>
      </x:c>
      <x:c r="B751" s="111" t="str">
        <x:v>부산광역시</x:v>
      </x:c>
      <x:c r="C751" s="111" t="str">
        <x:v>사립</x:v>
      </x:c>
      <x:c r="D751" s="111" t="str">
        <x:v>동의대학교</x:v>
      </x:c>
      <x:c r="E751" s="111" t="str">
        <x:v>가</x:v>
      </x:c>
      <x:c r="F751" s="111" t="str">
        <x:v>수능(일반전형)</x:v>
      </x:c>
      <x:c r="G751" s="111" t="str">
        <x:v>무역학과</x:v>
      </x:c>
      <x:c r="H751" s="136" t="n">
        <x:v>0</x:v>
      </x:c>
      <x:c r="I751" s="136" t="n">
        <x:v>18</x:v>
      </x:c>
      <x:c r="J751" s="136" t="n">
        <x:v>18</x:v>
      </x:c>
      <x:c r="K751" s="137" t="n">
        <x:v>2.89</x:v>
      </x:c>
      <x:c r="L751" s="136" t="n">
        <x:v>19</x:v>
      </x:c>
      <x:c r="M751" s="137" t="n">
        <x:v>403</x:v>
      </x:c>
      <x:c r="N751" s="137" t="n">
        <x:v>397</x:v>
      </x:c>
      <x:c r="O751" s="137" t="n">
        <x:v>800</x:v>
      </x:c>
      <x:c r="P751" s="137" t="n">
        <x:v>49</x:v>
      </x:c>
      <x:c r="Q751" s="137" t="n">
        <x:v>45</x:v>
      </x:c>
      <x:c r="R751" s="137" t="n">
        <x:v>15</x:v>
      </x:c>
      <x:c r="S751" s="137" t="n">
        <x:v>27</x:v>
      </x:c>
      <x:c r="T751" s="136" t="n">
        <x:v>4</x:v>
      </x:c>
      <x:c r="U751" s="136" t="n">
        <x:v>3</x:v>
      </x:c>
      <x:c r="V751" s="137"/>
      <x:c r="W751" s="137" t="n">
        <x:f>IF(COUNT(P751:S751)&gt;=3,AVERAGE(P751:S751),"")</x:f>
        <x:v>34</x:v>
      </x:c>
      <x:c r="X751" s="137" t="n">
        <x:f>IF(V751&lt;&gt;"",V751,W751)</x:f>
        <x:v>34</x:v>
      </x:c>
      <x:c r="Y751" s="111" t="str">
        <x:v>파생: 공식 과목별 70% 백분위 평균</x:v>
      </x:c>
      <x:c r="Z751" s="137" t="n">
        <x:f>'추천_테스트'!$B$8</x:f>
        <x:v>80</x:v>
      </x:c>
      <x:c r="AA751" s="137" t="n">
        <x:f>IF(X751="","",Z751-X751)</x:f>
        <x:v>46</x:v>
      </x:c>
      <x:c r="AB751" s="111" t="str">
        <x:f>IF(X751="","",IF(AA751&gt;='추천_테스트'!$B$10,"안정",IF(AA751&gt;='추천_테스트'!$B$11,"적정",IF(AA751&gt;='추천_테스트'!$B$12,"소신","상향"))))</x:f>
        <x:v>안정</x:v>
      </x:c>
      <x:c r="AC751" s="137" t="n">
        <x:v>88.24</x:v>
      </x:c>
      <x:c r="AD751" s="137" t="n">
        <x:v>11.76</x:v>
      </x:c>
      <x:c r="AE751" s="137" t="n">
        <x:v>0</x:v>
      </x:c>
      <x:c r="AF751" s="113" t="str">
        <x:v>v5 지방 사립대 확장: 공식 2025학년도 정시 과목별 70% 백분위를 원형 보존</x:v>
      </x:c>
      <x:c r="AG751" s="113" t="str">
        <x:v>https://www.adiga.kr/ucp/uvt/uni/univDetailSelection.do?menuId=PCUVTINF2000&amp;searchSyr=2026&amp;unvCd=0000107</x:v>
      </x:c>
    </x:row>
    <x:row r="752" ht="18" customHeight="1">
      <x:c r="A752" s="111" t="n">
        <x:v>2025</x:v>
      </x:c>
      <x:c r="B752" s="111" t="str">
        <x:v>대전광역시</x:v>
      </x:c>
      <x:c r="C752" s="111" t="str">
        <x:v>사립</x:v>
      </x:c>
      <x:c r="D752" s="111" t="str">
        <x:v>한남대학교</x:v>
      </x:c>
      <x:c r="E752" s="111" t="str">
        <x:v>가</x:v>
      </x:c>
      <x:c r="F752" s="111" t="str">
        <x:v>수능(일반전형)</x:v>
      </x:c>
      <x:c r="G752" s="111" t="str">
        <x:v>국어국문ㆍ창작학과</x:v>
      </x:c>
      <x:c r="H752" s="136" t="n">
        <x:v>2</x:v>
      </x:c>
      <x:c r="I752" s="136" t="n">
        <x:v>4</x:v>
      </x:c>
      <x:c r="J752" s="136" t="n">
        <x:v>6</x:v>
      </x:c>
      <x:c r="K752" s="137" t="n">
        <x:v>3</x:v>
      </x:c>
      <x:c r="L752" s="136" t="n">
        <x:v>10</x:v>
      </x:c>
      <x:c r="M752" s="137" t="n">
        <x:v>224</x:v>
      </x:c>
      <x:c r="N752" s="137" t="n">
        <x:v>195</x:v>
      </x:c>
      <x:c r="O752" s="137" t="n">
        <x:v>300</x:v>
      </x:c>
      <x:c r="P752" s="137" t="n">
        <x:v>61</x:v>
      </x:c>
      <x:c r="Q752" s="137" t="n">
        <x:v>19</x:v>
      </x:c>
      <x:c r="R752" s="137" t="n">
        <x:v>43</x:v>
      </x:c>
      <x:c r="S752" s="137" t="n">
        <x:v>34</x:v>
      </x:c>
      <x:c r="T752" s="136" t="n">
        <x:v>4</x:v>
      </x:c>
      <x:c r="U752" s="136" t="n">
        <x:v>5</x:v>
      </x:c>
      <x:c r="V752" s="137"/>
      <x:c r="W752" s="137" t="n">
        <x:f>IF(COUNT(P752:S752)&gt;=3,AVERAGE(P752:S752),"")</x:f>
        <x:v>39.25</x:v>
      </x:c>
      <x:c r="X752" s="137" t="n">
        <x:f>IF(V752&lt;&gt;"",V752,W752)</x:f>
        <x:v>39.25</x:v>
      </x:c>
      <x:c r="Y752" s="111" t="str">
        <x:v>파생: 공식 과목별 70% 백분위 평균</x:v>
      </x:c>
      <x:c r="Z752" s="137" t="n">
        <x:f>'추천_테스트'!$B$8</x:f>
        <x:v>80</x:v>
      </x:c>
      <x:c r="AA752" s="137" t="n">
        <x:f>IF(X752="","",Z752-X752)</x:f>
        <x:v>40.75</x:v>
      </x:c>
      <x:c r="AB752" s="111" t="str">
        <x:f>IF(X752="","",IF(AA752&gt;='추천_테스트'!$B$10,"안정",IF(AA752&gt;='추천_테스트'!$B$11,"적정",IF(AA752&gt;='추천_테스트'!$B$12,"소신","상향"))))</x:f>
        <x:v>안정</x:v>
      </x:c>
      <x:c r="AC752" s="137" t="n">
        <x:v>83</x:v>
      </x:c>
      <x:c r="AD752" s="137" t="n">
        <x:v>17</x:v>
      </x:c>
      <x:c r="AE752" s="137" t="n">
        <x:v>0</x:v>
      </x:c>
      <x:c r="AF752" s="113" t="str">
        <x:v>v5 지방 사립대 확장: 공식 2025학년도 정시 과목별 70% 백분위를 원형 보존</x:v>
      </x:c>
      <x:c r="AG752" s="113" t="str">
        <x:v>https://www.adiga.kr/ucp/uvt/uni/univDetailSelection.do?menuId=PCUVTINF2000&amp;searchSyr=2026&amp;unvCd=0000195</x:v>
      </x:c>
    </x:row>
    <x:row r="753" ht="18" customHeight="1">
      <x:c r="A753" s="111" t="n">
        <x:v>2025</x:v>
      </x:c>
      <x:c r="B753" s="111" t="str">
        <x:v>대전광역시</x:v>
      </x:c>
      <x:c r="C753" s="111" t="str">
        <x:v>사립</x:v>
      </x:c>
      <x:c r="D753" s="111" t="str">
        <x:v>한남대학교</x:v>
      </x:c>
      <x:c r="E753" s="111" t="str">
        <x:v>가</x:v>
      </x:c>
      <x:c r="F753" s="111" t="str">
        <x:v>수능(일반전형)</x:v>
      </x:c>
      <x:c r="G753" s="111" t="str">
        <x:v>응용영어콘텐츠학과</x:v>
      </x:c>
      <x:c r="H753" s="136" t="n">
        <x:v>2</x:v>
      </x:c>
      <x:c r="I753" s="136" t="n">
        <x:v>3</x:v>
      </x:c>
      <x:c r="J753" s="136" t="n">
        <x:v>5</x:v>
      </x:c>
      <x:c r="K753" s="137" t="n">
        <x:v>4</x:v>
      </x:c>
      <x:c r="L753" s="136" t="n">
        <x:v>4</x:v>
      </x:c>
      <x:c r="M753" s="137" t="n">
        <x:v>234</x:v>
      </x:c>
      <x:c r="N753" s="137" t="n">
        <x:v>227</x:v>
      </x:c>
      <x:c r="O753" s="137" t="n">
        <x:v>300</x:v>
      </x:c>
      <x:c r="P753" s="137" t="n">
        <x:v>58</x:v>
      </x:c>
      <x:c r="Q753" s="137" t="n">
        <x:v>70</x:v>
      </x:c>
      <x:c r="R753" s="137" t="n">
        <x:v>18</x:v>
      </x:c>
      <x:c r="S753" s="137" t="n">
        <x:v>46</x:v>
      </x:c>
      <x:c r="T753" s="136" t="n">
        <x:v>3</x:v>
      </x:c>
      <x:c r="U753" s="136" t="n">
        <x:v>4</x:v>
      </x:c>
      <x:c r="V753" s="137"/>
      <x:c r="W753" s="137" t="n">
        <x:f>IF(COUNT(P753:S753)&gt;=3,AVERAGE(P753:S753),"")</x:f>
        <x:v>48</x:v>
      </x:c>
      <x:c r="X753" s="137" t="n">
        <x:f>IF(V753&lt;&gt;"",V753,W753)</x:f>
        <x:v>48</x:v>
      </x:c>
      <x:c r="Y753" s="111" t="str">
        <x:v>파생: 공식 과목별 70% 백분위 평균</x:v>
      </x:c>
      <x:c r="Z753" s="137" t="n">
        <x:f>'추천_테스트'!$B$8</x:f>
        <x:v>80</x:v>
      </x:c>
      <x:c r="AA753" s="137" t="n">
        <x:f>IF(X753="","",Z753-X753)</x:f>
        <x:v>32</x:v>
      </x:c>
      <x:c r="AB753" s="111" t="str">
        <x:f>IF(X753="","",IF(AA753&gt;='추천_테스트'!$B$10,"안정",IF(AA753&gt;='추천_테스트'!$B$11,"적정",IF(AA753&gt;='추천_테스트'!$B$12,"소신","상향"))))</x:f>
        <x:v>안정</x:v>
      </x:c>
      <x:c r="AC753" s="137" t="n">
        <x:v>60</x:v>
      </x:c>
      <x:c r="AD753" s="137" t="n">
        <x:v>40</x:v>
      </x:c>
      <x:c r="AE753" s="137" t="n">
        <x:v>0</x:v>
      </x:c>
      <x:c r="AF753" s="113" t="str">
        <x:v>v5 지방 사립대 확장: 공식 2025학년도 정시 과목별 70% 백분위를 원형 보존</x:v>
      </x:c>
      <x:c r="AG753" s="113" t="str">
        <x:v>https://www.adiga.kr/ucp/uvt/uni/univDetailSelection.do?menuId=PCUVTINF2000&amp;searchSyr=2026&amp;unvCd=0000195</x:v>
      </x:c>
    </x:row>
    <x:row r="754" ht="18" customHeight="1">
      <x:c r="A754" s="111" t="n">
        <x:v>2025</x:v>
      </x:c>
      <x:c r="B754" s="111" t="str">
        <x:v>대전광역시</x:v>
      </x:c>
      <x:c r="C754" s="111" t="str">
        <x:v>사립</x:v>
      </x:c>
      <x:c r="D754" s="111" t="str">
        <x:v>한남대학교</x:v>
      </x:c>
      <x:c r="E754" s="111" t="str">
        <x:v>가</x:v>
      </x:c>
      <x:c r="F754" s="111" t="str">
        <x:v>수능(일반전형)</x:v>
      </x:c>
      <x:c r="G754" s="111" t="str">
        <x:v>프랑스어문학전공</x:v>
      </x:c>
      <x:c r="H754" s="136" t="n">
        <x:v>2</x:v>
      </x:c>
      <x:c r="I754" s="136" t="n">
        <x:v>6</x:v>
      </x:c>
      <x:c r="J754" s="136" t="n">
        <x:v>8</x:v>
      </x:c>
      <x:c r="K754" s="137" t="n">
        <x:v>5.9</x:v>
      </x:c>
      <x:c r="L754" s="136" t="n">
        <x:v>1</x:v>
      </x:c>
      <x:c r="M754" s="137" t="n">
        <x:v>223</x:v>
      </x:c>
      <x:c r="N754" s="137" t="n">
        <x:v>222</x:v>
      </x:c>
      <x:c r="O754" s="137" t="n">
        <x:v>300</x:v>
      </x:c>
      <x:c r="P754" s="137" t="n">
        <x:v>56</x:v>
      </x:c>
      <x:c r="Q754" s="137" t="n">
        <x:v>47</x:v>
      </x:c>
      <x:c r="R754" s="137" t="n">
        <x:v>83</x:v>
      </x:c>
      <x:c r="S754" s="137" t="n">
        <x:v>43</x:v>
      </x:c>
      <x:c r="T754" s="136" t="n">
        <x:v>5</x:v>
      </x:c>
      <x:c r="U754" s="136" t="n">
        <x:v>4</x:v>
      </x:c>
      <x:c r="V754" s="137"/>
      <x:c r="W754" s="137" t="n">
        <x:f>IF(COUNT(P754:S754)&gt;=3,AVERAGE(P754:S754),"")</x:f>
        <x:v>57.25</x:v>
      </x:c>
      <x:c r="X754" s="137" t="n">
        <x:f>IF(V754&lt;&gt;"",V754,W754)</x:f>
        <x:v>57.25</x:v>
      </x:c>
      <x:c r="Y754" s="111" t="str">
        <x:v>파생: 공식 과목별 70% 백분위 평균</x:v>
      </x:c>
      <x:c r="Z754" s="137" t="n">
        <x:f>'추천_테스트'!$B$8</x:f>
        <x:v>80</x:v>
      </x:c>
      <x:c r="AA754" s="137" t="n">
        <x:f>IF(X754="","",Z754-X754)</x:f>
        <x:v>22.75</x:v>
      </x:c>
      <x:c r="AB754" s="111" t="str">
        <x:f>IF(X754="","",IF(AA754&gt;='추천_테스트'!$B$10,"안정",IF(AA754&gt;='추천_테스트'!$B$11,"적정",IF(AA754&gt;='추천_테스트'!$B$12,"소신","상향"))))</x:f>
        <x:v>안정</x:v>
      </x:c>
      <x:c r="AC754" s="137" t="n">
        <x:v>75</x:v>
      </x:c>
      <x:c r="AD754" s="137" t="n">
        <x:v>25</x:v>
      </x:c>
      <x:c r="AE754" s="137" t="n">
        <x:v>0</x:v>
      </x:c>
      <x:c r="AF754" s="113" t="str">
        <x:v>v5 지방 사립대 확장: 공식 2025학년도 정시 과목별 70% 백분위를 원형 보존</x:v>
      </x:c>
      <x:c r="AG754" s="113" t="str">
        <x:v>https://www.adiga.kr/ucp/uvt/uni/univDetailSelection.do?menuId=PCUVTINF2000&amp;searchSyr=2026&amp;unvCd=0000195</x:v>
      </x:c>
    </x:row>
    <x:row r="755" ht="18" customHeight="1">
      <x:c r="A755" s="111" t="n">
        <x:v>2025</x:v>
      </x:c>
      <x:c r="B755" s="111" t="str">
        <x:v>대전광역시</x:v>
      </x:c>
      <x:c r="C755" s="111" t="str">
        <x:v>사립</x:v>
      </x:c>
      <x:c r="D755" s="111" t="str">
        <x:v>한남대학교</x:v>
      </x:c>
      <x:c r="E755" s="111" t="str">
        <x:v>가</x:v>
      </x:c>
      <x:c r="F755" s="111" t="str">
        <x:v>수능(일반전형)</x:v>
      </x:c>
      <x:c r="G755" s="111" t="str">
        <x:v>문헌정보학과</x:v>
      </x:c>
      <x:c r="H755" s="136" t="n">
        <x:v>2</x:v>
      </x:c>
      <x:c r="I755" s="136" t="n">
        <x:v>2</x:v>
      </x:c>
      <x:c r="J755" s="136" t="n">
        <x:v>4</x:v>
      </x:c>
      <x:c r="K755" s="137" t="n">
        <x:v>2.8</x:v>
      </x:c>
      <x:c r="L755" s="136" t="n">
        <x:v>7</x:v>
      </x:c>
      <x:c r="M755" s="137" t="n">
        <x:v>241</x:v>
      </x:c>
      <x:c r="N755" s="137" t="n">
        <x:v>241</x:v>
      </x:c>
      <x:c r="O755" s="137" t="n">
        <x:v>300</x:v>
      </x:c>
      <x:c r="P755" s="137" t="n">
        <x:v>75</x:v>
      </x:c>
      <x:c r="Q755" s="137" t="n">
        <x:v>45</x:v>
      </x:c>
      <x:c r="R755" s="137" t="n">
        <x:v>83</x:v>
      </x:c>
      <x:c r="S755" s="137" t="n">
        <x:v>68</x:v>
      </x:c>
      <x:c r="T755" s="136" t="n">
        <x:v>5</x:v>
      </x:c>
      <x:c r="U755" s="136" t="n">
        <x:v>1</x:v>
      </x:c>
      <x:c r="V755" s="137"/>
      <x:c r="W755" s="137" t="n">
        <x:f>IF(COUNT(P755:S755)&gt;=3,AVERAGE(P755:S755),"")</x:f>
        <x:v>67.75</x:v>
      </x:c>
      <x:c r="X755" s="137" t="n">
        <x:f>IF(V755&lt;&gt;"",V755,W755)</x:f>
        <x:v>67.75</x:v>
      </x:c>
      <x:c r="Y755" s="111" t="str">
        <x:v>파생: 공식 과목별 70% 백분위 평균</x:v>
      </x:c>
      <x:c r="Z755" s="137" t="n">
        <x:f>'추천_테스트'!$B$8</x:f>
        <x:v>80</x:v>
      </x:c>
      <x:c r="AA755" s="137" t="n">
        <x:f>IF(X755="","",Z755-X755)</x:f>
        <x:v>12.25</x:v>
      </x:c>
      <x:c r="AB755" s="111" t="str">
        <x:f>IF(X755="","",IF(AA755&gt;='추천_테스트'!$B$10,"안정",IF(AA755&gt;='추천_테스트'!$B$11,"적정",IF(AA755&gt;='추천_테스트'!$B$12,"소신","상향"))))</x:f>
        <x:v>안정</x:v>
      </x:c>
      <x:c r="AC755" s="137" t="n">
        <x:v>100</x:v>
      </x:c>
      <x:c r="AD755" s="137" t="n">
        <x:v>0</x:v>
      </x:c>
      <x:c r="AE755" s="137" t="n">
        <x:v>0</x:v>
      </x:c>
      <x:c r="AF755" s="113" t="str">
        <x:v>v5 지방 사립대 확장: 공식 2025학년도 정시 과목별 70% 백분위를 원형 보존</x:v>
      </x:c>
      <x:c r="AG755" s="113" t="str">
        <x:v>https://www.adiga.kr/ucp/uvt/uni/univDetailSelection.do?menuId=PCUVTINF2000&amp;searchSyr=2026&amp;unvCd=0000195</x:v>
      </x:c>
    </x:row>
    <x:row r="756" ht="18" customHeight="1">
      <x:c r="A756" s="111" t="n">
        <x:v>2025</x:v>
      </x:c>
      <x:c r="B756" s="111" t="str">
        <x:v>대전광역시</x:v>
      </x:c>
      <x:c r="C756" s="111" t="str">
        <x:v>사립</x:v>
      </x:c>
      <x:c r="D756" s="111" t="str">
        <x:v>한남대학교</x:v>
      </x:c>
      <x:c r="E756" s="111" t="str">
        <x:v>가</x:v>
      </x:c>
      <x:c r="F756" s="111" t="str">
        <x:v>수능(일반전형)</x:v>
      </x:c>
      <x:c r="G756" s="111" t="str">
        <x:v>전기전자공학과</x:v>
      </x:c>
      <x:c r="H756" s="136" t="n">
        <x:v>3</x:v>
      </x:c>
      <x:c r="I756" s="136" t="n">
        <x:v>4</x:v>
      </x:c>
      <x:c r="J756" s="136" t="n">
        <x:v>7</x:v>
      </x:c>
      <x:c r="K756" s="137" t="n">
        <x:v>6</x:v>
      </x:c>
      <x:c r="L756" s="136" t="n">
        <x:v>6</x:v>
      </x:c>
      <x:c r="M756" s="137" t="n">
        <x:v>234</x:v>
      </x:c>
      <x:c r="N756" s="137" t="n">
        <x:v>232</x:v>
      </x:c>
      <x:c r="O756" s="137" t="n">
        <x:v>300</x:v>
      </x:c>
      <x:c r="P756" s="137" t="n">
        <x:v>75</x:v>
      </x:c>
      <x:c r="Q756" s="137" t="n">
        <x:v>74</x:v>
      </x:c>
      <x:c r="R756" s="137" t="n">
        <x:v>53</x:v>
      </x:c>
      <x:c r="S756" s="137" t="n">
        <x:v>61</x:v>
      </x:c>
      <x:c r="T756" s="136" t="n">
        <x:v>5</x:v>
      </x:c>
      <x:c r="U756" s="136" t="n">
        <x:v>2</x:v>
      </x:c>
      <x:c r="V756" s="137"/>
      <x:c r="W756" s="137" t="n">
        <x:f>IF(COUNT(P756:S756)&gt;=3,AVERAGE(P756:S756),"")</x:f>
        <x:v>65.75</x:v>
      </x:c>
      <x:c r="X756" s="137" t="n">
        <x:f>IF(V756&lt;&gt;"",V756,W756)</x:f>
        <x:v>65.75</x:v>
      </x:c>
      <x:c r="Y756" s="111" t="str">
        <x:v>파생: 공식 과목별 70% 백분위 평균</x:v>
      </x:c>
      <x:c r="Z756" s="137" t="n">
        <x:f>'추천_테스트'!$B$8</x:f>
        <x:v>80</x:v>
      </x:c>
      <x:c r="AA756" s="137" t="n">
        <x:f>IF(X756="","",Z756-X756)</x:f>
        <x:v>14.25</x:v>
      </x:c>
      <x:c r="AB756" s="111" t="str">
        <x:f>IF(X756="","",IF(AA756&gt;='추천_테스트'!$B$10,"안정",IF(AA756&gt;='추천_테스트'!$B$11,"적정",IF(AA756&gt;='추천_테스트'!$B$12,"소신","상향"))))</x:f>
        <x:v>안정</x:v>
      </x:c>
      <x:c r="AC756" s="137" t="n">
        <x:v>0</x:v>
      </x:c>
      <x:c r="AD756" s="137" t="n">
        <x:v>86</x:v>
      </x:c>
      <x:c r="AE756" s="137" t="n">
        <x:v>14</x:v>
      </x:c>
      <x:c r="AF756" s="113" t="str">
        <x:v>v5 지방 사립대 확장: 공식 2025학년도 정시 과목별 70% 백분위를 원형 보존</x:v>
      </x:c>
      <x:c r="AG756" s="113" t="str">
        <x:v>https://www.adiga.kr/ucp/uvt/uni/univDetailSelection.do?menuId=PCUVTINF2000&amp;searchSyr=2026&amp;unvCd=0000195</x:v>
      </x:c>
    </x:row>
    <x:row r="757" ht="18" customHeight="1">
      <x:c r="A757" s="111" t="n">
        <x:v>2025</x:v>
      </x:c>
      <x:c r="B757" s="111" t="str">
        <x:v>대전광역시</x:v>
      </x:c>
      <x:c r="C757" s="111" t="str">
        <x:v>사립</x:v>
      </x:c>
      <x:c r="D757" s="111" t="str">
        <x:v>한남대학교</x:v>
      </x:c>
      <x:c r="E757" s="111" t="str">
        <x:v>가</x:v>
      </x:c>
      <x:c r="F757" s="111" t="str">
        <x:v>수능(일반전형)</x:v>
      </x:c>
      <x:c r="G757" s="111" t="str">
        <x:v>멀티미디어공학과</x:v>
      </x:c>
      <x:c r="H757" s="136" t="n">
        <x:v>2</x:v>
      </x:c>
      <x:c r="I757" s="136" t="n">
        <x:v>5</x:v>
      </x:c>
      <x:c r="J757" s="136" t="n">
        <x:v>7</x:v>
      </x:c>
      <x:c r="K757" s="137" t="n">
        <x:v>4.7</x:v>
      </x:c>
      <x:c r="L757" s="136" t="n">
        <x:v>4</x:v>
      </x:c>
      <x:c r="M757" s="137" t="n">
        <x:v>227</x:v>
      </x:c>
      <x:c r="N757" s="137" t="n">
        <x:v>226</x:v>
      </x:c>
      <x:c r="O757" s="137" t="n">
        <x:v>300</x:v>
      </x:c>
      <x:c r="P757" s="137" t="n">
        <x:v>42</x:v>
      </x:c>
      <x:c r="Q757" s="137" t="n">
        <x:v>76</x:v>
      </x:c>
      <x:c r="R757" s="137" t="n">
        <x:v>59</x:v>
      </x:c>
      <x:c r="S757" s="137" t="n">
        <x:v>35</x:v>
      </x:c>
      <x:c r="T757" s="136" t="n">
        <x:v>4</x:v>
      </x:c>
      <x:c r="U757" s="136" t="n">
        <x:v>2</x:v>
      </x:c>
      <x:c r="V757" s="137"/>
      <x:c r="W757" s="137" t="n">
        <x:f>IF(COUNT(P757:S757)&gt;=3,AVERAGE(P757:S757),"")</x:f>
        <x:v>53</x:v>
      </x:c>
      <x:c r="X757" s="137" t="n">
        <x:f>IF(V757&lt;&gt;"",V757,W757)</x:f>
        <x:v>53</x:v>
      </x:c>
      <x:c r="Y757" s="111" t="str">
        <x:v>파생: 공식 과목별 70% 백분위 평균</x:v>
      </x:c>
      <x:c r="Z757" s="137" t="n">
        <x:f>'추천_테스트'!$B$8</x:f>
        <x:v>80</x:v>
      </x:c>
      <x:c r="AA757" s="137" t="n">
        <x:f>IF(X757="","",Z757-X757)</x:f>
        <x:v>27</x:v>
      </x:c>
      <x:c r="AB757" s="111" t="str">
        <x:f>IF(X757="","",IF(AA757&gt;='추천_테스트'!$B$10,"안정",IF(AA757&gt;='추천_테스트'!$B$11,"적정",IF(AA757&gt;='추천_테스트'!$B$12,"소신","상향"))))</x:f>
        <x:v>안정</x:v>
      </x:c>
      <x:c r="AC757" s="137" t="n">
        <x:v>33</x:v>
      </x:c>
      <x:c r="AD757" s="137" t="n">
        <x:v>67</x:v>
      </x:c>
      <x:c r="AE757" s="137" t="n">
        <x:v>0</x:v>
      </x:c>
      <x:c r="AF757" s="113" t="str">
        <x:v>v5 지방 사립대 확장: 공식 2025학년도 정시 과목별 70% 백분위를 원형 보존</x:v>
      </x:c>
      <x:c r="AG757" s="113" t="str">
        <x:v>https://www.adiga.kr/ucp/uvt/uni/univDetailSelection.do?menuId=PCUVTINF2000&amp;searchSyr=2026&amp;unvCd=0000195</x:v>
      </x:c>
    </x:row>
    <x:row r="758" ht="18" customHeight="1">
      <x:c r="A758" s="111" t="n">
        <x:v>2025</x:v>
      </x:c>
      <x:c r="B758" s="111" t="str">
        <x:v>대전광역시</x:v>
      </x:c>
      <x:c r="C758" s="111" t="str">
        <x:v>사립</x:v>
      </x:c>
      <x:c r="D758" s="111" t="str">
        <x:v>한남대학교</x:v>
      </x:c>
      <x:c r="E758" s="111" t="str">
        <x:v>가</x:v>
      </x:c>
      <x:c r="F758" s="111" t="str">
        <x:v>수능(일반전형)</x:v>
      </x:c>
      <x:c r="G758" s="111" t="str">
        <x:v>건축공학전공</x:v>
      </x:c>
      <x:c r="H758" s="136" t="n">
        <x:v>2</x:v>
      </x:c>
      <x:c r="I758" s="136" t="n">
        <x:v>1</x:v>
      </x:c>
      <x:c r="J758" s="136" t="n">
        <x:v>3</x:v>
      </x:c>
      <x:c r="K758" s="137" t="n">
        <x:v>9.3</x:v>
      </x:c>
      <x:c r="L758" s="136" t="n">
        <x:v>2</x:v>
      </x:c>
      <x:c r="M758" s="137" t="n">
        <x:v>234</x:v>
      </x:c>
      <x:c r="N758" s="137" t="n">
        <x:v>234</x:v>
      </x:c>
      <x:c r="O758" s="137" t="n">
        <x:v>300</x:v>
      </x:c>
      <x:c r="P758" s="137" t="n">
        <x:v>51</x:v>
      </x:c>
      <x:c r="Q758" s="137" t="n">
        <x:v>76</x:v>
      </x:c>
      <x:c r="R758" s="137" t="n">
        <x:v>39</x:v>
      </x:c>
      <x:c r="S758" s="137" t="n">
        <x:v>59</x:v>
      </x:c>
      <x:c r="T758" s="136" t="n">
        <x:v>3</x:v>
      </x:c>
      <x:c r="U758" s="136" t="n">
        <x:v>2</x:v>
      </x:c>
      <x:c r="V758" s="137"/>
      <x:c r="W758" s="137" t="n">
        <x:f>IF(COUNT(P758:S758)&gt;=3,AVERAGE(P758:S758),"")</x:f>
        <x:v>56.25</x:v>
      </x:c>
      <x:c r="X758" s="137" t="n">
        <x:f>IF(V758&lt;&gt;"",V758,W758)</x:f>
        <x:v>56.25</x:v>
      </x:c>
      <x:c r="Y758" s="111" t="str">
        <x:v>파생: 공식 과목별 70% 백분위 평균</x:v>
      </x:c>
      <x:c r="Z758" s="137" t="n">
        <x:f>'추천_테스트'!$B$8</x:f>
        <x:v>80</x:v>
      </x:c>
      <x:c r="AA758" s="137" t="n">
        <x:f>IF(X758="","",Z758-X758)</x:f>
        <x:v>23.75</x:v>
      </x:c>
      <x:c r="AB758" s="111" t="str">
        <x:f>IF(X758="","",IF(AA758&gt;='추천_테스트'!$B$10,"안정",IF(AA758&gt;='추천_테스트'!$B$11,"적정",IF(AA758&gt;='추천_테스트'!$B$12,"소신","상향"))))</x:f>
        <x:v>안정</x:v>
      </x:c>
      <x:c r="AC758" s="137" t="n">
        <x:v>0</x:v>
      </x:c>
      <x:c r="AD758" s="137" t="n">
        <x:v>100</x:v>
      </x:c>
      <x:c r="AE758" s="137" t="n">
        <x:v>0</x:v>
      </x:c>
      <x:c r="AF758" s="113" t="str">
        <x:v>v5 지방 사립대 확장: 공식 2025학년도 정시 과목별 70% 백분위를 원형 보존</x:v>
      </x:c>
      <x:c r="AG758" s="113" t="str">
        <x:v>https://www.adiga.kr/ucp/uvt/uni/univDetailSelection.do?menuId=PCUVTINF2000&amp;searchSyr=2026&amp;unvCd=0000195</x:v>
      </x:c>
    </x:row>
  </x:sheetData>
  <x:conditionalFormatting sqref="AB2:AB122">
    <x:cfRule type="expression" dxfId="0" priority="1">
      <x:formula>AB2="안정"</x:formula>
    </x:cfRule>
    <x:cfRule type="expression" dxfId="1" priority="2">
      <x:formula>AB2="적정"</x:formula>
    </x:cfRule>
    <x:cfRule type="expression" dxfId="2" priority="3">
      <x:formula>AB2="소신"</x:formula>
    </x:cfRule>
    <x:cfRule type="expression" dxfId="3" priority="4">
      <x:formula>AB2="상향"</x:formula>
    </x:cfRule>
  </x:conditionalFormatting>
  <x:conditionalFormatting sqref="AA2:AA122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{325BC8D4-1645-6AE5-7698-A70B301E5FF6}</x14:id>
        </x:ext>
      </x:extLst>
    </x:cfRule>
  </x:conditionalFormatting>
  <x:conditionalFormatting sqref="AB2:AB262">
    <x:cfRule type="expression" dxfId="4" priority="6">
      <x:formula>AB2="안정"</x:formula>
    </x:cfRule>
    <x:cfRule type="expression" dxfId="5" priority="7">
      <x:formula>AB2="적정"</x:formula>
    </x:cfRule>
    <x:cfRule type="expression" dxfId="6" priority="8">
      <x:formula>AB2="소신"</x:formula>
    </x:cfRule>
    <x:cfRule type="expression" dxfId="7" priority="9">
      <x:formula>AB2="상향"</x:formula>
    </x:cfRule>
  </x:conditionalFormatting>
  <x:conditionalFormatting sqref="AB2:AB454">
    <x:cfRule type="expression" dxfId="8" priority="10">
      <x:formula>AB2="안정"</x:formula>
    </x:cfRule>
    <x:cfRule type="expression" dxfId="9" priority="11">
      <x:formula>AB2="적정"</x:formula>
    </x:cfRule>
    <x:cfRule type="expression" dxfId="10" priority="12">
      <x:formula>AB2="소신"</x:formula>
    </x:cfRule>
    <x:cfRule type="expression" dxfId="11" priority="13">
      <x:formula>AB2="상향"</x:formula>
    </x:cfRule>
  </x:conditionalFormatting>
  <x:conditionalFormatting sqref="AB455:AB560">
    <x:cfRule type="expression" dxfId="12" priority="14">
      <x:formula>$AB455="안정"</x:formula>
    </x:cfRule>
    <x:cfRule type="expression" dxfId="13" priority="15">
      <x:formula>$AB455="적정"</x:formula>
    </x:cfRule>
    <x:cfRule type="expression" dxfId="14" priority="16">
      <x:formula>$AB455="소신"</x:formula>
    </x:cfRule>
    <x:cfRule type="expression" dxfId="15" priority="17">
      <x:formula>$AB455="상향"</x:formula>
    </x:cfRule>
  </x:conditionalFormatting>
  <x:conditionalFormatting sqref="AB561:AB616">
    <x:cfRule type="expression" dxfId="16" priority="18">
      <x:formula>$AB561="안정"</x:formula>
    </x:cfRule>
    <x:cfRule type="expression" dxfId="17" priority="19">
      <x:formula>$AB561="적정"</x:formula>
    </x:cfRule>
    <x:cfRule type="expression" dxfId="18" priority="20">
      <x:formula>$AB561="소신"</x:formula>
    </x:cfRule>
    <x:cfRule type="expression" dxfId="19" priority="21">
      <x:formula>$AB561="상향"</x:formula>
    </x:cfRule>
  </x:conditionalFormatting>
  <x:conditionalFormatting sqref="AB617:AB758">
    <x:cfRule type="expression" dxfId="20" priority="22">
      <x:formula>AB617="상향"</x:formula>
    </x:cfRule>
    <x:cfRule type="expression" dxfId="21" priority="23">
      <x:formula>AB617="소신"</x:formula>
    </x:cfRule>
    <x:cfRule type="expression" dxfId="22" priority="24">
      <x:formula>AB617="적정"</x:formula>
    </x:cfRule>
    <x:cfRule type="expression" dxfId="23" priority="25">
      <x:formula>AB617="안정"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b8ca12264c49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25BC8D4-1645-6AE5-7698-A70B301E5FF6}">
            <x14:dataBar gradient="1">
              <x14:cfvo type="min"/>
              <x14:cfvo type="max"/>
              <x14:fillColor rgb="FF5B9BD5"/>
            </x14:dataBar>
          </x14:cfRule>
          <xm:sqref>AA2:AA122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28" customHeight="1">
      <x:c r="A1" s="94" t="str">
        <x:v>대학별 수록 현황 및 추천기준 평균 — 인서울·수도권 + 지방 국립대 + 지방 사립대 확장 v5</x:v>
      </x:c>
      <x:c r="B1" s="94"/>
      <x:c r="C1" s="94"/>
      <x:c r="D1" s="94"/>
      <x:c r="E1" s="94"/>
      <x:c r="F1" s="94"/>
      <x:c r="G1" s="94"/>
      <x:c r="H1" s="94"/>
    </x:row>
    <x:row r="3" ht="28" customHeight="1">
      <x:c r="A3" s="87" t="str">
        <x:v>대학명</x:v>
      </x:c>
      <x:c r="B3" s="87" t="str">
        <x:v>지역</x:v>
      </x:c>
      <x:c r="C3" s="87" t="str">
        <x:v>설립</x:v>
      </x:c>
      <x:c r="D3" s="87" t="str">
        <x:v>수록 모집단위 수</x:v>
      </x:c>
      <x:c r="E3" s="87" t="str">
        <x:v>추천기준 평균</x:v>
      </x:c>
      <x:c r="F3" s="87" t="str">
        <x:v>공식 평균백분위 행 수</x:v>
      </x:c>
      <x:c r="G3" s="87" t="str">
        <x:v>파생 평균 행 수</x:v>
      </x:c>
      <x:c r="H3" s="87" t="str">
        <x:v>대표 출처URL</x:v>
      </x:c>
    </x:row>
    <x:row r="4" ht="18" customHeight="1">
      <x:c r="A4" s="41" t="str">
        <x:v>서울과학기술대학교</x:v>
      </x:c>
      <x:c r="B4" s="41" t="str">
        <x:v>서울특별시</x:v>
      </x:c>
      <x:c r="C4" s="41" t="str">
        <x:v>국립</x:v>
      </x:c>
      <x:c r="D4" s="41" t="n">
        <x:v>41</x:v>
      </x:c>
      <x:c r="E4" s="95" t="n">
        <x:v>84.03</x:v>
      </x:c>
      <x:c r="F4" s="41" t="n">
        <x:v>41</x:v>
      </x:c>
      <x:c r="G4" s="41" t="n">
        <x:v>0</x:v>
      </x:c>
      <x:c r="H4" s="41" t="str">
        <x:v>https://www.adiga.kr/ucp/uvt/uni/univDetailSelection.do?menuId=PCUVTINF2000&amp;searchSyr=2026&amp;unvCd=0000036</x:v>
      </x:c>
    </x:row>
    <x:row r="5" ht="18" customHeight="1">
      <x:c r="A5" s="41" t="str">
        <x:v>전북대학교</x:v>
      </x:c>
      <x:c r="B5" s="41" t="str">
        <x:v>전북특별자치도</x:v>
      </x:c>
      <x:c r="C5" s="41" t="str">
        <x:v>국립</x:v>
      </x:c>
      <x:c r="D5" s="41" t="n">
        <x:v>24</x:v>
      </x:c>
      <x:c r="E5" s="95" t="n">
        <x:v>73.06</x:v>
      </x:c>
      <x:c r="F5" s="41" t="n">
        <x:v>0</x:v>
      </x:c>
      <x:c r="G5" s="41" t="n">
        <x:v>24</x:v>
      </x:c>
      <x:c r="H5" s="41" t="str">
        <x:v>https://www.adiga.kr/ucp/uvt/uni/univDetailSelection.do?menuId=PCUVTINF2000&amp;searchSyr=2026&amp;unvCd=0000025</x:v>
      </x:c>
    </x:row>
    <x:row r="6" ht="18" customHeight="1">
      <x:c r="A6" s="41" t="str">
        <x:v>한세대학교</x:v>
      </x:c>
      <x:c r="B6" s="41" t="str">
        <x:v>경기도</x:v>
      </x:c>
      <x:c r="C6" s="41" t="str">
        <x:v>사립</x:v>
      </x:c>
      <x:c r="D6" s="41" t="n">
        <x:v>12</x:v>
      </x:c>
      <x:c r="E6" s="95" t="n">
        <x:v>77.72</x:v>
      </x:c>
      <x:c r="F6" s="41" t="n">
        <x:v>12</x:v>
      </x:c>
      <x:c r="G6" s="41" t="n">
        <x:v>0</x:v>
      </x:c>
      <x:c r="H6" s="41" t="str">
        <x:v>https://www.adiga.kr/ucp/uvt/uni/univDetailSelection.do?menuId=PCUVTINF2000&amp;searchSyr=2026&amp;unvCd=0000201</x:v>
      </x:c>
    </x:row>
    <x:row r="7" ht="18" customHeight="1">
      <x:c r="A7" s="41" t="str">
        <x:v>춘천교육대학교</x:v>
      </x:c>
      <x:c r="B7" s="41" t="str">
        <x:v>강원특별자치도</x:v>
      </x:c>
      <x:c r="C7" s="41" t="str">
        <x:v>국립</x:v>
      </x:c>
      <x:c r="D7" s="41" t="n">
        <x:v>1</x:v>
      </x:c>
      <x:c r="E7" s="95" t="n">
        <x:v>71.5</x:v>
      </x:c>
      <x:c r="F7" s="41" t="n">
        <x:v>0</x:v>
      </x:c>
      <x:c r="G7" s="41" t="n">
        <x:v>1</x:v>
      </x:c>
      <x:c r="H7" s="41" t="str">
        <x:v>https://www.adiga.kr/ucp/uvt/uni/univDetailSelection.do?menuId=PCUVTINF2000&amp;searchSyr=2026&amp;unvCd=0000262</x:v>
      </x:c>
    </x:row>
    <x:row r="8" ht="18" customHeight="1">
      <x:c r="A8" s="41" t="str">
        <x:v>광주교육대학교</x:v>
      </x:c>
      <x:c r="B8" s="41" t="str">
        <x:v>광주광역시</x:v>
      </x:c>
      <x:c r="C8" s="41" t="str">
        <x:v>국립</x:v>
      </x:c>
      <x:c r="D8" s="41" t="n">
        <x:v>1</x:v>
      </x:c>
      <x:c r="E8" s="95" t="n">
        <x:v>76.75</x:v>
      </x:c>
      <x:c r="F8" s="41" t="n">
        <x:v>0</x:v>
      </x:c>
      <x:c r="G8" s="41" t="n">
        <x:v>1</x:v>
      </x:c>
      <x:c r="H8" s="41" t="str">
        <x:v>https://www.adiga.kr/ucp/uvt/uni/univDetailSelection.do?menuId=PCUVTINF2000&amp;searchSyr=2026&amp;unvCd=0000252</x:v>
      </x:c>
    </x:row>
    <x:row r="9" ht="18" customHeight="1">
      <x:c r="A9" s="41" t="str">
        <x:v>인하대학교</x:v>
      </x:c>
      <x:c r="B9" s="41" t="str">
        <x:v>인천광역시</x:v>
      </x:c>
      <x:c r="C9" s="41" t="str">
        <x:v>사립</x:v>
      </x:c>
      <x:c r="D9" s="41" t="n">
        <x:v>13</x:v>
      </x:c>
      <x:c r="E9" s="95" t="n">
        <x:v>82.75</x:v>
      </x:c>
      <x:c r="F9" s="41" t="n">
        <x:v>0</x:v>
      </x:c>
      <x:c r="G9" s="41" t="n">
        <x:v>13</x:v>
      </x:c>
      <x:c r="H9" s="41" t="str">
        <x:v>https://www.adiga.kr/ucp/uvt/uni/univDetailSelection.do?menuId=PCUVTINF2000&amp;searchSyr=2026&amp;unvCd=0000169</x:v>
      </x:c>
    </x:row>
    <x:row r="10" ht="18" customHeight="1">
      <x:c r="A10" s="41" t="str">
        <x:v>부산대학교</x:v>
      </x:c>
      <x:c r="B10" s="41" t="str">
        <x:v>부산광역시</x:v>
      </x:c>
      <x:c r="C10" s="41" t="str">
        <x:v>국립</x:v>
      </x:c>
      <x:c r="D10" s="41" t="n">
        <x:v>10</x:v>
      </x:c>
      <x:c r="E10" s="95" t="n">
        <x:v>82.2</x:v>
      </x:c>
      <x:c r="F10" s="41" t="n">
        <x:v>0</x:v>
      </x:c>
      <x:c r="G10" s="41" t="n">
        <x:v>10</x:v>
      </x:c>
      <x:c r="H10" s="41" t="str">
        <x:v>https://www.adiga.kr/ucp/uvt/uni/univDetailSelection.do?menuId=PCUVTINF2000&amp;searchSyr=2026&amp;unvCd=0000014</x:v>
      </x:c>
    </x:row>
    <x:row r="11" ht="18" customHeight="1">
      <x:c r="A11" s="41" t="str">
        <x:v>제주대학교</x:v>
      </x:c>
      <x:c r="B11" s="41" t="str">
        <x:v>제주특별자치도</x:v>
      </x:c>
      <x:c r="C11" s="41" t="str">
        <x:v>국립</x:v>
      </x:c>
      <x:c r="D11" s="41" t="n">
        <x:v>6</x:v>
      </x:c>
      <x:c r="E11" s="95" t="n">
        <x:v>57.25</x:v>
      </x:c>
      <x:c r="F11" s="41" t="n">
        <x:v>0</x:v>
      </x:c>
      <x:c r="G11" s="41" t="n">
        <x:v>6</x:v>
      </x:c>
      <x:c r="H11" s="41" t="str">
        <x:v>https://www.adiga.kr/ucp/uvt/uni/univDetailSelection.do?menuId=PCUVTINF2000&amp;searchSyr=2026&amp;unvCd=0000027</x:v>
      </x:c>
    </x:row>
    <x:row r="12" ht="18" customHeight="1">
      <x:c r="A12" s="41" t="str">
        <x:v>충남대학교</x:v>
      </x:c>
      <x:c r="B12" s="41" t="str">
        <x:v>대전광역시</x:v>
      </x:c>
      <x:c r="C12" s="41" t="str">
        <x:v>국립</x:v>
      </x:c>
      <x:c r="D12" s="41" t="n">
        <x:v>6</x:v>
      </x:c>
      <x:c r="E12" s="95" t="n">
        <x:v>81.33</x:v>
      </x:c>
      <x:c r="F12" s="41" t="n">
        <x:v>0</x:v>
      </x:c>
      <x:c r="G12" s="41" t="n">
        <x:v>6</x:v>
      </x:c>
      <x:c r="H12" s="41" t="str">
        <x:v>https://www.adiga.kr/ucp/uvt/uni/univDetailSelection.do?menuId=PCUVTINF2000&amp;searchSyr=2026&amp;unvCd=0000029</x:v>
      </x:c>
    </x:row>
    <x:row r="13" ht="18" customHeight="1">
      <x:c r="A13" s="41" t="str">
        <x:v>아주대학교</x:v>
      </x:c>
      <x:c r="B13" s="41" t="str">
        <x:v>경기도</x:v>
      </x:c>
      <x:c r="C13" s="41" t="str">
        <x:v>사립</x:v>
      </x:c>
      <x:c r="D13" s="41" t="n">
        <x:v>7</x:v>
      </x:c>
      <x:c r="E13" s="95" t="n">
        <x:v>86.11</x:v>
      </x:c>
      <x:c r="F13" s="41" t="n">
        <x:v>0</x:v>
      </x:c>
      <x:c r="G13" s="41" t="n">
        <x:v>7</x:v>
      </x:c>
      <x:c r="H13" s="41" t="str">
        <x:v>https://www.adiga.kr/ucp/uvt/uni/univDetailSelection.do?menuId=PCUVTINF2000&amp;searchSyr=2026&amp;unvCd=0000146</x:v>
      </x:c>
    </x:row>
    <x:row r="14" ht="18" customHeight="1">
      <x:c r="A14" s="40" t="str">
        <x:v>연세대학교</x:v>
      </x:c>
      <x:c r="B14" s="40" t="str">
        <x:v>서울특별시</x:v>
      </x:c>
      <x:c r="C14" s="40" t="str">
        <x:v>사립</x:v>
      </x:c>
      <x:c r="D14" s="40" t="n">
        <x:v>25</x:v>
      </x:c>
      <x:c r="E14" s="60" t="n">
        <x:v>93.2</x:v>
      </x:c>
      <x:c r="F14" s="40" t="n">
        <x:v>0</x:v>
      </x:c>
      <x:c r="G14" s="40" t="n">
        <x:v>25</x:v>
      </x:c>
      <x:c r="H14" s="41" t="str">
        <x:v>https://www.adiga.kr/ucp/uvt/uni/univDetailSelection.do?menuId=PCUVTINF2000&amp;searchSyr=2026&amp;unvCd=0000149</x:v>
      </x:c>
    </x:row>
    <x:row r="15" ht="18" customHeight="1">
      <x:c r="A15" s="40" t="str">
        <x:v>서강대학교</x:v>
      </x:c>
      <x:c r="B15" s="40" t="str">
        <x:v>서울특별시</x:v>
      </x:c>
      <x:c r="C15" s="40" t="str">
        <x:v>사립</x:v>
      </x:c>
      <x:c r="D15" s="40" t="n">
        <x:v>11</x:v>
      </x:c>
      <x:c r="E15" s="60" t="n">
        <x:v>88.86</x:v>
      </x:c>
      <x:c r="F15" s="40" t="n">
        <x:v>0</x:v>
      </x:c>
      <x:c r="G15" s="40" t="n">
        <x:v>11</x:v>
      </x:c>
      <x:c r="H15" s="41" t="str">
        <x:v>https://www.adiga.kr/ucp/uvt/uni/univDetailSelection.do?menuId=PCUVTINF2000&amp;searchSyr=2026&amp;unvCd=0000120</x:v>
      </x:c>
    </x:row>
    <x:row r="16" ht="18" customHeight="1">
      <x:c r="A16" s="40" t="str">
        <x:v>성균관대학교</x:v>
      </x:c>
      <x:c r="B16" s="40" t="str">
        <x:v>서울특별시</x:v>
      </x:c>
      <x:c r="C16" s="40" t="str">
        <x:v>사립</x:v>
      </x:c>
      <x:c r="D16" s="40" t="n">
        <x:v>12</x:v>
      </x:c>
      <x:c r="E16" s="60" t="n">
        <x:v>93.88</x:v>
      </x:c>
      <x:c r="F16" s="40" t="n">
        <x:v>0</x:v>
      </x:c>
      <x:c r="G16" s="40" t="n">
        <x:v>12</x:v>
      </x:c>
      <x:c r="H16" s="41" t="str">
        <x:v>https://www.adiga.kr/ucp/uvt/uni/univDetailSelection.do?menuId=PCUVTINF2000&amp;searchSyr=2026&amp;unvCd=0000133</x:v>
      </x:c>
    </x:row>
    <x:row r="17" ht="18" customHeight="1">
      <x:c r="A17" s="40" t="str">
        <x:v>한양대학교</x:v>
      </x:c>
      <x:c r="B17" s="40" t="str">
        <x:v>서울특별시</x:v>
      </x:c>
      <x:c r="C17" s="40" t="str">
        <x:v>사립</x:v>
      </x:c>
      <x:c r="D17" s="40" t="n">
        <x:v>34</x:v>
      </x:c>
      <x:c r="E17" s="60" t="n">
        <x:v>90.94</x:v>
      </x:c>
      <x:c r="F17" s="40" t="n">
        <x:v>0</x:v>
      </x:c>
      <x:c r="G17" s="40" t="n">
        <x:v>34</x:v>
      </x:c>
      <x:c r="H17" s="41" t="str">
        <x:v>https://www.adiga.kr/ucp/uvt/uni/univDetailSelection.do?menuId=PCUVTINF2000&amp;searchSyr=2026&amp;unvCd=0000203</x:v>
      </x:c>
    </x:row>
    <x:row r="18" ht="18" customHeight="1">
      <x:c r="A18" s="40" t="str">
        <x:v>중앙대학교</x:v>
      </x:c>
      <x:c r="B18" s="40" t="str">
        <x:v>서울특별시</x:v>
      </x:c>
      <x:c r="C18" s="40" t="str">
        <x:v>사립</x:v>
      </x:c>
      <x:c r="D18" s="40" t="n">
        <x:v>18</x:v>
      </x:c>
      <x:c r="E18" s="60" t="n">
        <x:v>89.82</x:v>
      </x:c>
      <x:c r="F18" s="40" t="n">
        <x:v>0</x:v>
      </x:c>
      <x:c r="G18" s="40" t="n">
        <x:v>18</x:v>
      </x:c>
      <x:c r="H18" s="41" t="str">
        <x:v>https://adiga.kr/ucp/uvt/uni/univDetailSelection.do?menuId=PCUVTINF2000&amp;searchSyr=2026&amp;unvCd=0000175</x:v>
      </x:c>
    </x:row>
    <x:row r="19" ht="18" customHeight="1">
      <x:c r="A19" s="40" t="str">
        <x:v>건국대학교</x:v>
      </x:c>
      <x:c r="B19" s="40" t="str">
        <x:v>서울특별시</x:v>
      </x:c>
      <x:c r="C19" s="40" t="str">
        <x:v>사립</x:v>
      </x:c>
      <x:c r="D19" s="40" t="n">
        <x:v>17</x:v>
      </x:c>
      <x:c r="E19" s="60" t="n">
        <x:v>88.32</x:v>
      </x:c>
      <x:c r="F19" s="40" t="n">
        <x:v>0</x:v>
      </x:c>
      <x:c r="G19" s="40" t="n">
        <x:v>17</x:v>
      </x:c>
      <x:c r="H19" s="41" t="str">
        <x:v>https://www.adiga.kr/ucp/uvt/uni/univDetailSelection.do?menuId=PCUVTINF2000&amp;searchSyr=2026&amp;unvCd=0000052</x:v>
      </x:c>
    </x:row>
    <x:row r="20" ht="18" customHeight="1">
      <x:c r="A20" s="40" t="str">
        <x:v>숙명여자대학교</x:v>
      </x:c>
      <x:c r="B20" s="40" t="str">
        <x:v>서울특별시</x:v>
      </x:c>
      <x:c r="C20" s="40" t="str">
        <x:v>사립</x:v>
      </x:c>
      <x:c r="D20" s="40" t="n">
        <x:v>10</x:v>
      </x:c>
      <x:c r="E20" s="60" t="n">
        <x:v>80.6</x:v>
      </x:c>
      <x:c r="F20" s="40" t="n">
        <x:v>0</x:v>
      </x:c>
      <x:c r="G20" s="40" t="n">
        <x:v>10</x:v>
      </x:c>
      <x:c r="H20" s="41" t="str">
        <x:v>https://adiga.kr/ucp/uvt/uni/univDetailSelection.do?menuId=PCUVTINF2000&amp;searchSyr=2026&amp;unvCd=0000141</x:v>
      </x:c>
    </x:row>
    <x:row r="21" ht="18" customHeight="1">
      <x:c r="A21" s="40" t="str">
        <x:v>한국외국어대학교</x:v>
      </x:c>
      <x:c r="B21" s="40" t="str">
        <x:v>서울특별시</x:v>
      </x:c>
      <x:c r="C21" s="40" t="str">
        <x:v>사립</x:v>
      </x:c>
      <x:c r="D21" s="40" t="n">
        <x:v>11</x:v>
      </x:c>
      <x:c r="E21" s="60" t="n">
        <x:v>85.14</x:v>
      </x:c>
      <x:c r="F21" s="40" t="n">
        <x:v>0</x:v>
      </x:c>
      <x:c r="G21" s="40" t="n">
        <x:v>11</x:v>
      </x:c>
      <x:c r="H21" s="41" t="str">
        <x:v>https://www.adiga.kr/ucp/uvt/uni/univDetailSelection.do?menuId=PCUVTINF2000&amp;searchSyr=2026&amp;unvCd=0000192</x:v>
      </x:c>
    </x:row>
    <x:row r="22" ht="18" customHeight="1">
      <x:c r="A22" s="40" t="str">
        <x:v>경희대학교</x:v>
      </x:c>
      <x:c r="B22" s="40" t="str">
        <x:v>서울특별시</x:v>
      </x:c>
      <x:c r="C22" s="40" t="str">
        <x:v>사립</x:v>
      </x:c>
      <x:c r="D22" s="40" t="n">
        <x:v>70</x:v>
      </x:c>
      <x:c r="E22" s="60" t="n">
        <x:v>88.21</x:v>
      </x:c>
      <x:c r="F22" s="40" t="n">
        <x:v>0</x:v>
      </x:c>
      <x:c r="G22" s="40" t="n">
        <x:v>70</x:v>
      </x:c>
      <x:c r="H22" s="41" t="str">
        <x:v>https://www.adiga.kr/ucp/uvt/uni/univDetailSelection.do?menuId=PCUVTINF2000&amp;searchSyr=2026&amp;unvCd=0000066</x:v>
      </x:c>
    </x:row>
    <x:row r="23" ht="18" customHeight="1">
      <x:c r="A23" s="40" t="str">
        <x:v>세종대학교</x:v>
      </x:c>
      <x:c r="B23" s="40" t="str">
        <x:v>서울특별시</x:v>
      </x:c>
      <x:c r="C23" s="40" t="str">
        <x:v>사립</x:v>
      </x:c>
      <x:c r="D23" s="40" t="n">
        <x:v>42</x:v>
      </x:c>
      <x:c r="E23" s="60" t="n">
        <x:v>82.83</x:v>
      </x:c>
      <x:c r="F23" s="40" t="n">
        <x:v>0</x:v>
      </x:c>
      <x:c r="G23" s="40" t="n">
        <x:v>42</x:v>
      </x:c>
      <x:c r="H23" s="41" t="str">
        <x:v>https://www.adiga.kr/ucp/uvt/uni/univDetailSelection.do?menuId=PCUVTINF2000&amp;searchSyr=2026&amp;unvCd=0000138</x:v>
      </x:c>
    </x:row>
    <x:row r="24" ht="18" customHeight="1">
      <x:c r="A24" s="40" t="str">
        <x:v>국민대학교</x:v>
      </x:c>
      <x:c r="B24" s="40" t="str">
        <x:v>서울특별시</x:v>
      </x:c>
      <x:c r="C24" s="40" t="str">
        <x:v>사립</x:v>
      </x:c>
      <x:c r="D24" s="40" t="n">
        <x:v>36</x:v>
      </x:c>
      <x:c r="E24" s="60" t="n">
        <x:v>83.22</x:v>
      </x:c>
      <x:c r="F24" s="40" t="n">
        <x:v>0</x:v>
      </x:c>
      <x:c r="G24" s="40" t="n">
        <x:v>36</x:v>
      </x:c>
      <x:c r="H24" s="41" t="str">
        <x:v>https://www.adiga.kr/ucp/uvt/uni/univDetailSelection.do?menuId=PCUVTINF2000&amp;searchSyr=2026&amp;unvCd=0000078</x:v>
      </x:c>
    </x:row>
    <x:row r="25" ht="18" customHeight="1">
      <x:c r="A25" s="40" t="str">
        <x:v>서울시립대학교</x:v>
      </x:c>
      <x:c r="B25" s="40" t="str">
        <x:v>서울특별시</x:v>
      </x:c>
      <x:c r="C25" s="40" t="str">
        <x:v>공립</x:v>
      </x:c>
      <x:c r="D25" s="40" t="n">
        <x:v>38</x:v>
      </x:c>
      <x:c r="E25" s="60" t="n">
        <x:v>88.69</x:v>
      </x:c>
      <x:c r="F25" s="40" t="n">
        <x:v>0</x:v>
      </x:c>
      <x:c r="G25" s="40" t="n">
        <x:v>38</x:v>
      </x:c>
      <x:c r="H25" s="41" t="str">
        <x:v>https://www.adiga.kr/ucp/uvt/uni/univDetailSelection.do?menuId=PCUVTINF2000&amp;searchSyr=2026&amp;unvCd=0000040</x:v>
      </x:c>
    </x:row>
    <x:row r="26" ht="18" customHeight="1">
      <x:c r="A26" s="40" t="str">
        <x:v>덕성여자대학교</x:v>
      </x:c>
      <x:c r="B26" s="40" t="str">
        <x:v>서울특별시</x:v>
      </x:c>
      <x:c r="C26" s="40" t="str">
        <x:v>사립</x:v>
      </x:c>
      <x:c r="D26" s="40" t="n">
        <x:v>8</x:v>
      </x:c>
      <x:c r="E26" s="60" t="n">
        <x:v>78.56</x:v>
      </x:c>
      <x:c r="F26" s="40" t="n">
        <x:v>0</x:v>
      </x:c>
      <x:c r="G26" s="40" t="n">
        <x:v>8</x:v>
      </x:c>
      <x:c r="H26" s="41" t="str">
        <x:v>https://www.adiga.kr/ucp/uvt/uni/univDetailSelection.do?menuId=PCUVTINF2000&amp;searchSyr=2026&amp;unvCd=0000099</x:v>
      </x:c>
    </x:row>
    <x:row r="27" ht="18" customHeight="1">
      <x:c r="A27" s="118" t="str">
        <x:v>경북대학교</x:v>
      </x:c>
      <x:c r="B27" s="118" t="str">
        <x:v>대구광역시</x:v>
      </x:c>
      <x:c r="C27" s="118" t="str">
        <x:v>국립</x:v>
      </x:c>
      <x:c r="D27" s="122" t="n">
        <x:v>11</x:v>
      </x:c>
      <x:c r="E27" s="120" t="n">
        <x:v>77.19</x:v>
      </x:c>
      <x:c r="F27" s="122" t="n">
        <x:v>11</x:v>
      </x:c>
      <x:c r="G27" s="122" t="n">
        <x:v>0</x:v>
      </x:c>
      <x:c r="H27" s="168" t="str">
        <x:v>https://www.adiga.kr/ucp/uvt/uni/univDetailSelection.do?menuId=PCUVTINF2000&amp;searchSyr=2026&amp;unvCd=0000005</x:v>
      </x:c>
    </x:row>
    <x:row r="28" ht="18" customHeight="1">
      <x:c r="A28" s="118" t="str">
        <x:v>전남대학교</x:v>
      </x:c>
      <x:c r="B28" s="118" t="str">
        <x:v>광주광역시</x:v>
      </x:c>
      <x:c r="C28" s="118" t="str">
        <x:v>국립</x:v>
      </x:c>
      <x:c r="D28" s="122" t="n">
        <x:v>12</x:v>
      </x:c>
      <x:c r="E28" s="120" t="n">
        <x:v>76.96</x:v>
      </x:c>
      <x:c r="F28" s="122" t="n">
        <x:v>0</x:v>
      </x:c>
      <x:c r="G28" s="122" t="n">
        <x:v>12</x:v>
      </x:c>
      <x:c r="H28" s="168" t="str">
        <x:v>https://www.adiga.kr/ucp/uvt/uni/univDetailSelection.do?menuId=PCUVTINF2000&amp;searchSyr=2026&amp;unvCd=0000023</x:v>
      </x:c>
    </x:row>
    <x:row r="29" ht="18" customHeight="1">
      <x:c r="A29" s="118" t="str">
        <x:v>강원대학교</x:v>
      </x:c>
      <x:c r="B29" s="118" t="str">
        <x:v>강원특별자치도</x:v>
      </x:c>
      <x:c r="C29" s="118" t="str">
        <x:v>국립</x:v>
      </x:c>
      <x:c r="D29" s="122" t="n">
        <x:v>12</x:v>
      </x:c>
      <x:c r="E29" s="120" t="n">
        <x:v>70.48</x:v>
      </x:c>
      <x:c r="F29" s="122" t="n">
        <x:v>0</x:v>
      </x:c>
      <x:c r="G29" s="122" t="n">
        <x:v>12</x:v>
      </x:c>
      <x:c r="H29" s="168" t="str">
        <x:v>https://www.adiga.kr/ucp/uvt/uni/univDetailSelection.do?menuId=PCUVTINF2000&amp;searchSyr=2026&amp;unvCd=0000003</x:v>
      </x:c>
    </x:row>
    <x:row r="30" ht="18" customHeight="1">
      <x:c r="A30" s="118" t="str">
        <x:v>국립부경대학교</x:v>
      </x:c>
      <x:c r="B30" s="118" t="str">
        <x:v>부산광역시</x:v>
      </x:c>
      <x:c r="C30" s="118" t="str">
        <x:v>국립</x:v>
      </x:c>
      <x:c r="D30" s="122" t="n">
        <x:v>8</x:v>
      </x:c>
      <x:c r="E30" s="120" t="n">
        <x:v>66.69</x:v>
      </x:c>
      <x:c r="F30" s="122" t="n">
        <x:v>0</x:v>
      </x:c>
      <x:c r="G30" s="122" t="n">
        <x:v>8</x:v>
      </x:c>
      <x:c r="H30" s="168" t="str">
        <x:v>https://www.adiga.kr/ucp/uvt/uni/univDetailSelection.do?menuId=PCUVTINF2000&amp;searchSyr=2026&amp;unvCd=0000013</x:v>
      </x:c>
    </x:row>
    <x:row r="31" ht="18" customHeight="1">
      <x:c r="A31" s="118" t="str">
        <x:v>국립창원대학교</x:v>
      </x:c>
      <x:c r="B31" s="118" t="str">
        <x:v>경상남도</x:v>
      </x:c>
      <x:c r="C31" s="118" t="str">
        <x:v>국립</x:v>
      </x:c>
      <x:c r="D31" s="122" t="n">
        <x:v>18</x:v>
      </x:c>
      <x:c r="E31" s="120" t="n">
        <x:v>56.41</x:v>
      </x:c>
      <x:c r="F31" s="122" t="n">
        <x:v>0</x:v>
      </x:c>
      <x:c r="G31" s="122" t="n">
        <x:v>18</x:v>
      </x:c>
      <x:c r="H31" s="168" t="str">
        <x:v>https://www.adiga.kr/ucp/uvt/uni/univDetailSelection.do?menuId=PCUVTINF2000&amp;searchSyr=2026&amp;unvCd=0000028</x:v>
      </x:c>
    </x:row>
    <x:row r="32" ht="18" customHeight="1">
      <x:c r="A32" s="118" t="str">
        <x:v>국립목포대학교</x:v>
      </x:c>
      <x:c r="B32" s="118" t="str">
        <x:v>전라남도</x:v>
      </x:c>
      <x:c r="C32" s="118" t="str">
        <x:v>국립</x:v>
      </x:c>
      <x:c r="D32" s="122" t="n">
        <x:v>9</x:v>
      </x:c>
      <x:c r="E32" s="120" t="n">
        <x:v>46.25</x:v>
      </x:c>
      <x:c r="F32" s="122" t="n">
        <x:v>0</x:v>
      </x:c>
      <x:c r="G32" s="122" t="n">
        <x:v>9</x:v>
      </x:c>
      <x:c r="H32" s="168" t="str">
        <x:v>https://www.adiga.kr/ucp/uvt/uni/univDetailSelection.do?menuId=PCUVTINF2000&amp;searchSyr=2026&amp;unvCd=0000011</x:v>
      </x:c>
    </x:row>
    <x:row r="33" ht="18" customHeight="1">
      <x:c r="A33" s="118" t="str">
        <x:v>경상국립대학교</x:v>
      </x:c>
      <x:c r="B33" s="118" t="str">
        <x:v>경상남도</x:v>
      </x:c>
      <x:c r="C33" s="118" t="str">
        <x:v>국립</x:v>
      </x:c>
      <x:c r="D33" s="122" t="n">
        <x:v>28</x:v>
      </x:c>
      <x:c r="E33" s="120" t="n">
        <x:v>73.03</x:v>
      </x:c>
      <x:c r="F33" s="122" t="n">
        <x:v>0</x:v>
      </x:c>
      <x:c r="G33" s="122" t="n">
        <x:v>28</x:v>
      </x:c>
      <x:c r="H33" s="168" t="str">
        <x:v>https://www.adiga.kr/ucp/uvt/uni/univDetailSelection.do?menuId=PCUVTINF2000&amp;searchSyr=2026&amp;unvCd=0000007</x:v>
      </x:c>
    </x:row>
    <x:row r="34" ht="18" customHeight="1">
      <x:c r="A34" s="118" t="str">
        <x:v>충북대학교</x:v>
      </x:c>
      <x:c r="B34" s="118" t="str">
        <x:v>충청북도</x:v>
      </x:c>
      <x:c r="C34" s="118" t="str">
        <x:v>국립</x:v>
      </x:c>
      <x:c r="D34" s="122" t="n">
        <x:v>3</x:v>
      </x:c>
      <x:c r="E34" s="120" t="n">
        <x:v>86.06</x:v>
      </x:c>
      <x:c r="F34" s="122" t="n">
        <x:v>0</x:v>
      </x:c>
      <x:c r="G34" s="122" t="n">
        <x:v>3</x:v>
      </x:c>
      <x:c r="H34" s="168" t="str">
        <x:v>https://www.adiga.kr/ucp/uvt/uni/univDetailSelection.do?menuId=PCUVTINF2000&amp;searchSyr=2026&amp;unvCd=0000030</x:v>
      </x:c>
    </x:row>
    <x:row r="35" ht="18" customHeight="1">
      <x:c r="A35" s="119" t="str">
        <x:v>국립군산대학교</x:v>
      </x:c>
      <x:c r="B35" s="119" t="str">
        <x:v>전북특별자치도</x:v>
      </x:c>
      <x:c r="C35" s="119" t="str">
        <x:v>국립</x:v>
      </x:c>
      <x:c r="D35" s="123" t="n">
        <x:v>5</x:v>
      </x:c>
      <x:c r="E35" s="121" t="n">
        <x:v>41.35</x:v>
      </x:c>
      <x:c r="F35" s="123" t="n">
        <x:v>0</x:v>
      </x:c>
      <x:c r="G35" s="123" t="n">
        <x:v>5</x:v>
      </x:c>
      <x:c r="H35" s="169" t="str">
        <x:v>https://www.adiga.kr/ucp/uvt/uni/univDetailSelection.do?menuId=PCUVTINF2000&amp;searchSyr=2026&amp;unvCd=0000009</x:v>
      </x:c>
    </x:row>
    <x:row r="36" ht="18" customHeight="1">
      <x:c r="A36" s="116" t="str">
        <x:v>국립한국교통대학교</x:v>
      </x:c>
      <x:c r="B36" s="116" t="str">
        <x:v>충청북도</x:v>
      </x:c>
      <x:c r="C36" s="116" t="str">
        <x:v>국립</x:v>
      </x:c>
      <x:c r="D36" s="138" t="n">
        <x:v>25</x:v>
      </x:c>
      <x:c r="E36" s="139" t="n">
        <x:v>80.67</x:v>
      </x:c>
      <x:c r="F36" s="138" t="n">
        <x:v>25</x:v>
      </x:c>
      <x:c r="G36" s="138" t="n">
        <x:v>0</x:v>
      </x:c>
      <x:c r="H36" s="170" t="str">
        <x:v>https://www.adiga.kr/ucp/uvt/uni/univDetailSelection.do?menuId=PCUVTINF2000&amp;searchSyr=2026&amp;unvCd=0000034</x:v>
      </x:c>
    </x:row>
    <x:row r="37" ht="18" customHeight="1">
      <x:c r="A37" s="116" t="str">
        <x:v>국립공주대학교</x:v>
      </x:c>
      <x:c r="B37" s="116" t="str">
        <x:v>충청남도</x:v>
      </x:c>
      <x:c r="C37" s="116" t="str">
        <x:v>국립</x:v>
      </x:c>
      <x:c r="D37" s="138" t="n">
        <x:v>31</x:v>
      </x:c>
      <x:c r="E37" s="139" t="n">
        <x:v>82.83</x:v>
      </x:c>
      <x:c r="F37" s="138" t="n">
        <x:v>31</x:v>
      </x:c>
      <x:c r="G37" s="138" t="n">
        <x:v>0</x:v>
      </x:c>
      <x:c r="H37" s="170" t="str">
        <x:v>https://www.adiga.kr/ucp/uvt/uni/univDetailSelection.do?menuId=PCUVTINF2000&amp;searchSyr=2026&amp;unvCd=0000008</x:v>
      </x:c>
    </x:row>
    <x:row r="38" ht="18" customHeight="1">
      <x:c r="A38" t="str">
        <x:v>영남대학교</x:v>
      </x:c>
      <x:c r="B38" t="str">
        <x:v>경상북도</x:v>
      </x:c>
      <x:c r="C38" t="str">
        <x:v>사립</x:v>
      </x:c>
      <x:c r="D38" t="n">
        <x:v>40</x:v>
      </x:c>
      <x:c r="E38" s="48" t="n">
        <x:v>67.61</x:v>
      </x:c>
      <x:c r="F38" t="n">
        <x:v>40</x:v>
      </x:c>
      <x:c r="G38" t="n">
        <x:v>0</x:v>
      </x:c>
      <x:c r="H38" s="18" t="str">
        <x:v>https://www.adiga.kr/ucp/uvt/uni/univDetailSelection.do?menuId=PCUVTINF2000&amp;searchSyr=2026&amp;unvCd=0000151</x:v>
      </x:c>
    </x:row>
    <x:row r="39" ht="18" customHeight="1">
      <x:c r="A39" t="str">
        <x:v>동아대학교</x:v>
      </x:c>
      <x:c r="B39" t="str">
        <x:v>부산광역시</x:v>
      </x:c>
      <x:c r="C39" t="str">
        <x:v>사립</x:v>
      </x:c>
      <x:c r="D39" t="n">
        <x:v>12</x:v>
      </x:c>
      <x:c r="E39" s="48" t="n">
        <x:v>61.19</x:v>
      </x:c>
      <x:c r="F39" t="n">
        <x:v>12</x:v>
      </x:c>
      <x:c r="G39" t="n">
        <x:v>0</x:v>
      </x:c>
      <x:c r="H39" s="18" t="str">
        <x:v>https://www.adiga.kr/ucp/uvt/uni/univDetailSelection.do?menuId=PCUVTINF2000&amp;searchSyr=2026&amp;unvCd=0000105</x:v>
      </x:c>
    </x:row>
    <x:row r="40" ht="18" customHeight="1">
      <x:c r="A40" t="str">
        <x:v>인제대학교</x:v>
      </x:c>
      <x:c r="B40" t="str">
        <x:v>경상남도</x:v>
      </x:c>
      <x:c r="C40" t="str">
        <x:v>사립</x:v>
      </x:c>
      <x:c r="D40" t="n">
        <x:v>8</x:v>
      </x:c>
      <x:c r="E40" s="48" t="n">
        <x:v>67.94</x:v>
      </x:c>
      <x:c r="F40" t="n">
        <x:v>8</x:v>
      </x:c>
      <x:c r="G40" t="n">
        <x:v>0</x:v>
      </x:c>
      <x:c r="H40" s="18" t="str">
        <x:v>https://www.adiga.kr/ucp/uvt/uni/univDetailSelection.do?menuId=PCUVTINF2000&amp;searchSyr=2026&amp;unvCd=0000164</x:v>
      </x:c>
    </x:row>
    <x:row r="41" ht="18" customHeight="1">
      <x:c r="A41" t="str">
        <x:v>호서대학교</x:v>
      </x:c>
      <x:c r="B41" t="str">
        <x:v>충청남도</x:v>
      </x:c>
      <x:c r="C41" t="str">
        <x:v>사립</x:v>
      </x:c>
      <x:c r="D41" t="n">
        <x:v>12</x:v>
      </x:c>
      <x:c r="E41" s="48" t="n">
        <x:v>65.83</x:v>
      </x:c>
      <x:c r="F41" t="n">
        <x:v>12</x:v>
      </x:c>
      <x:c r="G41" t="n">
        <x:v>0</x:v>
      </x:c>
      <x:c r="H41" s="18" t="str">
        <x:v>https://www.adiga.kr/ucp/uvt/uni/univDetailSelection.do?menuId=PCUVTINF2000&amp;searchSyr=2026&amp;unvCd=0000211</x:v>
      </x:c>
    </x:row>
    <x:row r="42" ht="18" customHeight="1">
      <x:c r="A42" t="str">
        <x:v>계명대학교</x:v>
      </x:c>
      <x:c r="B42" t="str">
        <x:v>대구광역시</x:v>
      </x:c>
      <x:c r="C42" t="str">
        <x:v>사립</x:v>
      </x:c>
      <x:c r="D42" t="n">
        <x:v>12</x:v>
      </x:c>
      <x:c r="E42" s="48" t="n">
        <x:v>47.86</x:v>
      </x:c>
      <x:c r="F42" t="n">
        <x:v>0</x:v>
      </x:c>
      <x:c r="G42" t="n">
        <x:v>12</x:v>
      </x:c>
      <x:c r="H42" s="18" t="str">
        <x:v>https://www.adiga.kr/ucp/uvt/uni/univDetailSelection.do?menuId=PCUVTINF2000&amp;searchSyr=2026&amp;unvCd=0000068</x:v>
      </x:c>
    </x:row>
    <x:row r="43" ht="18" customHeight="1">
      <x:c r="A43" t="str">
        <x:v>원광대학교</x:v>
      </x:c>
      <x:c r="B43" t="str">
        <x:v>전북특별자치도</x:v>
      </x:c>
      <x:c r="C43" t="str">
        <x:v>사립</x:v>
      </x:c>
      <x:c r="D43" t="n">
        <x:v>11</x:v>
      </x:c>
      <x:c r="E43" s="48" t="n">
        <x:v>60.11</x:v>
      </x:c>
      <x:c r="F43" t="n">
        <x:v>0</x:v>
      </x:c>
      <x:c r="G43" t="n">
        <x:v>11</x:v>
      </x:c>
      <x:c r="H43" s="18" t="str">
        <x:v>https://www.adiga.kr/ucp/uvt/uni/univDetailSelection.do?menuId=PCUVTINF2000&amp;searchSyr=2026&amp;unvCd=0000159</x:v>
      </x:c>
    </x:row>
    <x:row r="44" ht="18" customHeight="1">
      <x:c r="A44" t="str">
        <x:v>순천향대학교</x:v>
      </x:c>
      <x:c r="B44" t="str">
        <x:v>충청남도</x:v>
      </x:c>
      <x:c r="C44" t="str">
        <x:v>사립</x:v>
      </x:c>
      <x:c r="D44" t="n">
        <x:v>13</x:v>
      </x:c>
      <x:c r="E44" s="48" t="n">
        <x:v>56.54</x:v>
      </x:c>
      <x:c r="F44" t="n">
        <x:v>0</x:v>
      </x:c>
      <x:c r="G44" t="n">
        <x:v>13</x:v>
      </x:c>
      <x:c r="H44" s="18" t="str">
        <x:v>https://www.adiga.kr/ucp/uvt/uni/univDetailSelection.do?menuId=PCUVTINF2000&amp;searchSyr=2026&amp;unvCd=0000142</x:v>
      </x:c>
    </x:row>
    <x:row r="45" ht="18" customHeight="1">
      <x:c r="A45" t="str">
        <x:v>조선대학교</x:v>
      </x:c>
      <x:c r="B45" t="str">
        <x:v>광주광역시</x:v>
      </x:c>
      <x:c r="C45" t="str">
        <x:v>사립</x:v>
      </x:c>
      <x:c r="D45" t="n">
        <x:v>13</x:v>
      </x:c>
      <x:c r="E45" s="48" t="n">
        <x:v>64.02</x:v>
      </x:c>
      <x:c r="F45" t="n">
        <x:v>0</x:v>
      </x:c>
      <x:c r="G45" t="n">
        <x:v>13</x:v>
      </x:c>
      <x:c r="H45" s="18" t="str">
        <x:v>https://www.adiga.kr/ucp/uvt/uni/univDetailSelection.do?menuId=PCUVTINF2000&amp;searchSyr=2026&amp;unvCd=0000172</x:v>
      </x:c>
    </x:row>
    <x:row r="46" ht="18" customHeight="1">
      <x:c r="A46" t="str">
        <x:v>경성대학교</x:v>
      </x:c>
      <x:c r="B46" t="str">
        <x:v>부산광역시</x:v>
      </x:c>
      <x:c r="C46" t="str">
        <x:v>사립</x:v>
      </x:c>
      <x:c r="D46" t="n">
        <x:v>7</x:v>
      </x:c>
      <x:c r="E46" s="48" t="n">
        <x:v>48.75</x:v>
      </x:c>
      <x:c r="F46" t="n">
        <x:v>0</x:v>
      </x:c>
      <x:c r="G46" t="n">
        <x:v>7</x:v>
      </x:c>
      <x:c r="H46" s="18" t="str">
        <x:v>https://www.adiga.kr/ucp/uvt/uni/univDetailSelection.do?menuId=PCUVTINF2000&amp;searchSyr=2026&amp;unvCd=0000062</x:v>
      </x:c>
    </x:row>
    <x:row r="47" ht="18" customHeight="1">
      <x:c r="A47" t="str">
        <x:v>동의대학교</x:v>
      </x:c>
      <x:c r="B47" t="str">
        <x:v>부산광역시</x:v>
      </x:c>
      <x:c r="C47" t="str">
        <x:v>사립</x:v>
      </x:c>
      <x:c r="D47" t="n">
        <x:v>7</x:v>
      </x:c>
      <x:c r="E47" s="48" t="n">
        <x:v>40.14</x:v>
      </x:c>
      <x:c r="F47" t="n">
        <x:v>0</x:v>
      </x:c>
      <x:c r="G47" t="n">
        <x:v>7</x:v>
      </x:c>
      <x:c r="H47" s="18" t="str">
        <x:v>https://www.adiga.kr/ucp/uvt/uni/univDetailSelection.do?menuId=PCUVTINF2000&amp;searchSyr=2026&amp;unvCd=0000107</x:v>
      </x:c>
    </x:row>
    <x:row r="48" ht="18" customHeight="1">
      <x:c r="A48" t="str">
        <x:v>한남대학교</x:v>
      </x:c>
      <x:c r="B48" t="str">
        <x:v>대전광역시</x:v>
      </x:c>
      <x:c r="C48" t="str">
        <x:v>사립</x:v>
      </x:c>
      <x:c r="D48" t="n">
        <x:v>7</x:v>
      </x:c>
      <x:c r="E48" s="48" t="n">
        <x:v>55.32</x:v>
      </x:c>
      <x:c r="F48" t="n">
        <x:v>0</x:v>
      </x:c>
      <x:c r="G48" t="n">
        <x:v>7</x:v>
      </x:c>
      <x:c r="H48" s="18" t="str">
        <x:v>https://www.adiga.kr/ucp/uvt/uni/univDetailSelection.do?menuId=PCUVTINF2000&amp;searchSyr=2026&amp;unvCd=0000195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9b1e83aa53a4703"/>
  <x:tableParts count="1">
    <x:tablePart xmlns:r="http://schemas.openxmlformats.org/officeDocument/2006/relationships" r:id="Rd5892124e25d43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4" hidden="0" customWidth="1"/>
    <x:col min="4" max="4" width="14" hidden="0" customWidth="1"/>
    <x:col min="5" max="5" width="34" hidden="0" customWidth="1"/>
    <x:col min="6" max="6" width="48" hidden="0" customWidth="1"/>
    <x:col min="7" max="7" width="44" hidden="0" customWidth="1"/>
    <x:col min="8" max="8" width="55" hidden="0" customWidth="1"/>
  </x:cols>
  <x:sheetData>
    <x:row r="1">
      <x:c r="A1" s="97" t="str">
        <x:v>공식 출처 및 수록 현황 — v5 지방 사립대 확장</x:v>
      </x:c>
      <x:c r="B1" s="97"/>
      <x:c r="C1" s="97"/>
      <x:c r="D1" s="97"/>
      <x:c r="E1" s="97"/>
      <x:c r="F1" s="97"/>
      <x:c r="G1" s="97"/>
      <x:c r="H1" s="6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02" t="str">
        <x:v>메인 정규화 데이터에 실제 반영된 공식 2025학년도 출처</x:v>
      </x:c>
      <x:c r="B3" s="102"/>
      <x:c r="C3" s="102"/>
      <x:c r="D3" s="102"/>
      <x:c r="E3" s="102"/>
      <x:c r="F3" s="102"/>
      <x:c r="G3" s="102"/>
      <x:c r="H3" s="69"/>
    </x:row>
    <x:row r="4">
      <x:c r="A4" s="87" t="str">
        <x:v>대학명</x:v>
      </x:c>
      <x:c r="B4" s="87" t="str">
        <x:v>지역</x:v>
      </x:c>
      <x:c r="C4" s="87" t="str">
        <x:v>학년도</x:v>
      </x:c>
      <x:c r="D4" s="87" t="str">
        <x:v>수록 행 수</x:v>
      </x:c>
      <x:c r="E4" s="87" t="str">
        <x:v>상태</x:v>
      </x:c>
      <x:c r="F4" s="87" t="str">
        <x:v>공식 URL</x:v>
      </x:c>
      <x:c r="G4" s="99" t="str">
        <x:v>비고</x:v>
      </x:c>
      <x:c r="H4" s="18"/>
    </x:row>
    <x:row r="5">
      <x:c r="A5" s="18" t="str">
        <x:v>건국대학교</x:v>
      </x:c>
      <x:c r="B5" s="18" t="str">
        <x:v>서울특별시</x:v>
      </x:c>
      <x:c r="C5" s="18" t="n">
        <x:v>2025</x:v>
      </x:c>
      <x:c r="D5" s="18" t="n">
        <x:v>17</x:v>
      </x:c>
      <x:c r="E5" s="18" t="str">
        <x:v>메인 데이터 반영 완료</x:v>
      </x:c>
      <x:c r="F5" s="18" t="str">
        <x:v>https://www.adiga.kr/ucp/uvt/uni/univDetailSelection.do?menuId=PCUVTINF2000&amp;searchSyr=2026&amp;unvCd=0000052</x:v>
      </x:c>
      <x:c r="G5" s="18" t="str">
        <x:v>과목별 70% 백분위/공식 평균백분위가 확인된 호환 행만 수록</x:v>
      </x:c>
      <x:c r="H5" s="18"/>
    </x:row>
    <x:row r="6">
      <x:c r="A6" s="18" t="str">
        <x:v>경희대학교</x:v>
      </x:c>
      <x:c r="B6" s="18" t="str">
        <x:v>서울특별시</x:v>
      </x:c>
      <x:c r="C6" s="18" t="n">
        <x:v>2025</x:v>
      </x:c>
      <x:c r="D6" s="18" t="n">
        <x:v>70</x:v>
      </x:c>
      <x:c r="E6" s="18" t="str">
        <x:v>메인 데이터 반영 완료</x:v>
      </x:c>
      <x:c r="F6" s="18" t="str">
        <x:v>https://www.adiga.kr/ucp/uvt/uni/univDetailSelection.do?menuId=PCUVTINF2000&amp;searchSyr=2026&amp;unvCd=0000066</x:v>
      </x:c>
      <x:c r="G6" s="18" t="str">
        <x:v>과목별 70% 백분위/공식 평균백분위가 확인된 호환 행만 수록</x:v>
      </x:c>
      <x:c r="H6" s="18"/>
    </x:row>
    <x:row r="7">
      <x:c r="A7" s="18" t="str">
        <x:v>국민대학교</x:v>
      </x:c>
      <x:c r="B7" s="18" t="str">
        <x:v>서울특별시</x:v>
      </x:c>
      <x:c r="C7" s="18" t="n">
        <x:v>2025</x:v>
      </x:c>
      <x:c r="D7" s="18" t="n">
        <x:v>36</x:v>
      </x:c>
      <x:c r="E7" s="18" t="str">
        <x:v>메인 데이터 반영 완료</x:v>
      </x:c>
      <x:c r="F7" s="18" t="str">
        <x:v>https://www.adiga.kr/ucp/uvt/uni/univDetailSelection.do?menuId=PCUVTINF2000&amp;searchSyr=2026&amp;unvCd=0000078</x:v>
      </x:c>
      <x:c r="G7" s="18" t="str">
        <x:v>과목별 70% 백분위/공식 평균백분위가 확인된 호환 행만 수록</x:v>
      </x:c>
      <x:c r="H7" s="18"/>
    </x:row>
    <x:row r="8">
      <x:c r="A8" s="18" t="str">
        <x:v>덕성여자대학교</x:v>
      </x:c>
      <x:c r="B8" s="18" t="str">
        <x:v>서울특별시</x:v>
      </x:c>
      <x:c r="C8" s="18" t="n">
        <x:v>2025</x:v>
      </x:c>
      <x:c r="D8" s="18" t="n">
        <x:v>8</x:v>
      </x:c>
      <x:c r="E8" s="18" t="str">
        <x:v>메인 데이터 반영 완료</x:v>
      </x:c>
      <x:c r="F8" s="18" t="str">
        <x:v>https://www.adiga.kr/ucp/uvt/uni/univDetailSelection.do?menuId=PCUVTINF2000&amp;searchSyr=2026&amp;unvCd=0000099</x:v>
      </x:c>
      <x:c r="G8" s="18" t="str">
        <x:v>과목별 70% 백분위/공식 평균백분위가 확인된 호환 행만 수록</x:v>
      </x:c>
      <x:c r="H8" s="18"/>
    </x:row>
    <x:row r="9">
      <x:c r="A9" s="18" t="str">
        <x:v>서강대학교</x:v>
      </x:c>
      <x:c r="B9" s="18" t="str">
        <x:v>서울특별시</x:v>
      </x:c>
      <x:c r="C9" s="18" t="n">
        <x:v>2025</x:v>
      </x:c>
      <x:c r="D9" s="18" t="n">
        <x:v>11</x:v>
      </x:c>
      <x:c r="E9" s="18" t="str">
        <x:v>메인 데이터 반영 완료</x:v>
      </x:c>
      <x:c r="F9" s="18" t="str">
        <x:v>https://www.adiga.kr/ucp/uvt/uni/univDetailSelection.do?menuId=PCUVTINF2000&amp;searchSyr=2026&amp;unvCd=0000120</x:v>
      </x:c>
      <x:c r="G9" s="18" t="str">
        <x:v>과목별 70% 백분위/공식 평균백분위가 확인된 호환 행만 수록</x:v>
      </x:c>
      <x:c r="H9" s="18"/>
    </x:row>
    <x:row r="10">
      <x:c r="A10" s="18" t="str">
        <x:v>서울과학기술대학교</x:v>
      </x:c>
      <x:c r="B10" s="18" t="str">
        <x:v>서울특별시</x:v>
      </x:c>
      <x:c r="C10" s="18" t="n">
        <x:v>2025</x:v>
      </x:c>
      <x:c r="D10" s="18" t="n">
        <x:v>41</x:v>
      </x:c>
      <x:c r="E10" s="18" t="str">
        <x:v>메인 데이터 반영 완료</x:v>
      </x:c>
      <x:c r="F10" s="18" t="str">
        <x:v>https://www.adiga.kr/ucp/uvt/uni/univDetailSelection.do?menuId=PCUVTINF2000&amp;searchSyr=2026&amp;unvCd=0000036</x:v>
      </x:c>
      <x:c r="G10" s="18" t="str">
        <x:v>과목별 70% 백분위/공식 평균백분위가 확인된 호환 행만 수록</x:v>
      </x:c>
      <x:c r="H10" s="18"/>
    </x:row>
    <x:row r="11">
      <x:c r="A11" s="18" t="str">
        <x:v>서울시립대학교</x:v>
      </x:c>
      <x:c r="B11" s="18" t="str">
        <x:v>서울특별시</x:v>
      </x:c>
      <x:c r="C11" s="18" t="n">
        <x:v>2025</x:v>
      </x:c>
      <x:c r="D11" s="18" t="n">
        <x:v>38</x:v>
      </x:c>
      <x:c r="E11" s="18" t="str">
        <x:v>메인 데이터 반영 완료</x:v>
      </x:c>
      <x:c r="F11" s="18" t="str">
        <x:v>https://www.adiga.kr/ucp/uvt/uni/univDetailSelection.do?menuId=PCUVTINF2000&amp;searchSyr=2026&amp;unvCd=0000040</x:v>
      </x:c>
      <x:c r="G11" s="18" t="str">
        <x:v>과목별 70% 백분위/공식 평균백분위가 확인된 호환 행만 수록</x:v>
      </x:c>
      <x:c r="H11" s="18"/>
    </x:row>
    <x:row r="12">
      <x:c r="A12" s="18" t="str">
        <x:v>성균관대학교</x:v>
      </x:c>
      <x:c r="B12" s="18" t="str">
        <x:v>서울특별시</x:v>
      </x:c>
      <x:c r="C12" s="18" t="n">
        <x:v>2025</x:v>
      </x:c>
      <x:c r="D12" s="18" t="n">
        <x:v>12</x:v>
      </x:c>
      <x:c r="E12" s="18" t="str">
        <x:v>메인 데이터 반영 완료</x:v>
      </x:c>
      <x:c r="F12" s="18" t="str">
        <x:v>https://www.adiga.kr/ucp/uvt/uni/univDetailSelection.do?menuId=PCUVTINF2000&amp;searchSyr=2026&amp;unvCd=0000133</x:v>
      </x:c>
      <x:c r="G12" s="18" t="str">
        <x:v>과목별 70% 백분위/공식 평균백분위가 확인된 호환 행만 수록</x:v>
      </x:c>
      <x:c r="H12" s="18"/>
    </x:row>
    <x:row r="13">
      <x:c r="A13" s="18" t="str">
        <x:v>세종대학교</x:v>
      </x:c>
      <x:c r="B13" s="18" t="str">
        <x:v>서울특별시</x:v>
      </x:c>
      <x:c r="C13" s="18" t="n">
        <x:v>2025</x:v>
      </x:c>
      <x:c r="D13" s="18" t="n">
        <x:v>42</x:v>
      </x:c>
      <x:c r="E13" s="18" t="str">
        <x:v>메인 데이터 반영 완료</x:v>
      </x:c>
      <x:c r="F13" s="18" t="str">
        <x:v>https://www.adiga.kr/ucp/uvt/uni/univDetailSelection.do?menuId=PCUVTINF2000&amp;searchSyr=2026&amp;unvCd=0000138</x:v>
      </x:c>
      <x:c r="G13" s="18" t="str">
        <x:v>과목별 70% 백분위/공식 평균백분위가 확인된 호환 행만 수록</x:v>
      </x:c>
      <x:c r="H13" s="18"/>
    </x:row>
    <x:row r="14">
      <x:c r="A14" s="18" t="str">
        <x:v>숙명여자대학교</x:v>
      </x:c>
      <x:c r="B14" s="18" t="str">
        <x:v>서울특별시</x:v>
      </x:c>
      <x:c r="C14" s="18" t="n">
        <x:v>2025</x:v>
      </x:c>
      <x:c r="D14" s="18" t="n">
        <x:v>10</x:v>
      </x:c>
      <x:c r="E14" s="18" t="str">
        <x:v>메인 데이터 반영 완료</x:v>
      </x:c>
      <x:c r="F14" s="18" t="str">
        <x:v>https://adiga.kr/ucp/uvt/uni/univDetailSelection.do?menuId=PCUVTINF2000&amp;searchSyr=2026&amp;unvCd=0000141</x:v>
      </x:c>
      <x:c r="G14" s="18" t="str">
        <x:v>과목별 70% 백분위/공식 평균백분위가 확인된 호환 행만 수록</x:v>
      </x:c>
      <x:c r="H14" s="18"/>
    </x:row>
    <x:row r="15">
      <x:c r="A15" s="18" t="str">
        <x:v>연세대학교</x:v>
      </x:c>
      <x:c r="B15" s="18" t="str">
        <x:v>서울특별시</x:v>
      </x:c>
      <x:c r="C15" s="18" t="n">
        <x:v>2025</x:v>
      </x:c>
      <x:c r="D15" s="18" t="n">
        <x:v>25</x:v>
      </x:c>
      <x:c r="E15" s="18" t="str">
        <x:v>메인 데이터 반영 완료</x:v>
      </x:c>
      <x:c r="F15" s="18" t="str">
        <x:v>https://www.adiga.kr/ucp/uvt/uni/univDetailSelection.do?menuId=PCUVTINF2000&amp;searchSyr=2026&amp;unvCd=0000149</x:v>
      </x:c>
      <x:c r="G15" s="18" t="str">
        <x:v>과목별 70% 백분위/공식 평균백분위가 확인된 호환 행만 수록</x:v>
      </x:c>
      <x:c r="H15" s="18"/>
    </x:row>
    <x:row r="16">
      <x:c r="A16" s="18" t="str">
        <x:v>중앙대학교</x:v>
      </x:c>
      <x:c r="B16" s="18" t="str">
        <x:v>서울특별시</x:v>
      </x:c>
      <x:c r="C16" s="18" t="n">
        <x:v>2025</x:v>
      </x:c>
      <x:c r="D16" s="18" t="n">
        <x:v>18</x:v>
      </x:c>
      <x:c r="E16" s="18" t="str">
        <x:v>메인 데이터 반영 완료</x:v>
      </x:c>
      <x:c r="F16" s="18" t="str">
        <x:v>https://adiga.kr/ucp/uvt/uni/univDetailSelection.do?menuId=PCUVTINF2000&amp;searchSyr=2026&amp;unvCd=0000175</x:v>
      </x:c>
      <x:c r="G16" s="18" t="str">
        <x:v>과목별 70% 백분위/공식 평균백분위가 확인된 호환 행만 수록</x:v>
      </x:c>
      <x:c r="H16" s="18"/>
    </x:row>
    <x:row r="17">
      <x:c r="A17" s="69" t="str">
        <x:v>한국외국어대학교</x:v>
      </x:c>
      <x:c r="B17" s="69" t="str">
        <x:v>서울특별시</x:v>
      </x:c>
      <x:c r="C17" s="69" t="n">
        <x:v>2025</x:v>
      </x:c>
      <x:c r="D17" s="69" t="n">
        <x:v>11</x:v>
      </x:c>
      <x:c r="E17" s="69" t="str">
        <x:v>메인 데이터 반영 완료</x:v>
      </x:c>
      <x:c r="F17" s="69" t="str">
        <x:v>https://www.adiga.kr/ucp/uvt/uni/univDetailSelection.do?menuId=PCUVTINF2000&amp;searchSyr=2026&amp;unvCd=0000192</x:v>
      </x:c>
      <x:c r="G17" s="69" t="str">
        <x:v>과목별 70% 백분위/공식 평균백분위가 확인된 호환 행만 수록</x:v>
      </x:c>
      <x:c r="H17" s="69"/>
    </x:row>
    <x:row r="18">
      <x:c r="A18" s="23" t="str">
        <x:v>한양대학교</x:v>
      </x:c>
      <x:c r="B18" s="23" t="str">
        <x:v>서울특별시</x:v>
      </x:c>
      <x:c r="C18" s="23" t="n">
        <x:v>2025</x:v>
      </x:c>
      <x:c r="D18" s="23" t="n">
        <x:v>34</x:v>
      </x:c>
      <x:c r="E18" s="23" t="str">
        <x:v>메인 데이터 반영 완료</x:v>
      </x:c>
      <x:c r="F18" s="23" t="str">
        <x:v>https://www.adiga.kr/ucp/uvt/uni/univDetailSelection.do?menuId=PCUVTINF2000&amp;searchSyr=2026&amp;unvCd=0000203</x:v>
      </x:c>
      <x:c r="G18" s="23" t="str">
        <x:v>과목별 70% 백분위/공식 평균백분위가 확인된 호환 행만 수록</x:v>
      </x:c>
      <x:c r="H18" s="18"/>
    </x:row>
    <x:row r="19">
      <x:c r="A19" s="18" t="str">
        <x:v>아주대학교</x:v>
      </x:c>
      <x:c r="B19" s="18" t="str">
        <x:v>경기도</x:v>
      </x:c>
      <x:c r="C19" s="18" t="n">
        <x:v>2025</x:v>
      </x:c>
      <x:c r="D19" s="18" t="n">
        <x:v>7</x:v>
      </x:c>
      <x:c r="E19" s="18" t="str">
        <x:v>메인 데이터 반영 완료</x:v>
      </x:c>
      <x:c r="F19" s="18" t="str">
        <x:v>https://www.adiga.kr/ucp/uvt/uni/univDetailSelection.do?menuId=PCUVTINF2000&amp;searchSyr=2026&amp;unvCd=0000146</x:v>
      </x:c>
      <x:c r="G19" s="18" t="str">
        <x:v>과목별 70% 백분위/공식 평균백분위가 확인된 호환 행만 수록</x:v>
      </x:c>
      <x:c r="H19" s="18"/>
    </x:row>
    <x:row r="20">
      <x:c r="A20" s="18" t="str">
        <x:v>한세대학교</x:v>
      </x:c>
      <x:c r="B20" s="18" t="str">
        <x:v>경기도</x:v>
      </x:c>
      <x:c r="C20" s="18" t="n">
        <x:v>2025</x:v>
      </x:c>
      <x:c r="D20" s="18" t="n">
        <x:v>12</x:v>
      </x:c>
      <x:c r="E20" s="18" t="str">
        <x:v>메인 데이터 반영 완료</x:v>
      </x:c>
      <x:c r="F20" s="18" t="str">
        <x:v>https://www.adiga.kr/ucp/uvt/uni/univDetailSelection.do?menuId=PCUVTINF2000&amp;searchSyr=2026&amp;unvCd=0000201</x:v>
      </x:c>
      <x:c r="G20" s="18" t="str">
        <x:v>과목별 70% 백분위/공식 평균백분위가 확인된 호환 행만 수록</x:v>
      </x:c>
      <x:c r="H20" s="18"/>
    </x:row>
    <x:row r="21">
      <x:c r="A21" s="18" t="str">
        <x:v>인하대학교</x:v>
      </x:c>
      <x:c r="B21" s="18" t="str">
        <x:v>인천광역시</x:v>
      </x:c>
      <x:c r="C21" s="18" t="n">
        <x:v>2025</x:v>
      </x:c>
      <x:c r="D21" s="18" t="n">
        <x:v>13</x:v>
      </x:c>
      <x:c r="E21" s="18" t="str">
        <x:v>메인 데이터 반영 완료</x:v>
      </x:c>
      <x:c r="F21" s="18" t="str">
        <x:v>https://www.adiga.kr/ucp/uvt/uni/univDetailSelection.do?menuId=PCUVTINF2000&amp;searchSyr=2026&amp;unvCd=0000169</x:v>
      </x:c>
      <x:c r="G21" s="18" t="str">
        <x:v>과목별 70% 백분위/공식 평균백분위가 확인된 호환 행만 수록</x:v>
      </x:c>
      <x:c r="H21" s="18"/>
    </x:row>
    <x:row r="22">
      <x:c r="A22" s="18" t="str">
        <x:v>춘천교육대학교</x:v>
      </x:c>
      <x:c r="B22" s="18" t="str">
        <x:v>강원특별자치도</x:v>
      </x:c>
      <x:c r="C22" s="18" t="n">
        <x:v>2025</x:v>
      </x:c>
      <x:c r="D22" s="18" t="n">
        <x:v>1</x:v>
      </x:c>
      <x:c r="E22" s="18" t="str">
        <x:v>메인 데이터 반영 완료</x:v>
      </x:c>
      <x:c r="F22" s="18" t="str">
        <x:v>https://www.adiga.kr/ucp/uvt/uni/univDetailSelection.do?menuId=PCUVTINF2000&amp;searchSyr=2026&amp;unvCd=0000262</x:v>
      </x:c>
      <x:c r="G22" s="18" t="str">
        <x:v>과목별 70% 백분위/공식 평균백분위가 확인된 호환 행만 수록</x:v>
      </x:c>
      <x:c r="H22" s="18"/>
    </x:row>
    <x:row r="23">
      <x:c r="A23" s="18" t="str">
        <x:v>광주교육대학교</x:v>
      </x:c>
      <x:c r="B23" s="18" t="str">
        <x:v>광주광역시</x:v>
      </x:c>
      <x:c r="C23" s="18" t="n">
        <x:v>2025</x:v>
      </x:c>
      <x:c r="D23" s="18" t="n">
        <x:v>1</x:v>
      </x:c>
      <x:c r="E23" s="18" t="str">
        <x:v>메인 데이터 반영 완료</x:v>
      </x:c>
      <x:c r="F23" s="18" t="str">
        <x:v>https://www.adiga.kr/ucp/uvt/uni/univDetailSelection.do?menuId=PCUVTINF2000&amp;searchSyr=2026&amp;unvCd=0000252</x:v>
      </x:c>
      <x:c r="G23" s="18" t="str">
        <x:v>과목별 70% 백분위/공식 평균백분위가 확인된 호환 행만 수록</x:v>
      </x:c>
      <x:c r="H23" s="18"/>
    </x:row>
    <x:row r="24">
      <x:c r="A24" s="69" t="str">
        <x:v>충남대학교</x:v>
      </x:c>
      <x:c r="B24" s="69" t="str">
        <x:v>대전광역시</x:v>
      </x:c>
      <x:c r="C24" s="69" t="n">
        <x:v>2025</x:v>
      </x:c>
      <x:c r="D24" s="69" t="n">
        <x:v>6</x:v>
      </x:c>
      <x:c r="E24" s="69" t="str">
        <x:v>메인 데이터 반영 완료</x:v>
      </x:c>
      <x:c r="F24" s="69" t="str">
        <x:v>https://www.adiga.kr/ucp/uvt/uni/univDetailSelection.do?menuId=PCUVTINF2000&amp;searchSyr=2026&amp;unvCd=0000029</x:v>
      </x:c>
      <x:c r="G24" s="69" t="str">
        <x:v>과목별 70% 백분위/공식 평균백분위가 확인된 호환 행만 수록</x:v>
      </x:c>
      <x:c r="H24" s="69"/>
    </x:row>
    <x:row r="25">
      <x:c r="A25" s="23" t="str">
        <x:v>부산대학교</x:v>
      </x:c>
      <x:c r="B25" s="23" t="str">
        <x:v>부산광역시</x:v>
      </x:c>
      <x:c r="C25" s="23" t="n">
        <x:v>2025</x:v>
      </x:c>
      <x:c r="D25" s="23" t="n">
        <x:v>10</x:v>
      </x:c>
      <x:c r="E25" s="18" t="str">
        <x:v>메인 데이터 반영 완료</x:v>
      </x:c>
      <x:c r="F25" s="18" t="str">
        <x:v>https://www.adiga.kr/ucp/uvt/uni/univDetailSelection.do?menuId=PCUVTINF2000&amp;searchSyr=2026&amp;unvCd=0000014</x:v>
      </x:c>
      <x:c r="G25" s="18" t="str">
        <x:v>과목별 70% 백분위/공식 평균백분위가 확인된 호환 행만 수록</x:v>
      </x:c>
      <x:c r="H25" s="18"/>
    </x:row>
    <x:row r="26">
      <x:c r="A26" s="18" t="str">
        <x:v>전북대학교</x:v>
      </x:c>
      <x:c r="B26" s="18" t="str">
        <x:v>전북특별자치도</x:v>
      </x:c>
      <x:c r="C26" s="18" t="n">
        <x:v>2025</x:v>
      </x:c>
      <x:c r="D26" s="18" t="n">
        <x:v>24</x:v>
      </x:c>
      <x:c r="E26" s="18" t="str">
        <x:v>메인 데이터 반영 완료</x:v>
      </x:c>
      <x:c r="F26" s="18" t="str">
        <x:v>https://www.adiga.kr/ucp/uvt/uni/univDetailSelection.do?menuId=PCUVTINF2000&amp;searchSyr=2026&amp;unvCd=0000025</x:v>
      </x:c>
      <x:c r="G26" s="18" t="str">
        <x:v>과목별 70% 백분위/공식 평균백분위가 확인된 호환 행만 수록</x:v>
      </x:c>
      <x:c r="H26" s="18"/>
    </x:row>
    <x:row r="27">
      <x:c r="A27" s="18" t="str">
        <x:v>제주대학교</x:v>
      </x:c>
      <x:c r="B27" s="18" t="str">
        <x:v>제주특별자치도</x:v>
      </x:c>
      <x:c r="C27" s="18" t="n">
        <x:v>2025</x:v>
      </x:c>
      <x:c r="D27" s="18" t="n">
        <x:v>6</x:v>
      </x:c>
      <x:c r="E27" s="18" t="str">
        <x:v>메인 데이터 반영 완료</x:v>
      </x:c>
      <x:c r="F27" s="18" t="str">
        <x:v>https://www.adiga.kr/ucp/uvt/uni/univDetailSelection.do?menuId=PCUVTINF2000&amp;searchSyr=2026&amp;unvCd=0000027</x:v>
      </x:c>
      <x:c r="G27" s="18" t="str">
        <x:v>과목별 70% 백분위/공식 평균백분위가 확인된 호환 행만 수록</x:v>
      </x:c>
      <x:c r="H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04" t="str">
        <x:v>2026학년도 공식 원본 XLSX 공개 확인 — 메인 정규화 업데이트 후보</x:v>
      </x:c>
      <x:c r="B29" s="104"/>
      <x:c r="C29" s="104"/>
      <x:c r="D29" s="104"/>
      <x:c r="E29" s="104"/>
      <x:c r="F29" s="104"/>
      <x:c r="G29" s="104"/>
    </x:row>
    <x:row r="30">
      <x:c r="A30" s="99" t="str">
        <x:v>대학명</x:v>
      </x:c>
      <x:c r="B30" s="99" t="str">
        <x:v>지역</x:v>
      </x:c>
      <x:c r="C30" s="99" t="str">
        <x:v>학년도</x:v>
      </x:c>
      <x:c r="D30" s="99" t="str">
        <x:v>공개일</x:v>
      </x:c>
      <x:c r="E30" s="99" t="str">
        <x:v>첨부파일명</x:v>
      </x:c>
      <x:c r="F30" s="99" t="str">
        <x:v>반영 상태</x:v>
      </x:c>
      <x:c r="G30" s="99" t="str">
        <x:v>공식 URL</x:v>
      </x:c>
    </x:row>
    <x:row r="31">
      <x:c r="A31" s="18" t="str">
        <x:v>국립한밭대학교</x:v>
      </x:c>
      <x:c r="B31" s="18" t="str">
        <x:v>대전광역시</x:v>
      </x:c>
      <x:c r="C31" s="18" t="n">
        <x:v>2026</x:v>
      </x:c>
      <x:c r="D31" s="18" t="str">
        <x:v>2026-03-31</x:v>
      </x:c>
      <x:c r="E31" s="18" t="str">
        <x:v>(붙임) 2026학년도 수시모집 및 정시모집 전형별 입시결과(최종).xlsx</x:v>
      </x:c>
      <x:c r="F31" s="18" t="str">
        <x:v>공식 원본 확인 / 정규화 미반영</x:v>
      </x:c>
      <x:c r="G31" s="18" t="str">
        <x:v>https://hanbat.ac.kr/prog/bbsArticle/BBSMSTR_000000000119/view.do?mno=sub01_02&amp;nttId=B000000165276Ol2oP1r</x:v>
      </x:c>
    </x:row>
    <x:row r="32">
      <x:c r="A32" s="18" t="str">
        <x:v>전주대학교</x:v>
      </x:c>
      <x:c r="B32" s="18" t="str">
        <x:v>전북특별자치도</x:v>
      </x:c>
      <x:c r="C32" s="18" t="n">
        <x:v>2026</x:v>
      </x:c>
      <x:c r="D32" s="18" t="str">
        <x:v>2026-04-04</x:v>
      </x:c>
      <x:c r="E32" s="18" t="str">
        <x:v>2026학년도 전주대학교 입시결과_게시용.xlsx</x:v>
      </x:c>
      <x:c r="F32" s="18" t="str">
        <x:v>공식 원본 확인 / 정규화 미반영</x:v>
      </x:c>
      <x:c r="G32" s="18" t="str">
        <x:v>https://iphak.jj.ac.kr/iphak/assistant/notice.do?articleNo=511861&amp;mode=view</x:v>
      </x:c>
    </x:row>
    <x:row r="33">
      <x:c r="A33" s="18" t="str">
        <x:v>세명대학교</x:v>
      </x:c>
      <x:c r="B33" s="18" t="str">
        <x:v>충청북도</x:v>
      </x:c>
      <x:c r="C33" s="18" t="n">
        <x:v>2026</x:v>
      </x:c>
      <x:c r="D33" s="18" t="str">
        <x:v>2026-04-22</x:v>
      </x:c>
      <x:c r="E33" s="18" t="str">
        <x:v>(세명대학교) 2026학년도 수시 및 정시모집 입시결과_공지용.xlsx</x:v>
      </x:c>
      <x:c r="F33" s="18" t="str">
        <x:v>공식 원본 확인 / 정규화 미반영</x:v>
      </x:c>
      <x:c r="G33" s="18" t="str">
        <x:v>https://www.semyung.ac.kr/cop/bbs/BBSMSTR_000000000353/selectBoardArticle.do?bbsAttrbCode=&amp;bbsId=BBSMSTR_000000000353&amp;bbsTyCode=&amp;kind=&amp;mno=sitemap_12&amp;nttId=474065&amp;pageIndex=1&amp;searchCnd=&amp;searchWrd=</x:v>
      </x:c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04" t="str">
        <x:v>추천 코드 호환성 때문에 메인 정규화에서 보류한 사례</x:v>
      </x:c>
      <x:c r="B35" s="104"/>
      <x:c r="C35" s="104"/>
      <x:c r="D35" s="104"/>
      <x:c r="E35" s="104"/>
      <x:c r="F35" s="104"/>
      <x:c r="G35" s="104"/>
    </x:row>
    <x:row r="36">
      <x:c r="A36" s="99" t="str">
        <x:v>대학명</x:v>
      </x:c>
      <x:c r="B36" s="99" t="str">
        <x:v>지역</x:v>
      </x:c>
      <x:c r="C36" s="99" t="str">
        <x:v>학년도</x:v>
      </x:c>
      <x:c r="D36" s="99" t="str">
        <x:v>보류 이유</x:v>
      </x:c>
      <x:c r="E36" s="99" t="str">
        <x:v>처리 원칙</x:v>
      </x:c>
      <x:c r="F36" s="99" t="str">
        <x:v>공식 URL</x:v>
      </x:c>
      <x:c r="G36" s="99" t="str">
        <x:v>비고</x:v>
      </x:c>
    </x:row>
    <x:row r="37">
      <x:c r="A37" s="18" t="str">
        <x:v>동국대학교</x:v>
      </x:c>
      <x:c r="B37" s="18" t="str">
        <x:v>서울특별시</x:v>
      </x:c>
      <x:c r="C37" s="18" t="n">
        <x:v>2025</x:v>
      </x:c>
      <x:c r="D37" s="18" t="str">
        <x:v>정시 공식 결과에서 과목별 70% 백분위 4개가 제공되지 않는 형식</x:v>
      </x:c>
      <x:c r="E37" s="18" t="str">
        <x:v>임의 추정하지 않음</x:v>
      </x:c>
      <x:c r="F37" s="18" t="str">
        <x:v>https://www.adiga.kr/</x:v>
      </x:c>
      <x:c r="G37" s="18" t="str">
        <x:v>추천기 가중평균 입력값 부족</x:v>
      </x:c>
    </x:row>
    <x:row r="38">
      <x:c r="A38" s="18" t="str">
        <x:v>성신여자대학교</x:v>
      </x:c>
      <x:c r="B38" s="18" t="str">
        <x:v>서울특별시</x:v>
      </x:c>
      <x:c r="C38" s="18" t="n">
        <x:v>2025</x:v>
      </x:c>
      <x:c r="D38" s="18" t="str">
        <x:v>확인된 정시 결과 표의 과목별 70% 백분위 칸이 비어 있는 모집단위가 다수</x:v>
      </x:c>
      <x:c r="E38" s="18" t="str">
        <x:v>임의 추정하지 않음</x:v>
      </x:c>
      <x:c r="F38" s="18" t="str">
        <x:v>https://www.adiga.kr/</x:v>
      </x:c>
      <x:c r="G38" s="18" t="str">
        <x:v>추천기 가중평균 입력값 부족</x:v>
      </x:c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04" t="str">
        <x:v>전국 대학/학과 메타데이터 공식 출처</x:v>
      </x:c>
      <x:c r="B40" s="104"/>
      <x:c r="C40" s="104"/>
      <x:c r="D40" s="104"/>
      <x:c r="E40" s="104"/>
      <x:c r="F40" s="104"/>
      <x:c r="G40" s="104"/>
    </x:row>
    <x:row r="41">
      <x:c r="A41" s="99" t="str">
        <x:v>자료명</x:v>
      </x:c>
      <x:c r="B41" s="99" t="str">
        <x:v>제공기관</x:v>
      </x:c>
      <x:c r="C41" s="99" t="str">
        <x:v>용도</x:v>
      </x:c>
      <x:c r="D41" s="99" t="str">
        <x:v>URL</x:v>
      </x:c>
      <x:c r="E41" s="99"/>
      <x:c r="F41" s="99"/>
      <x:c r="G41" s="99"/>
    </x:row>
    <x:row r="42">
      <x:c r="A42" s="18" t="str">
        <x:v>전국대학및전문대학정보표준데이터</x:v>
      </x:c>
      <x:c r="B42" s="18" t="str">
        <x:v>한국대학교육협의회</x:v>
      </x:c>
      <x:c r="C42" s="18" t="str">
        <x:v>학교명·지역·설립형태 등 대학 메타데이터</x:v>
      </x:c>
      <x:c r="D42" s="18" t="str">
        <x:v>https://www.data.go.kr/data/15107736/standard.do</x:v>
      </x:c>
      <x:c r="E42" s="18"/>
      <x:c r="F42" s="18"/>
      <x:c r="G42" s="18"/>
    </x:row>
    <x:row r="43">
      <x:c r="A43" s="18" t="str">
        <x:v>전국대학별학과정보표준데이터</x:v>
      </x:c>
      <x:c r="B43" s="18" t="str">
        <x:v>한국대학교육협의회</x:v>
      </x:c>
      <x:c r="C43" s="18" t="str">
        <x:v>학과명·계열·입학정원 등 학과 메타데이터</x:v>
      </x:c>
      <x:c r="D43" s="18" t="str">
        <x:v>https://www.data.go.kr/data/15107737/standard.do</x:v>
      </x:c>
      <x:c r="E43" s="18"/>
      <x:c r="F43" s="18"/>
      <x:c r="G43" s="18"/>
    </x:row>
    <x:row r="45">
      <x:c r="A45" s="129" t="str">
        <x:v>v4 추가 지방 국립대 — 공식 2025학년도 정시 결과 표준화 반영</x:v>
      </x:c>
    </x:row>
    <x:row r="46">
      <x:c r="A46" s="134" t="str">
        <x:v>대학명</x:v>
      </x:c>
      <x:c r="B46" s="134" t="str">
        <x:v>지역</x:v>
      </x:c>
      <x:c r="C46" s="134" t="str">
        <x:v>학년도</x:v>
      </x:c>
      <x:c r="D46" s="134" t="str">
        <x:v>수록 행 수</x:v>
      </x:c>
      <x:c r="E46" s="134" t="str">
        <x:v>상태</x:v>
      </x:c>
      <x:c r="F46" s="134" t="str">
        <x:v>공식 URL</x:v>
      </x:c>
      <x:c r="G46" s="134" t="str">
        <x:v>비고</x:v>
      </x:c>
    </x:row>
    <x:row r="47">
      <x:c r="A47" s="110" t="str">
        <x:v>경북대학교</x:v>
      </x:c>
      <x:c r="B47" s="110" t="str">
        <x:v>대구광역시</x:v>
      </x:c>
      <x:c r="C47" s="110" t="n">
        <x:v>2025</x:v>
      </x:c>
      <x:c r="D47" s="110" t="n">
        <x:v>11</x:v>
      </x:c>
      <x:c r="E47" s="110" t="str">
        <x:v>메인 데이터 반영 완료</x:v>
      </x:c>
      <x:c r="F47" s="110" t="str">
        <x:v>https://www.adiga.kr/ucp/uvt/uni/univDetailSelection.do?menuId=PCUVTINF2000&amp;searchSyr=2026&amp;unvCd=0000005</x:v>
      </x:c>
      <x:c r="G47" s="135" t="str">
        <x:v>공식 백분위합(300)을 3으로 나눈 평균값을 추천기준으로 사용; 과목별 컷 임의 추정 없음</x:v>
      </x:c>
    </x:row>
    <x:row r="48">
      <x:c r="A48" s="110" t="str">
        <x:v>전남대학교</x:v>
      </x:c>
      <x:c r="B48" s="110" t="str">
        <x:v>광주광역시</x:v>
      </x:c>
      <x:c r="C48" s="110" t="n">
        <x:v>2025</x:v>
      </x:c>
      <x:c r="D48" s="110" t="n">
        <x:v>12</x:v>
      </x:c>
      <x:c r="E48" s="110" t="str">
        <x:v>메인 데이터 반영 완료</x:v>
      </x:c>
      <x:c r="F48" s="110" t="str">
        <x:v>https://www.adiga.kr/ucp/uvt/uni/univDetailSelection.do?menuId=PCUVTINF2000&amp;searchSyr=2026&amp;unvCd=0000023</x:v>
      </x:c>
      <x:c r="G48" s="135" t="str">
        <x:v>공식 과목별 70% 백분위가 확인된 호환 행을 중심으로 수록</x:v>
      </x:c>
    </x:row>
    <x:row r="49">
      <x:c r="A49" s="110" t="str">
        <x:v>강원대학교</x:v>
      </x:c>
      <x:c r="B49" s="110" t="str">
        <x:v>강원특별자치도</x:v>
      </x:c>
      <x:c r="C49" s="110" t="n">
        <x:v>2025</x:v>
      </x:c>
      <x:c r="D49" s="110" t="n">
        <x:v>12</x:v>
      </x:c>
      <x:c r="E49" s="110" t="str">
        <x:v>메인 데이터 반영 완료</x:v>
      </x:c>
      <x:c r="F49" s="110" t="str">
        <x:v>https://www.adiga.kr/ucp/uvt/uni/univDetailSelection.do?menuId=PCUVTINF2000&amp;searchSyr=2026&amp;unvCd=0000003</x:v>
      </x:c>
      <x:c r="G49" s="135" t="str">
        <x:v>공식 과목별 70% 백분위가 확인된 호환 행을 중심으로 수록</x:v>
      </x:c>
    </x:row>
    <x:row r="50">
      <x:c r="A50" s="110" t="str">
        <x:v>국립부경대학교</x:v>
      </x:c>
      <x:c r="B50" s="110" t="str">
        <x:v>부산광역시</x:v>
      </x:c>
      <x:c r="C50" s="110" t="n">
        <x:v>2025</x:v>
      </x:c>
      <x:c r="D50" s="110" t="n">
        <x:v>8</x:v>
      </x:c>
      <x:c r="E50" s="110" t="str">
        <x:v>메인 데이터 반영 완료</x:v>
      </x:c>
      <x:c r="F50" s="110" t="str">
        <x:v>https://www.adiga.kr/ucp/uvt/uni/univDetailSelection.do?menuId=PCUVTINF2000&amp;searchSyr=2026&amp;unvCd=0000013</x:v>
      </x:c>
      <x:c r="G50" s="135" t="str">
        <x:v>공식 과목별 70% 백분위가 확인된 호환 행을 중심으로 수록</x:v>
      </x:c>
    </x:row>
    <x:row r="51">
      <x:c r="A51" s="110" t="str">
        <x:v>국립창원대학교</x:v>
      </x:c>
      <x:c r="B51" s="110" t="str">
        <x:v>경상남도</x:v>
      </x:c>
      <x:c r="C51" s="110" t="n">
        <x:v>2025</x:v>
      </x:c>
      <x:c r="D51" s="110" t="n">
        <x:v>18</x:v>
      </x:c>
      <x:c r="E51" s="110" t="str">
        <x:v>메인 데이터 반영 완료</x:v>
      </x:c>
      <x:c r="F51" s="110" t="str">
        <x:v>https://www.adiga.kr/ucp/uvt/uni/univDetailSelection.do?menuId=PCUVTINF2000&amp;searchSyr=2026&amp;unvCd=0000028</x:v>
      </x:c>
      <x:c r="G51" s="135" t="str">
        <x:v>공식 표가 탐구 1과목만 공개한 행은 탐구2를 비워두고 공개 3개 백분위 평균 사용</x:v>
      </x:c>
    </x:row>
    <x:row r="52">
      <x:c r="A52" s="110" t="str">
        <x:v>국립목포대학교</x:v>
      </x:c>
      <x:c r="B52" s="110" t="str">
        <x:v>전라남도</x:v>
      </x:c>
      <x:c r="C52" s="110" t="n">
        <x:v>2025</x:v>
      </x:c>
      <x:c r="D52" s="110" t="n">
        <x:v>9</x:v>
      </x:c>
      <x:c r="E52" s="110" t="str">
        <x:v>메인 데이터 반영 완료</x:v>
      </x:c>
      <x:c r="F52" s="110" t="str">
        <x:v>https://www.adiga.kr/ucp/uvt/uni/univDetailSelection.do?menuId=PCUVTINF2000&amp;searchSyr=2026&amp;unvCd=0000011</x:v>
      </x:c>
      <x:c r="G52" s="135" t="str">
        <x:v>공식 과목별 70% 백분위가 확인된 호환 행을 중심으로 수록</x:v>
      </x:c>
    </x:row>
    <x:row r="53">
      <x:c r="A53" s="110" t="str">
        <x:v>경상국립대학교</x:v>
      </x:c>
      <x:c r="B53" s="110" t="str">
        <x:v>경상남도</x:v>
      </x:c>
      <x:c r="C53" s="110" t="n">
        <x:v>2025</x:v>
      </x:c>
      <x:c r="D53" s="110" t="n">
        <x:v>28</x:v>
      </x:c>
      <x:c r="E53" s="110" t="str">
        <x:v>메인 데이터 반영 완료</x:v>
      </x:c>
      <x:c r="F53" s="110" t="str">
        <x:v>https://www.adiga.kr/ucp/uvt/uni/univDetailSelection.do?menuId=PCUVTINF2000&amp;searchSyr=2026&amp;unvCd=0000007</x:v>
      </x:c>
      <x:c r="G53" s="135" t="str">
        <x:v>공식 과목별 70% 백분위가 확인된 호환 행을 중심으로 수록</x:v>
      </x:c>
    </x:row>
    <x:row r="54">
      <x:c r="A54" s="110" t="str">
        <x:v>충북대학교</x:v>
      </x:c>
      <x:c r="B54" s="110" t="str">
        <x:v>충청북도</x:v>
      </x:c>
      <x:c r="C54" s="110" t="n">
        <x:v>2025</x:v>
      </x:c>
      <x:c r="D54" s="110" t="n">
        <x:v>3</x:v>
      </x:c>
      <x:c r="E54" s="110" t="str">
        <x:v>메인 데이터 반영 완료</x:v>
      </x:c>
      <x:c r="F54" s="110" t="str">
        <x:v>https://www.adiga.kr/ucp/uvt/uni/univDetailSelection.do?menuId=PCUVTINF2000&amp;searchSyr=2026&amp;unvCd=0000030</x:v>
      </x:c>
      <x:c r="G54" s="135" t="str">
        <x:v>공식 과목별 70% 백분위가 확인된 호환 행을 중심으로 수록</x:v>
      </x:c>
    </x:row>
    <x:row r="55">
      <x:c r="A55" s="110" t="str">
        <x:v>국립군산대학교</x:v>
      </x:c>
      <x:c r="B55" s="110" t="str">
        <x:v>전북특별자치도</x:v>
      </x:c>
      <x:c r="C55" s="110" t="n">
        <x:v>2025</x:v>
      </x:c>
      <x:c r="D55" s="110" t="n">
        <x:v>5</x:v>
      </x:c>
      <x:c r="E55" s="110" t="str">
        <x:v>메인 데이터 반영 완료</x:v>
      </x:c>
      <x:c r="F55" s="110" t="str">
        <x:v>https://www.adiga.kr/ucp/uvt/uni/univDetailSelection.do?menuId=PCUVTINF2000&amp;searchSyr=2026&amp;unvCd=0000009</x:v>
      </x:c>
      <x:c r="G55" s="135" t="str">
        <x:v>공식 과목별 70% 백분위가 확인된 호환 행을 중심으로 수록</x:v>
      </x:c>
    </x:row>
    <x:row r="56">
      <x:c r="A56" s="110" t="str">
        <x:v>국립한국교통대학교</x:v>
      </x:c>
      <x:c r="B56" s="110" t="str">
        <x:v>충청북도</x:v>
      </x:c>
      <x:c r="C56" s="110" t="n">
        <x:v>2025</x:v>
      </x:c>
      <x:c r="D56" s="110" t="n">
        <x:v>25</x:v>
      </x:c>
      <x:c r="E56" s="110" t="str">
        <x:v>메인 데이터 반영 완료</x:v>
      </x:c>
      <x:c r="F56" s="110" t="str">
        <x:v>https://www.adiga.kr/ucp/uvt/uni/univDetailSelection.do?menuId=PCUVTINF2000&amp;searchSyr=2026&amp;unvCd=0000034</x:v>
      </x:c>
      <x:c r="G56" s="135" t="str">
        <x:v>공식 수능 산식에서 70% 환산점수÷10으로 상위 3영역 평균을 역산. 영어 변환점수가 포함될 수 있음을 비고에 명시.</x:v>
      </x:c>
    </x:row>
    <x:row r="57">
      <x:c r="A57" s="110" t="str">
        <x:v>국립공주대학교</x:v>
      </x:c>
      <x:c r="B57" s="110" t="str">
        <x:v>충청남도</x:v>
      </x:c>
      <x:c r="C57" s="110" t="n">
        <x:v>2025</x:v>
      </x:c>
      <x:c r="D57" s="110" t="n">
        <x:v>31</x:v>
      </x:c>
      <x:c r="E57" s="110" t="str">
        <x:v>메인 데이터 반영 완료</x:v>
      </x:c>
      <x:c r="F57" s="110" t="str">
        <x:v>https://www.adiga.kr/ucp/uvt/uni/univDetailSelection.do?menuId=PCUVTINF2000&amp;searchSyr=2026&amp;unvCd=0000008</x:v>
      </x:c>
      <x:c r="G57" s="135" t="str">
        <x:v>공식 수능 산식 (상위3영역 평균×8.5+150)을 역산. 예체능 실기 반영 모집단위는 제외.</x:v>
      </x:c>
    </x:row>
    <x:row r="59">
      <x:c r="A59" s="186" t="str">
        <x:v>v5 추가 지방 사립대 — 공식 2025학년도 정시 결과 표준화 반영</x:v>
      </x:c>
      <x:c r="B59" s="186"/>
      <x:c r="C59" s="186"/>
      <x:c r="D59" s="186"/>
      <x:c r="E59" s="186"/>
      <x:c r="F59" s="186"/>
      <x:c r="G59" s="186"/>
    </x:row>
    <x:row r="61">
      <x:c r="A61" s="181" t="str">
        <x:v>대학명</x:v>
      </x:c>
      <x:c r="B61" s="181" t="str">
        <x:v>지역</x:v>
      </x:c>
      <x:c r="C61" s="181" t="str">
        <x:v>학년도</x:v>
      </x:c>
      <x:c r="D61" s="181" t="str">
        <x:v>수록 행 수</x:v>
      </x:c>
      <x:c r="E61" s="181" t="str">
        <x:v>상태</x:v>
      </x:c>
      <x:c r="F61" s="181" t="str">
        <x:v>공식 URL</x:v>
      </x:c>
      <x:c r="G61" s="181" t="str">
        <x:v>비고</x:v>
      </x:c>
    </x:row>
    <x:row r="62" ht="20" customHeight="1">
      <x:c r="A62" t="str">
        <x:v>영남대학교</x:v>
      </x:c>
      <x:c r="B62" t="str">
        <x:v>경상북도</x:v>
      </x:c>
      <x:c r="C62" t="n">
        <x:v>2025</x:v>
      </x:c>
      <x:c r="D62" t="n">
        <x:v>40</x:v>
      </x:c>
      <x:c r="E62" t="str">
        <x:v>메인 데이터 반영 완료</x:v>
      </x:c>
      <x:c r="F62" s="18" t="str">
        <x:v>https://www.adiga.kr/ucp/uvt/uni/univDetailSelection.do?menuId=PCUVTINF2000&amp;searchSyr=2026&amp;unvCd=0000151</x:v>
      </x:c>
      <x:c r="G62" s="18" t="str">
        <x:v>공식 70% cut 평균(백분위)을 추천기준으로 직접 사용</x:v>
      </x:c>
    </x:row>
    <x:row r="63" ht="20" customHeight="1">
      <x:c r="A63" t="str">
        <x:v>동아대학교</x:v>
      </x:c>
      <x:c r="B63" t="str">
        <x:v>부산광역시</x:v>
      </x:c>
      <x:c r="C63" t="n">
        <x:v>2025</x:v>
      </x:c>
      <x:c r="D63" t="n">
        <x:v>12</x:v>
      </x:c>
      <x:c r="E63" t="str">
        <x:v>메인 데이터 반영 완료</x:v>
      </x:c>
      <x:c r="F63" s="18" t="str">
        <x:v>https://www.adiga.kr/ucp/uvt/uni/univDetailSelection.do?menuId=PCUVTINF2000&amp;searchSyr=2026&amp;unvCd=0000105</x:v>
      </x:c>
      <x:c r="G63" s="18" t="str">
        <x:v>공식 70% cut 평균(백분위)을 추천기준으로 직접 사용</x:v>
      </x:c>
    </x:row>
    <x:row r="64" ht="20" customHeight="1">
      <x:c r="A64" t="str">
        <x:v>인제대학교</x:v>
      </x:c>
      <x:c r="B64" t="str">
        <x:v>경상남도</x:v>
      </x:c>
      <x:c r="C64" t="n">
        <x:v>2025</x:v>
      </x:c>
      <x:c r="D64" t="n">
        <x:v>8</x:v>
      </x:c>
      <x:c r="E64" t="str">
        <x:v>메인 데이터 반영 완료</x:v>
      </x:c>
      <x:c r="F64" s="18" t="str">
        <x:v>https://www.adiga.kr/ucp/uvt/uni/univDetailSelection.do?menuId=PCUVTINF2000&amp;searchSyr=2026&amp;unvCd=0000164</x:v>
      </x:c>
      <x:c r="G64" s="18" t="str">
        <x:v>공식 70% cut 평균(백분위)을 추천기준으로 직접 사용</x:v>
      </x:c>
    </x:row>
    <x:row r="65" ht="20" customHeight="1">
      <x:c r="A65" t="str">
        <x:v>호서대학교</x:v>
      </x:c>
      <x:c r="B65" t="str">
        <x:v>충청남도</x:v>
      </x:c>
      <x:c r="C65" t="n">
        <x:v>2025</x:v>
      </x:c>
      <x:c r="D65" t="n">
        <x:v>12</x:v>
      </x:c>
      <x:c r="E65" t="str">
        <x:v>메인 데이터 반영 완료</x:v>
      </x:c>
      <x:c r="F65" s="18" t="str">
        <x:v>https://www.adiga.kr/ucp/uvt/uni/univDetailSelection.do?menuId=PCUVTINF2000&amp;searchSyr=2026&amp;unvCd=0000211</x:v>
      </x:c>
      <x:c r="G65" s="18" t="str">
        <x:v>공식 70% cut 평균(백분위)을 추천기준으로 직접 사용</x:v>
      </x:c>
    </x:row>
    <x:row r="66" ht="20" customHeight="1">
      <x:c r="A66" t="str">
        <x:v>계명대학교</x:v>
      </x:c>
      <x:c r="B66" t="str">
        <x:v>대구광역시</x:v>
      </x:c>
      <x:c r="C66" t="n">
        <x:v>2025</x:v>
      </x:c>
      <x:c r="D66" t="n">
        <x:v>12</x:v>
      </x:c>
      <x:c r="E66" t="str">
        <x:v>메인 데이터 반영 완료</x:v>
      </x:c>
      <x:c r="F66" s="18" t="str">
        <x:v>https://www.adiga.kr/ucp/uvt/uni/univDetailSelection.do?menuId=PCUVTINF2000&amp;searchSyr=2026&amp;unvCd=0000068</x:v>
      </x:c>
      <x:c r="G66" s="18" t="str">
        <x:v>공식 과목별 70% 백분위를 보존하고 추천기준은 공개 과목 평균으로 파생; 영어는 원문 표의 변환점수 형태로 보여 영어등급 칸은 공란 유지</x:v>
      </x:c>
    </x:row>
    <x:row r="67" ht="20" customHeight="1">
      <x:c r="A67" t="str">
        <x:v>원광대학교</x:v>
      </x:c>
      <x:c r="B67" t="str">
        <x:v>전북특별자치도</x:v>
      </x:c>
      <x:c r="C67" t="n">
        <x:v>2025</x:v>
      </x:c>
      <x:c r="D67" t="n">
        <x:v>11</x:v>
      </x:c>
      <x:c r="E67" t="str">
        <x:v>메인 데이터 반영 완료</x:v>
      </x:c>
      <x:c r="F67" s="18" t="str">
        <x:v>https://www.adiga.kr/ucp/uvt/uni/univDetailSelection.do?menuId=PCUVTINF2000&amp;searchSyr=2026&amp;unvCd=0000159</x:v>
      </x:c>
      <x:c r="G67" s="18" t="str">
        <x:v>공식 과목별 70% 백분위를 보존하고 추천기준은 공개 과목 평균으로 파생</x:v>
      </x:c>
    </x:row>
    <x:row r="68" ht="20" customHeight="1">
      <x:c r="A68" t="str">
        <x:v>순천향대학교</x:v>
      </x:c>
      <x:c r="B68" t="str">
        <x:v>충청남도</x:v>
      </x:c>
      <x:c r="C68" t="n">
        <x:v>2025</x:v>
      </x:c>
      <x:c r="D68" t="n">
        <x:v>13</x:v>
      </x:c>
      <x:c r="E68" t="str">
        <x:v>메인 데이터 반영 완료</x:v>
      </x:c>
      <x:c r="F68" s="18" t="str">
        <x:v>https://www.adiga.kr/ucp/uvt/uni/univDetailSelection.do?menuId=PCUVTINF2000&amp;searchSyr=2026&amp;unvCd=0000142</x:v>
      </x:c>
      <x:c r="G68" s="18" t="str">
        <x:v>공식 과목별 70% 백분위를 보존하고 추천기준은 공개 과목 평균으로 파생</x:v>
      </x:c>
    </x:row>
    <x:row r="69" ht="20" customHeight="1">
      <x:c r="A69" t="str">
        <x:v>조선대학교</x:v>
      </x:c>
      <x:c r="B69" t="str">
        <x:v>광주광역시</x:v>
      </x:c>
      <x:c r="C69" t="n">
        <x:v>2025</x:v>
      </x:c>
      <x:c r="D69" t="n">
        <x:v>13</x:v>
      </x:c>
      <x:c r="E69" t="str">
        <x:v>메인 데이터 반영 완료</x:v>
      </x:c>
      <x:c r="F69" s="18" t="str">
        <x:v>https://www.adiga.kr/ucp/uvt/uni/univDetailSelection.do?menuId=PCUVTINF2000&amp;searchSyr=2026&amp;unvCd=0000172</x:v>
      </x:c>
      <x:c r="G69" s="18" t="str">
        <x:v>공식 과목별 70% 백분위를 보존하고 추천기준은 공개 과목 평균으로 파생</x:v>
      </x:c>
    </x:row>
    <x:row r="70" ht="20" customHeight="1">
      <x:c r="A70" t="str">
        <x:v>경성대학교</x:v>
      </x:c>
      <x:c r="B70" t="str">
        <x:v>부산광역시</x:v>
      </x:c>
      <x:c r="C70" t="n">
        <x:v>2025</x:v>
      </x:c>
      <x:c r="D70" t="n">
        <x:v>7</x:v>
      </x:c>
      <x:c r="E70" t="str">
        <x:v>메인 데이터 반영 완료</x:v>
      </x:c>
      <x:c r="F70" s="18" t="str">
        <x:v>https://www.adiga.kr/ucp/uvt/uni/univDetailSelection.do?menuId=PCUVTINF2000&amp;searchSyr=2026&amp;unvCd=0000062</x:v>
      </x:c>
      <x:c r="G70" s="18" t="str">
        <x:v>공식 과목별 70% 백분위를 보존하고 추천기준은 공개 과목 평균으로 파생</x:v>
      </x:c>
    </x:row>
    <x:row r="71" ht="20" customHeight="1">
      <x:c r="A71" t="str">
        <x:v>동의대학교</x:v>
      </x:c>
      <x:c r="B71" t="str">
        <x:v>부산광역시</x:v>
      </x:c>
      <x:c r="C71" t="n">
        <x:v>2025</x:v>
      </x:c>
      <x:c r="D71" t="n">
        <x:v>7</x:v>
      </x:c>
      <x:c r="E71" t="str">
        <x:v>메인 데이터 반영 완료</x:v>
      </x:c>
      <x:c r="F71" s="18" t="str">
        <x:v>https://www.adiga.kr/ucp/uvt/uni/univDetailSelection.do?menuId=PCUVTINF2000&amp;searchSyr=2026&amp;unvCd=0000107</x:v>
      </x:c>
      <x:c r="G71" s="18" t="str">
        <x:v>공식 과목별 70% 백분위를 보존하고 추천기준은 공개 과목 평균으로 파생</x:v>
      </x:c>
    </x:row>
    <x:row r="72" ht="20" customHeight="1">
      <x:c r="A72" t="str">
        <x:v>한남대학교</x:v>
      </x:c>
      <x:c r="B72" t="str">
        <x:v>대전광역시</x:v>
      </x:c>
      <x:c r="C72" t="n">
        <x:v>2025</x:v>
      </x:c>
      <x:c r="D72" t="n">
        <x:v>7</x:v>
      </x:c>
      <x:c r="E72" t="str">
        <x:v>메인 데이터 반영 완료</x:v>
      </x:c>
      <x:c r="F72" s="18" t="str">
        <x:v>https://www.adiga.kr/ucp/uvt/uni/univDetailSelection.do?menuId=PCUVTINF2000&amp;searchSyr=2026&amp;unvCd=0000195</x:v>
      </x:c>
      <x:c r="G72" s="18" t="str">
        <x:v>공식 과목별 70% 백분위를 보존하고 추천기준은 공개 과목 평균으로 파생</x:v>
      </x:c>
    </x:row>
  </x:sheetData>
  <x:mergeCells>
    <x:mergeCell ref="A1:H1"/>
    <x:mergeCell ref="A3:H3"/>
    <x:mergeCell ref="A17:H17"/>
    <x:mergeCell ref="A24:H24"/>
    <x:mergeCell ref="A1:G1"/>
    <x:mergeCell ref="A45:G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65" hidden="0" customWidth="1"/>
    <x:col min="4" max="4" width="34" hidden="0" customWidth="1"/>
  </x:cols>
  <x:sheetData>
    <x:row r="1">
      <x:c r="A1" s="5" t="str">
        <x:v>데이터사전</x:v>
      </x:c>
      <x:c r="B1" s="5"/>
      <x:c r="C1" s="5"/>
      <x:c r="D1" s="5"/>
    </x:row>
    <x:row r="3">
      <x:c r="A3" s="23" t="str">
        <x:v>컬럼명</x:v>
      </x:c>
      <x:c r="B3" s="23" t="str">
        <x:v>구분</x:v>
      </x:c>
      <x:c r="C3" s="23" t="str">
        <x:v>설명</x:v>
      </x:c>
      <x:c r="D3" s="23" t="str">
        <x:v>추천 프로젝트 사용</x:v>
      </x:c>
    </x:row>
    <x:row r="4">
      <x:c r="A4" s="18" t="str">
        <x:v>학년도</x:v>
      </x:c>
      <x:c r="B4" s="18" t="str">
        <x:v>원본</x:v>
      </x:c>
      <x:c r="C4" s="18" t="str">
        <x:v>전형 결과 학년도. 현재 메인 데이터는 2025학년도</x:v>
      </x:c>
      <x:c r="D4" s="18" t="str">
        <x:v>필터 필수</x:v>
      </x:c>
    </x:row>
    <x:row r="5">
      <x:c r="A5" s="18" t="str">
        <x:v>지역</x:v>
      </x:c>
      <x:c r="B5" s="18" t="str">
        <x:v>메타</x:v>
      </x:c>
      <x:c r="C5" s="18" t="str">
        <x:v>대학 소재 시·도</x:v>
      </x:c>
      <x:c r="D5" s="18" t="str">
        <x:v>지역 추천 필터</x:v>
      </x:c>
    </x:row>
    <x:row r="6">
      <x:c r="A6" s="18" t="str">
        <x:v>설립</x:v>
      </x:c>
      <x:c r="B6" s="18" t="str">
        <x:v>메타</x:v>
      </x:c>
      <x:c r="C6" s="18" t="str">
        <x:v>국립/사립 구분</x:v>
      </x:c>
      <x:c r="D6" s="18" t="str">
        <x:v>선택 필터</x:v>
      </x:c>
    </x:row>
    <x:row r="7">
      <x:c r="A7" s="18" t="str">
        <x:v>대학명</x:v>
      </x:c>
      <x:c r="B7" s="18" t="str">
        <x:v>원본</x:v>
      </x:c>
      <x:c r="C7" s="18" t="str">
        <x:v>대학 이름</x:v>
      </x:c>
      <x:c r="D7" s="18" t="str">
        <x:v>식별자</x:v>
      </x:c>
    </x:row>
    <x:row r="8">
      <x:c r="A8" s="18" t="str">
        <x:v>모집군</x:v>
      </x:c>
      <x:c r="B8" s="18" t="str">
        <x:v>원본</x:v>
      </x:c>
      <x:c r="C8" s="18" t="str">
        <x:v>가/나/다군</x:v>
      </x:c>
      <x:c r="D8" s="18" t="str">
        <x:v>정시 군 조합 필터</x:v>
      </x:c>
    </x:row>
    <x:row r="9">
      <x:c r="A9" s="18" t="str">
        <x:v>전형명</x:v>
      </x:c>
      <x:c r="B9" s="18" t="str">
        <x:v>원본</x:v>
      </x:c>
      <x:c r="C9" s="18" t="str">
        <x:v>일반전형 등 전형명</x:v>
      </x:c>
      <x:c r="D9" s="18" t="str">
        <x:v>동일 조건끼리 비교</x:v>
      </x:c>
    </x:row>
    <x:row r="10">
      <x:c r="A10" s="18" t="str">
        <x:v>모집단위</x:v>
      </x:c>
      <x:c r="B10" s="18" t="str">
        <x:v>원본</x:v>
      </x:c>
      <x:c r="C10" s="18" t="str">
        <x:v>학과/학부/계열명</x:v>
      </x:c>
      <x:c r="D10" s="18" t="str">
        <x:v>추천 결과 표시</x:v>
      </x:c>
    </x:row>
    <x:row r="11">
      <x:c r="A11" s="18" t="str">
        <x:v>최초모집</x:v>
      </x:c>
      <x:c r="B11" s="18" t="str">
        <x:v>원본</x:v>
      </x:c>
      <x:c r="C11" s="18" t="str">
        <x:v>최초 계획 모집인원</x:v>
      </x:c>
      <x:c r="D11" s="18" t="str">
        <x:v>참고</x:v>
      </x:c>
    </x:row>
    <x:row r="12">
      <x:c r="A12" s="18" t="str">
        <x:v>이월</x:v>
      </x:c>
      <x:c r="B12" s="18" t="str">
        <x:v>원본</x:v>
      </x:c>
      <x:c r="C12" s="18" t="str">
        <x:v>수시 미충원 등 정시 이월인원</x:v>
      </x:c>
      <x:c r="D12" s="18" t="str">
        <x:v>참고</x:v>
      </x:c>
    </x:row>
    <x:row r="13">
      <x:c r="A13" s="18" t="str">
        <x:v>최종모집</x:v>
      </x:c>
      <x:c r="B13" s="18" t="str">
        <x:v>원본</x:v>
      </x:c>
      <x:c r="C13" s="18" t="str">
        <x:v>최종 정시 모집인원</x:v>
      </x:c>
      <x:c r="D13" s="18" t="str">
        <x:v>경쟁강도 보조</x:v>
      </x:c>
    </x:row>
    <x:row r="14">
      <x:c r="A14" s="18" t="str">
        <x:v>경쟁률</x:v>
      </x:c>
      <x:c r="B14" s="18" t="str">
        <x:v>원본</x:v>
      </x:c>
      <x:c r="C14" s="18" t="str">
        <x:v>지원자/모집인원 경쟁률</x:v>
      </x:c>
      <x:c r="D14" s="18" t="str">
        <x:v>보조지표</x:v>
      </x:c>
    </x:row>
    <x:row r="15">
      <x:c r="A15" s="18" t="str">
        <x:v>충원합격순위</x:v>
      </x:c>
      <x:c r="B15" s="18" t="str">
        <x:v>원본</x:v>
      </x:c>
      <x:c r="C15" s="18" t="str">
        <x:v>마지막 충원합격 순위 또는 대학 공개값</x:v>
      </x:c>
      <x:c r="D15" s="18" t="str">
        <x:v>보조지표</x:v>
      </x:c>
    </x:row>
    <x:row r="16">
      <x:c r="A16" s="18" t="str">
        <x:v>환산50</x:v>
      </x:c>
      <x:c r="B16" s="18" t="str">
        <x:v>원본</x:v>
      </x:c>
      <x:c r="C16" s="18" t="str">
        <x:v>대학별 환산점수 50% cut</x:v>
      </x:c>
      <x:c r="D16" s="18" t="str">
        <x:v>대학 내부 비교용</x:v>
      </x:c>
    </x:row>
    <x:row r="17">
      <x:c r="A17" s="18" t="str">
        <x:v>환산70</x:v>
      </x:c>
      <x:c r="B17" s="18" t="str">
        <x:v>원본</x:v>
      </x:c>
      <x:c r="C17" s="18" t="str">
        <x:v>대학별 환산점수 70% cut</x:v>
      </x:c>
      <x:c r="D17" s="18" t="str">
        <x:v>대학 내부 비교용</x:v>
      </x:c>
    </x:row>
    <x:row r="18">
      <x:c r="A18" s="18" t="str">
        <x:v>수능총점</x:v>
      </x:c>
      <x:c r="B18" s="18" t="str">
        <x:v>원본</x:v>
      </x:c>
      <x:c r="C18" s="18" t="str">
        <x:v>해당 대학/모집단위의 환산총점 만점</x:v>
      </x:c>
      <x:c r="D18" s="18" t="str">
        <x:v>환산점수 해석용</x:v>
      </x:c>
    </x:row>
    <x:row r="19">
      <x:c r="A19" s="18" t="str">
        <x:v>국어70</x:v>
      </x:c>
      <x:c r="B19" s="18" t="str">
        <x:v>원본</x:v>
      </x:c>
      <x:c r="C19" s="18" t="str">
        <x:v>최종등록자 70% 지점 국어 백분위</x:v>
      </x:c>
      <x:c r="D19" s="18" t="str">
        <x:v>공통 추천 계산</x:v>
      </x:c>
    </x:row>
    <x:row r="20">
      <x:c r="A20" s="18" t="str">
        <x:v>수학70</x:v>
      </x:c>
      <x:c r="B20" s="18" t="str">
        <x:v>원본</x:v>
      </x:c>
      <x:c r="C20" s="18" t="str">
        <x:v>최종등록자 70% 지점 수학 백분위</x:v>
      </x:c>
      <x:c r="D20" s="18" t="str">
        <x:v>공통 추천 계산</x:v>
      </x:c>
    </x:row>
    <x:row r="21">
      <x:c r="A21" s="18" t="str">
        <x:v>탐구1_70</x:v>
      </x:c>
      <x:c r="B21" s="18" t="str">
        <x:v>원본</x:v>
      </x:c>
      <x:c r="C21" s="18" t="str">
        <x:v>최종등록자 70% 지점 탐구1 백분위</x:v>
      </x:c>
      <x:c r="D21" s="18" t="str">
        <x:v>공통 추천 계산</x:v>
      </x:c>
    </x:row>
    <x:row r="22">
      <x:c r="A22" s="18" t="str">
        <x:v>탐구2_70</x:v>
      </x:c>
      <x:c r="B22" s="18" t="str">
        <x:v>원본</x:v>
      </x:c>
      <x:c r="C22" s="18" t="str">
        <x:v>최종등록자 70% 지점 탐구2 백분위</x:v>
      </x:c>
      <x:c r="D22" s="18" t="str">
        <x:v>공통 추천 계산</x:v>
      </x:c>
    </x:row>
    <x:row r="23">
      <x:c r="A23" s="18" t="str">
        <x:v>영어70_등급</x:v>
      </x:c>
      <x:c r="B23" s="18" t="str">
        <x:v>원본</x:v>
      </x:c>
      <x:c r="C23" s="18" t="str">
        <x:v>70% 지점 영어 등급 또는 공개된 해당 값</x:v>
      </x:c>
      <x:c r="D23" s="18" t="str">
        <x:v>후속 보정 필요</x:v>
      </x:c>
    </x:row>
    <x:row r="24">
      <x:c r="A24" s="18" t="str">
        <x:v>한국사70_등급</x:v>
      </x:c>
      <x:c r="B24" s="18" t="str">
        <x:v>원본</x:v>
      </x:c>
      <x:c r="C24" s="18" t="str">
        <x:v>70% 지점 한국사 등급 또는 공개된 해당 값</x:v>
      </x:c>
      <x:c r="D24" s="18" t="str">
        <x:v>후속 보정 필요</x:v>
      </x:c>
    </x:row>
    <x:row r="25">
      <x:c r="A25" s="18" t="str">
        <x:v>공식70평균백분위</x:v>
      </x:c>
      <x:c r="B25" s="18" t="str">
        <x:v>원본</x:v>
      </x:c>
      <x:c r="C25" s="18" t="str">
        <x:v>대학/어디가가 직접 제공한 70% cut 평균백분위</x:v>
      </x:c>
      <x:c r="D25" s="18" t="str">
        <x:v>가장 우선하는 공통지표</x:v>
      </x:c>
    </x:row>
    <x:row r="26">
      <x:c r="A26" s="18" t="str">
        <x:v>파생_국수탐70단순평균</x:v>
      </x:c>
      <x:c r="B26" s="18" t="str">
        <x:v>수식</x:v>
      </x:c>
      <x:c r="C26" s="18" t="str">
        <x:v>국어·수학·탐구1·탐구2 중 3개 이상 있을 때 단순평균</x:v>
      </x:c>
      <x:c r="D26" s="18" t="str">
        <x:v>공식 평균이 없을 때 참고</x:v>
      </x:c>
    </x:row>
    <x:row r="27">
      <x:c r="A27" s="18" t="str">
        <x:v>추천기준_백분위</x:v>
      </x:c>
      <x:c r="B27" s="18" t="str">
        <x:v>수식</x:v>
      </x:c>
      <x:c r="C27" s="18" t="str">
        <x:v>공식 평균백분위가 있으면 사용, 없으면 파생 단순평균</x:v>
      </x:c>
      <x:c r="D27" s="18" t="str">
        <x:v>프로토타입 핵심 비교값</x:v>
      </x:c>
    </x:row>
    <x:row r="28">
      <x:c r="A28" s="18" t="str">
        <x:v>추천지표유형</x:v>
      </x:c>
      <x:c r="B28" s="18" t="str">
        <x:v>수식</x:v>
      </x:c>
      <x:c r="C28" s="18" t="str">
        <x:v>공식/파생/비교불가 구분</x:v>
      </x:c>
      <x:c r="D28" s="18" t="str">
        <x:v>신뢰도 표시</x:v>
      </x:c>
    </x:row>
    <x:row r="29">
      <x:c r="A29" s="18" t="str">
        <x:v>학생평균백분위</x:v>
      </x:c>
      <x:c r="B29" s="18" t="str">
        <x:v>수식</x:v>
      </x:c>
      <x:c r="C29" s="18" t="str">
        <x:v>추천_테스트 시트의 학생 국수탐 단순평균</x:v>
      </x:c>
      <x:c r="D29" s="18" t="str">
        <x:v>테스트 입력 연동</x:v>
      </x:c>
    </x:row>
    <x:row r="30">
      <x:c r="A30" s="18" t="str">
        <x:v>점수차</x:v>
      </x:c>
      <x:c r="B30" s="18" t="str">
        <x:v>수식</x:v>
      </x:c>
      <x:c r="C30" s="18" t="str">
        <x:v>학생평균백분위 - 추천기준_백분위</x:v>
      </x:c>
      <x:c r="D30" s="18" t="str">
        <x:v>분류 입력</x:v>
      </x:c>
    </x:row>
    <x:row r="31">
      <x:c r="A31" s="18" t="str">
        <x:v>추천구간</x:v>
      </x:c>
      <x:c r="B31" s="18" t="str">
        <x:v>수식</x:v>
      </x:c>
      <x:c r="C31" s="18" t="str">
        <x:v>사용자 정의 마진에 따른 안정/적정/소신/상향</x:v>
      </x:c>
      <x:c r="D31" s="18" t="str">
        <x:v>프로토타입 결과</x:v>
      </x:c>
    </x:row>
    <x:row r="32">
      <x:c r="A32" s="18" t="str">
        <x:v>확통비율</x:v>
      </x:c>
      <x:c r="B32" s="18" t="str">
        <x:v>원본</x:v>
      </x:c>
      <x:c r="C32" s="18" t="str">
        <x:v>공개된 수학 선택과목 구성 중 확률과통계 비율(일부 대학)</x:v>
      </x:c>
      <x:c r="D32" s="18" t="str">
        <x:v>선택과목 보정 참고</x:v>
      </x:c>
    </x:row>
    <x:row r="33">
      <x:c r="A33" s="18" t="str">
        <x:v>미적분비율</x:v>
      </x:c>
      <x:c r="B33" s="18" t="str">
        <x:v>원본</x:v>
      </x:c>
      <x:c r="C33" s="18" t="str">
        <x:v>공개된 미적분 비율(일부 대학)</x:v>
      </x:c>
      <x:c r="D33" s="18" t="str">
        <x:v>선택과목 보정 참고</x:v>
      </x:c>
    </x:row>
    <x:row r="34">
      <x:c r="A34" s="18" t="str">
        <x:v>기하비율</x:v>
      </x:c>
      <x:c r="B34" s="18" t="str">
        <x:v>원본</x:v>
      </x:c>
      <x:c r="C34" s="18" t="str">
        <x:v>공개된 기하 비율(일부 대학)</x:v>
      </x:c>
      <x:c r="D34" s="18" t="str">
        <x:v>선택과목 보정 참고</x:v>
      </x:c>
    </x:row>
    <x:row r="35">
      <x:c r="A35" s="18" t="str">
        <x:v>비고</x:v>
      </x:c>
      <x:c r="B35" s="18" t="str">
        <x:v>품질</x:v>
      </x:c>
      <x:c r="C35" s="18" t="str">
        <x:v>공식 평균 제공 여부 또는 파생 필요 여부</x:v>
      </x:c>
      <x:c r="D35" s="18" t="str">
        <x:v>모델 신뢰도 판단</x:v>
      </x:c>
    </x:row>
    <x:row r="36">
      <x:c r="A36" s="18" t="str">
        <x:v>출처URL</x:v>
      </x:c>
      <x:c r="B36" s="18" t="str">
        <x:v>출처</x:v>
      </x:c>
      <x:c r="C36" s="18" t="str">
        <x:v>해당 행의 공식 원본 페이지 URL</x:v>
      </x:c>
      <x:c r="D36" s="18" t="str">
        <x:v>필수 출처 추적</x:v>
      </x:c>
    </x:row>
    <x:row r="38">
      <x:c r="A38" s="127" t="str">
        <x:v>v4 추가 표준화 규칙</x:v>
      </x:c>
      <x:c r="B38"/>
      <x:c r="C38"/>
      <x:c r="D38"/>
    </x:row>
    <x:row r="39">
      <x:c r="A39" s="18" t="str">
        <x:v>경북대 공식 백분위합</x:v>
      </x:c>
      <x:c r="B39" s="18" t="str">
        <x:v>국·수·탐 평균 백분위 합 70% cut(300점)을 3으로 나누어 추천기준_백분위로 저장</x:v>
      </x:c>
      <x:c r="C39" s="18" t="str">
        <x:v>공식 평균 환산</x:v>
      </x:c>
      <x:c r="D39" s="18" t="str">
        <x:v>과목별 국/수/탐 값을 임의 분해하지 않음</x:v>
      </x:c>
    </x:row>
    <x:row r="40">
      <x:c r="A40" s="18" t="str">
        <x:v>국립창원대 탐구 1과목 공개</x:v>
      </x:c>
      <x:c r="B40" s="18" t="str">
        <x:v>국어70·수학70·탐구1_70만 저장하고 탐구2_70은 공란</x:v>
      </x:c>
      <x:c r="C40" s="18" t="str">
        <x:v>파생 평균</x:v>
      </x:c>
      <x:c r="D40" s="18" t="str">
        <x:v>공개된 3개 백분위만 평균</x:v>
      </x:c>
    </x:row>
    <x:row r="41">
      <x:c r="A41" s="18" t="str">
        <x:v>공통 원칙</x:v>
      </x:c>
      <x:c r="B41" s="18" t="str">
        <x:v>공식 표에서 확인되지 않는 과목/등급은 공란 유지</x:v>
      </x:c>
      <x:c r="C41" s="18" t="str">
        <x:v>임의 추정 금지</x:v>
      </x:c>
      <x:c r="D41" s="18" t="str">
        <x:v>GUI는 과목별 값이 3개 이상이면 가중평균, 아니면 추천기준_백분위 fallback 사용</x:v>
      </x:c>
    </x:row>
    <x:row r="42">
      <x:c r="A42" s="18" t="str">
        <x:v>국립한국교통대 공식 환산식</x:v>
      </x:c>
      <x:c r="B42" s="18" t="str">
        <x:v>70% 환산점수÷10</x:v>
      </x:c>
      <x:c r="C42" s="18" t="str">
        <x:v>공식 산식 역산 평균</x:v>
      </x:c>
      <x:c r="D42" s="18" t="str">
        <x:v>상위 3개 영역 평균이며 영어 변환점수가 포함될 수 있음</x:v>
      </x:c>
    </x:row>
    <x:row r="43">
      <x:c r="A43" s="18" t="str">
        <x:v>국립공주대 공식 환산식</x:v>
      </x:c>
      <x:c r="B43" s="18" t="str">
        <x:v>(70% 환산점수-150)÷8.5</x:v>
      </x:c>
      <x:c r="C43" s="18" t="str">
        <x:v>공식 산식 역산 평균</x:v>
      </x:c>
      <x:c r="D43" s="18" t="str">
        <x:v>상위 3개 영역 평균이며 영어 변환점수가 포함될 수 있음; 실기학과 제외</x:v>
      </x:c>
    </x:row>
  </x:sheetData>
  <x:mergeCells>
    <x:mergeCell ref="A1:D1"/>
    <x:mergeCell ref="A38:D38"/>
  </x:mergeCells>
  <x:pageMargins left="0.7" right="0.7" top="0.75" bottom="0.75" header="0.3" footer="0.3"/>
  <x:tableParts count="1">
    <x:tablePart xmlns:r="http://schemas.openxmlformats.org/officeDocument/2006/relationships" r:id="Rf2350d81fbbd44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68" hidden="0" customWidth="1"/>
  </x:cols>
  <x:sheetData>
    <x:row r="1" ht="28" customHeight="1">
      <x:c r="A1" s="175" t="str">
        <x:v>v5 지방 주요 사립대 추가 현황</x:v>
      </x:c>
      <x:c r="B1" s="175"/>
      <x:c r="C1" s="175"/>
      <x:c r="D1" s="175"/>
      <x:c r="E1" s="175"/>
      <x:c r="F1" s="175"/>
      <x:c r="G1" s="175"/>
    </x:row>
    <x:row r="3">
      <x:c r="A3" s="181" t="str">
        <x:v>대학명</x:v>
      </x:c>
      <x:c r="B3" s="181" t="str">
        <x:v>지역</x:v>
      </x:c>
      <x:c r="C3" s="181" t="str">
        <x:v>추가 모집단위 수</x:v>
      </x:c>
      <x:c r="D3" s="181" t="str">
        <x:v>공식 평균백분위 행</x:v>
      </x:c>
      <x:c r="E3" s="181" t="str">
        <x:v>과목별 파생 행</x:v>
      </x:c>
      <x:c r="F3" s="181" t="str">
        <x:v>추천기준 평균</x:v>
      </x:c>
      <x:c r="G3" s="181" t="str">
        <x:v>대표 공식 URL</x:v>
      </x:c>
    </x:row>
    <x:row r="4" ht="20" customHeight="1">
      <x:c r="A4" t="str">
        <x:v>영남대학교</x:v>
      </x:c>
      <x:c r="B4" t="str">
        <x:v>경상북도</x:v>
      </x:c>
      <x:c r="C4" t="n">
        <x:v>40</x:v>
      </x:c>
      <x:c r="D4" t="n">
        <x:v>40</x:v>
      </x:c>
      <x:c r="E4" t="n">
        <x:v>0</x:v>
      </x:c>
      <x:c r="F4" s="48" t="n">
        <x:v>67.61</x:v>
      </x:c>
      <x:c r="G4" s="187" t="str">
        <x:v>https://www.adiga.kr/ucp/uvt/uni/univDetailSelection.do?menuId=PCUVTINF2000&amp;searchSyr=2026&amp;unvCd=0000151</x:v>
      </x:c>
    </x:row>
    <x:row r="5" ht="20" customHeight="1">
      <x:c r="A5" t="str">
        <x:v>동아대학교</x:v>
      </x:c>
      <x:c r="B5" t="str">
        <x:v>부산광역시</x:v>
      </x:c>
      <x:c r="C5" t="n">
        <x:v>12</x:v>
      </x:c>
      <x:c r="D5" t="n">
        <x:v>12</x:v>
      </x:c>
      <x:c r="E5" t="n">
        <x:v>0</x:v>
      </x:c>
      <x:c r="F5" s="48" t="n">
        <x:v>61.19</x:v>
      </x:c>
      <x:c r="G5" s="187" t="str">
        <x:v>https://www.adiga.kr/ucp/uvt/uni/univDetailSelection.do?menuId=PCUVTINF2000&amp;searchSyr=2026&amp;unvCd=0000105</x:v>
      </x:c>
    </x:row>
    <x:row r="6" ht="20" customHeight="1">
      <x:c r="A6" t="str">
        <x:v>인제대학교</x:v>
      </x:c>
      <x:c r="B6" t="str">
        <x:v>경상남도</x:v>
      </x:c>
      <x:c r="C6" t="n">
        <x:v>8</x:v>
      </x:c>
      <x:c r="D6" t="n">
        <x:v>8</x:v>
      </x:c>
      <x:c r="E6" t="n">
        <x:v>0</x:v>
      </x:c>
      <x:c r="F6" s="48" t="n">
        <x:v>67.94</x:v>
      </x:c>
      <x:c r="G6" s="187" t="str">
        <x:v>https://www.adiga.kr/ucp/uvt/uni/univDetailSelection.do?menuId=PCUVTINF2000&amp;searchSyr=2026&amp;unvCd=0000164</x:v>
      </x:c>
    </x:row>
    <x:row r="7" ht="20" customHeight="1">
      <x:c r="A7" t="str">
        <x:v>호서대학교</x:v>
      </x:c>
      <x:c r="B7" t="str">
        <x:v>충청남도</x:v>
      </x:c>
      <x:c r="C7" t="n">
        <x:v>12</x:v>
      </x:c>
      <x:c r="D7" t="n">
        <x:v>12</x:v>
      </x:c>
      <x:c r="E7" t="n">
        <x:v>0</x:v>
      </x:c>
      <x:c r="F7" s="48" t="n">
        <x:v>65.83</x:v>
      </x:c>
      <x:c r="G7" s="187" t="str">
        <x:v>https://www.adiga.kr/ucp/uvt/uni/univDetailSelection.do?menuId=PCUVTINF2000&amp;searchSyr=2026&amp;unvCd=0000211</x:v>
      </x:c>
    </x:row>
    <x:row r="8" ht="20" customHeight="1">
      <x:c r="A8" t="str">
        <x:v>계명대학교</x:v>
      </x:c>
      <x:c r="B8" t="str">
        <x:v>대구광역시</x:v>
      </x:c>
      <x:c r="C8" t="n">
        <x:v>12</x:v>
      </x:c>
      <x:c r="D8" t="n">
        <x:v>0</x:v>
      </x:c>
      <x:c r="E8" t="n">
        <x:v>12</x:v>
      </x:c>
      <x:c r="F8" s="48" t="n">
        <x:v>47.86</x:v>
      </x:c>
      <x:c r="G8" s="187" t="str">
        <x:v>https://www.adiga.kr/ucp/uvt/uni/univDetailSelection.do?menuId=PCUVTINF2000&amp;searchSyr=2026&amp;unvCd=0000068</x:v>
      </x:c>
    </x:row>
    <x:row r="9" ht="20" customHeight="1">
      <x:c r="A9" t="str">
        <x:v>원광대학교</x:v>
      </x:c>
      <x:c r="B9" t="str">
        <x:v>전북특별자치도</x:v>
      </x:c>
      <x:c r="C9" t="n">
        <x:v>11</x:v>
      </x:c>
      <x:c r="D9" t="n">
        <x:v>0</x:v>
      </x:c>
      <x:c r="E9" t="n">
        <x:v>11</x:v>
      </x:c>
      <x:c r="F9" s="48" t="n">
        <x:v>60.11</x:v>
      </x:c>
      <x:c r="G9" s="187" t="str">
        <x:v>https://www.adiga.kr/ucp/uvt/uni/univDetailSelection.do?menuId=PCUVTINF2000&amp;searchSyr=2026&amp;unvCd=0000159</x:v>
      </x:c>
    </x:row>
    <x:row r="10" ht="20" customHeight="1">
      <x:c r="A10" t="str">
        <x:v>순천향대학교</x:v>
      </x:c>
      <x:c r="B10" t="str">
        <x:v>충청남도</x:v>
      </x:c>
      <x:c r="C10" t="n">
        <x:v>13</x:v>
      </x:c>
      <x:c r="D10" t="n">
        <x:v>0</x:v>
      </x:c>
      <x:c r="E10" t="n">
        <x:v>13</x:v>
      </x:c>
      <x:c r="F10" s="48" t="n">
        <x:v>56.54</x:v>
      </x:c>
      <x:c r="G10" s="187" t="str">
        <x:v>https://www.adiga.kr/ucp/uvt/uni/univDetailSelection.do?menuId=PCUVTINF2000&amp;searchSyr=2026&amp;unvCd=0000142</x:v>
      </x:c>
    </x:row>
    <x:row r="11" ht="20" customHeight="1">
      <x:c r="A11" t="str">
        <x:v>조선대학교</x:v>
      </x:c>
      <x:c r="B11" t="str">
        <x:v>광주광역시</x:v>
      </x:c>
      <x:c r="C11" t="n">
        <x:v>13</x:v>
      </x:c>
      <x:c r="D11" t="n">
        <x:v>0</x:v>
      </x:c>
      <x:c r="E11" t="n">
        <x:v>13</x:v>
      </x:c>
      <x:c r="F11" s="48" t="n">
        <x:v>64.02</x:v>
      </x:c>
      <x:c r="G11" s="187" t="str">
        <x:v>https://www.adiga.kr/ucp/uvt/uni/univDetailSelection.do?menuId=PCUVTINF2000&amp;searchSyr=2026&amp;unvCd=0000172</x:v>
      </x:c>
    </x:row>
    <x:row r="12" ht="20" customHeight="1">
      <x:c r="A12" t="str">
        <x:v>경성대학교</x:v>
      </x:c>
      <x:c r="B12" t="str">
        <x:v>부산광역시</x:v>
      </x:c>
      <x:c r="C12" t="n">
        <x:v>7</x:v>
      </x:c>
      <x:c r="D12" t="n">
        <x:v>0</x:v>
      </x:c>
      <x:c r="E12" t="n">
        <x:v>7</x:v>
      </x:c>
      <x:c r="F12" s="48" t="n">
        <x:v>48.75</x:v>
      </x:c>
      <x:c r="G12" s="187" t="str">
        <x:v>https://www.adiga.kr/ucp/uvt/uni/univDetailSelection.do?menuId=PCUVTINF2000&amp;searchSyr=2026&amp;unvCd=0000062</x:v>
      </x:c>
    </x:row>
    <x:row r="13" ht="20" customHeight="1">
      <x:c r="A13" t="str">
        <x:v>동의대학교</x:v>
      </x:c>
      <x:c r="B13" t="str">
        <x:v>부산광역시</x:v>
      </x:c>
      <x:c r="C13" t="n">
        <x:v>7</x:v>
      </x:c>
      <x:c r="D13" t="n">
        <x:v>0</x:v>
      </x:c>
      <x:c r="E13" t="n">
        <x:v>7</x:v>
      </x:c>
      <x:c r="F13" s="48" t="n">
        <x:v>40.14</x:v>
      </x:c>
      <x:c r="G13" s="187" t="str">
        <x:v>https://www.adiga.kr/ucp/uvt/uni/univDetailSelection.do?menuId=PCUVTINF2000&amp;searchSyr=2026&amp;unvCd=0000107</x:v>
      </x:c>
    </x:row>
    <x:row r="14" ht="20" customHeight="1">
      <x:c r="A14" t="str">
        <x:v>한남대학교</x:v>
      </x:c>
      <x:c r="B14" t="str">
        <x:v>대전광역시</x:v>
      </x:c>
      <x:c r="C14" t="n">
        <x:v>7</x:v>
      </x:c>
      <x:c r="D14" t="n">
        <x:v>0</x:v>
      </x:c>
      <x:c r="E14" t="n">
        <x:v>7</x:v>
      </x:c>
      <x:c r="F14" s="48" t="n">
        <x:v>55.32</x:v>
      </x:c>
      <x:c r="G14" s="187" t="str">
        <x:v>https://www.adiga.kr/ucp/uvt/uni/univDetailSelection.do?menuId=PCUVTINF2000&amp;searchSyr=2026&amp;unvCd=0000195</x:v>
      </x:c>
    </x:row>
    <x:row r="15" ht="20" customHeight="1">
      <x:c r="A15" s="184" t="str">
        <x:v>합계</x:v>
      </x:c>
      <x:c r="B15" s="184" t="str"/>
      <x:c r="C15" s="184" t="n">
        <x:v>142</x:v>
      </x:c>
      <x:c r="D15" s="184" t="n">
        <x:v>72</x:v>
      </x:c>
      <x:c r="E15" s="184" t="n">
        <x:v>70</x:v>
      </x:c>
      <x:c r="F15" s="184"/>
      <x:c r="G15" s="184" t="str"/>
    </x:row>
  </x:sheetData>
  <x:mergeCells>
    <x:mergeCell ref="A1:G1"/>
  </x:mergeCells>
  <x:pageMargins left="0.7" right="0.7" top="0.75" bottom="0.75" header="0.3" footer="0.3"/>
</x:worksheet>
</file>